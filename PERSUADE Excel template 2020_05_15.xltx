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/>
  <workbookPr codeName="ThisWorkbook"/>
  <bookViews>
    <workbookView xWindow="0" yWindow="0" windowWidth="21600" windowHeight="8925"/>
  </bookViews>
  <sheets>
    <sheet name="1 group" sheetId="4" r:id="rId1"/>
    <sheet name="2 groups - no strata" sheetId="3" r:id="rId2"/>
    <sheet name="2 groups - strata" sheetId="5" r:id="rId3"/>
    <sheet name="3 groups - no strata" sheetId="1" r:id="rId4"/>
    <sheet name="3 groups - strata" sheetId="2" r:id="rId5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T160" i="5" l="1"/>
  <c r="AT159" i="5"/>
  <c r="AT158" i="5"/>
  <c r="AT157" i="5"/>
  <c r="AT156" i="5"/>
  <c r="AT155" i="5"/>
  <c r="AT154" i="5"/>
  <c r="AT153" i="5"/>
  <c r="AT152" i="5"/>
  <c r="AT151" i="5"/>
  <c r="AT150" i="5"/>
  <c r="AT149" i="5"/>
  <c r="AT148" i="5"/>
  <c r="AT147" i="5"/>
  <c r="AT146" i="5"/>
  <c r="AT145" i="5"/>
  <c r="AT144" i="5"/>
  <c r="AT143" i="5"/>
  <c r="AT142" i="5"/>
  <c r="AT141" i="5"/>
  <c r="AT140" i="5"/>
  <c r="AT139" i="5"/>
  <c r="AT138" i="5"/>
  <c r="AT137" i="5"/>
  <c r="AT136" i="5"/>
  <c r="AT135" i="5"/>
  <c r="AT134" i="5"/>
  <c r="AT133" i="5"/>
  <c r="AT132" i="5"/>
  <c r="AT131" i="5"/>
  <c r="AT130" i="5"/>
  <c r="AT129" i="5"/>
  <c r="AT128" i="5"/>
  <c r="AT127" i="5"/>
  <c r="AT126" i="5"/>
  <c r="AT125" i="5"/>
  <c r="AT124" i="5"/>
  <c r="AT123" i="5"/>
  <c r="AT122" i="5"/>
  <c r="AT121" i="5"/>
  <c r="AT120" i="5"/>
  <c r="AT119" i="5"/>
  <c r="AT118" i="5"/>
  <c r="AT117" i="5"/>
  <c r="AT116" i="5"/>
  <c r="AT115" i="5"/>
  <c r="AT114" i="5"/>
  <c r="AT113" i="5"/>
  <c r="AT112" i="5"/>
  <c r="AT111" i="5"/>
  <c r="AT110" i="5"/>
  <c r="AT109" i="5"/>
  <c r="AT108" i="5"/>
  <c r="AT107" i="5"/>
  <c r="AT106" i="5"/>
  <c r="AT105" i="5"/>
  <c r="AT104" i="5"/>
  <c r="AT103" i="5"/>
  <c r="AT102" i="5"/>
  <c r="AT101" i="5"/>
  <c r="AT100" i="5"/>
  <c r="AT99" i="5"/>
  <c r="AT98" i="5"/>
  <c r="AT97" i="5"/>
  <c r="AT96" i="5"/>
  <c r="AT95" i="5"/>
  <c r="AT94" i="5"/>
  <c r="AT93" i="5"/>
  <c r="AT92" i="5"/>
  <c r="AT91" i="5"/>
  <c r="AT90" i="5"/>
  <c r="AT89" i="5"/>
  <c r="AT88" i="5"/>
  <c r="AT87" i="5"/>
  <c r="AT86" i="5"/>
  <c r="AT85" i="5"/>
  <c r="AT84" i="5"/>
  <c r="AT83" i="5"/>
  <c r="AT82" i="5"/>
  <c r="AT81" i="5"/>
  <c r="AT80" i="5"/>
  <c r="AT79" i="5"/>
  <c r="AT78" i="5"/>
  <c r="AT77" i="5"/>
  <c r="AT76" i="5"/>
  <c r="AT75" i="5"/>
  <c r="AT74" i="5"/>
  <c r="AT73" i="5"/>
  <c r="AT72" i="5"/>
  <c r="AT71" i="5"/>
  <c r="AT70" i="5"/>
  <c r="AT69" i="5"/>
  <c r="AT68" i="5"/>
  <c r="AT67" i="5"/>
  <c r="AT66" i="5"/>
  <c r="AT65" i="5"/>
  <c r="AT64" i="5"/>
  <c r="AT63" i="5"/>
  <c r="AT62" i="5"/>
  <c r="AT61" i="5"/>
  <c r="AT60" i="5"/>
  <c r="AT59" i="5"/>
  <c r="AT58" i="5"/>
  <c r="AT57" i="5"/>
  <c r="AT56" i="5"/>
  <c r="AT55" i="5"/>
  <c r="AT54" i="5"/>
  <c r="AT53" i="5"/>
  <c r="AT52" i="5"/>
  <c r="AT51" i="5"/>
  <c r="AT50" i="5"/>
  <c r="AT49" i="5"/>
  <c r="AT48" i="5"/>
  <c r="AT47" i="5"/>
  <c r="AT46" i="5"/>
  <c r="AT45" i="5"/>
  <c r="AT44" i="5"/>
  <c r="AT43" i="5"/>
  <c r="AT42" i="5"/>
  <c r="AT41" i="5"/>
  <c r="AN160" i="5"/>
  <c r="AN159" i="5"/>
  <c r="AN158" i="5"/>
  <c r="AN157" i="5"/>
  <c r="AN156" i="5"/>
  <c r="AN155" i="5"/>
  <c r="AN154" i="5"/>
  <c r="AN153" i="5"/>
  <c r="AN152" i="5"/>
  <c r="AN151" i="5"/>
  <c r="AN150" i="5"/>
  <c r="AN149" i="5"/>
  <c r="AN148" i="5"/>
  <c r="AN147" i="5"/>
  <c r="AN146" i="5"/>
  <c r="AN145" i="5"/>
  <c r="AN144" i="5"/>
  <c r="AN143" i="5"/>
  <c r="AN142" i="5"/>
  <c r="AN141" i="5"/>
  <c r="AN140" i="5"/>
  <c r="AN139" i="5"/>
  <c r="AN138" i="5"/>
  <c r="AN137" i="5"/>
  <c r="AN136" i="5"/>
  <c r="AN135" i="5"/>
  <c r="AN134" i="5"/>
  <c r="AN133" i="5"/>
  <c r="AN132" i="5"/>
  <c r="AN131" i="5"/>
  <c r="AN130" i="5"/>
  <c r="AN129" i="5"/>
  <c r="AN128" i="5"/>
  <c r="AN127" i="5"/>
  <c r="AN126" i="5"/>
  <c r="AN125" i="5"/>
  <c r="AN124" i="5"/>
  <c r="AN123" i="5"/>
  <c r="AN122" i="5"/>
  <c r="AN121" i="5"/>
  <c r="AN120" i="5"/>
  <c r="AN119" i="5"/>
  <c r="AN118" i="5"/>
  <c r="AN117" i="5"/>
  <c r="AN116" i="5"/>
  <c r="AN115" i="5"/>
  <c r="AN114" i="5"/>
  <c r="AN113" i="5"/>
  <c r="AN112" i="5"/>
  <c r="AN111" i="5"/>
  <c r="AN110" i="5"/>
  <c r="AN109" i="5"/>
  <c r="AN108" i="5"/>
  <c r="AN107" i="5"/>
  <c r="AN106" i="5"/>
  <c r="AN105" i="5"/>
  <c r="AN104" i="5"/>
  <c r="AN103" i="5"/>
  <c r="AN102" i="5"/>
  <c r="AN101" i="5"/>
  <c r="AN100" i="5"/>
  <c r="AN99" i="5"/>
  <c r="AN98" i="5"/>
  <c r="AN97" i="5"/>
  <c r="AN96" i="5"/>
  <c r="AN95" i="5"/>
  <c r="AN94" i="5"/>
  <c r="AN93" i="5"/>
  <c r="AN92" i="5"/>
  <c r="AN91" i="5"/>
  <c r="AN90" i="5"/>
  <c r="AN89" i="5"/>
  <c r="AN88" i="5"/>
  <c r="AN87" i="5"/>
  <c r="AN86" i="5"/>
  <c r="AN85" i="5"/>
  <c r="AN84" i="5"/>
  <c r="AN83" i="5"/>
  <c r="AN82" i="5"/>
  <c r="AN81" i="5"/>
  <c r="AN80" i="5"/>
  <c r="AN79" i="5"/>
  <c r="AN78" i="5"/>
  <c r="AN77" i="5"/>
  <c r="AN76" i="5"/>
  <c r="AN75" i="5"/>
  <c r="AN74" i="5"/>
  <c r="AN73" i="5"/>
  <c r="AN72" i="5"/>
  <c r="AN71" i="5"/>
  <c r="AN70" i="5"/>
  <c r="AN69" i="5"/>
  <c r="AN68" i="5"/>
  <c r="AN67" i="5"/>
  <c r="AN66" i="5"/>
  <c r="AN65" i="5"/>
  <c r="AN64" i="5"/>
  <c r="AN63" i="5"/>
  <c r="AN62" i="5"/>
  <c r="AN61" i="5"/>
  <c r="AN60" i="5"/>
  <c r="AN59" i="5"/>
  <c r="AN58" i="5"/>
  <c r="AN57" i="5"/>
  <c r="AN56" i="5"/>
  <c r="AN55" i="5"/>
  <c r="AN54" i="5"/>
  <c r="AN53" i="5"/>
  <c r="AN52" i="5"/>
  <c r="AN51" i="5"/>
  <c r="AN50" i="5"/>
  <c r="AN49" i="5"/>
  <c r="AN48" i="5"/>
  <c r="AN47" i="5"/>
  <c r="AN46" i="5"/>
  <c r="AN45" i="5"/>
  <c r="AN44" i="5"/>
  <c r="AN43" i="5"/>
  <c r="AN42" i="5"/>
  <c r="AN41" i="5"/>
  <c r="AH160" i="5"/>
  <c r="AH159" i="5"/>
  <c r="AH158" i="5"/>
  <c r="AH157" i="5"/>
  <c r="AH156" i="5"/>
  <c r="AH155" i="5"/>
  <c r="AH154" i="5"/>
  <c r="AH153" i="5"/>
  <c r="AH152" i="5"/>
  <c r="AH151" i="5"/>
  <c r="AH150" i="5"/>
  <c r="AH149" i="5"/>
  <c r="AH148" i="5"/>
  <c r="AH147" i="5"/>
  <c r="AH146" i="5"/>
  <c r="AH145" i="5"/>
  <c r="AH144" i="5"/>
  <c r="AH143" i="5"/>
  <c r="AH142" i="5"/>
  <c r="AH141" i="5"/>
  <c r="AH140" i="5"/>
  <c r="AH139" i="5"/>
  <c r="AH138" i="5"/>
  <c r="AH137" i="5"/>
  <c r="AH136" i="5"/>
  <c r="AH135" i="5"/>
  <c r="AH134" i="5"/>
  <c r="AH133" i="5"/>
  <c r="AH132" i="5"/>
  <c r="AH131" i="5"/>
  <c r="AH130" i="5"/>
  <c r="AH129" i="5"/>
  <c r="AH128" i="5"/>
  <c r="AH127" i="5"/>
  <c r="AH126" i="5"/>
  <c r="AH125" i="5"/>
  <c r="AH124" i="5"/>
  <c r="AH123" i="5"/>
  <c r="AH122" i="5"/>
  <c r="AH121" i="5"/>
  <c r="AH120" i="5"/>
  <c r="AH119" i="5"/>
  <c r="AH118" i="5"/>
  <c r="AH117" i="5"/>
  <c r="AH116" i="5"/>
  <c r="AH115" i="5"/>
  <c r="AH114" i="5"/>
  <c r="AH113" i="5"/>
  <c r="AH112" i="5"/>
  <c r="AH111" i="5"/>
  <c r="AH110" i="5"/>
  <c r="AH109" i="5"/>
  <c r="AH108" i="5"/>
  <c r="AH107" i="5"/>
  <c r="AH106" i="5"/>
  <c r="AH105" i="5"/>
  <c r="AH104" i="5"/>
  <c r="AH103" i="5"/>
  <c r="AH102" i="5"/>
  <c r="AH101" i="5"/>
  <c r="AH100" i="5"/>
  <c r="AH99" i="5"/>
  <c r="AH98" i="5"/>
  <c r="AH97" i="5"/>
  <c r="AH96" i="5"/>
  <c r="AH95" i="5"/>
  <c r="AH94" i="5"/>
  <c r="AH93" i="5"/>
  <c r="AH92" i="5"/>
  <c r="AH91" i="5"/>
  <c r="AH90" i="5"/>
  <c r="AH89" i="5"/>
  <c r="AH88" i="5"/>
  <c r="AH87" i="5"/>
  <c r="AH86" i="5"/>
  <c r="AH85" i="5"/>
  <c r="AH84" i="5"/>
  <c r="AH83" i="5"/>
  <c r="AH82" i="5"/>
  <c r="AH81" i="5"/>
  <c r="AH80" i="5"/>
  <c r="AH79" i="5"/>
  <c r="AH78" i="5"/>
  <c r="AH77" i="5"/>
  <c r="AH76" i="5"/>
  <c r="AH75" i="5"/>
  <c r="AH74" i="5"/>
  <c r="AH73" i="5"/>
  <c r="AH72" i="5"/>
  <c r="AH71" i="5"/>
  <c r="AH70" i="5"/>
  <c r="AH69" i="5"/>
  <c r="AH68" i="5"/>
  <c r="AH67" i="5"/>
  <c r="AH66" i="5"/>
  <c r="AH65" i="5"/>
  <c r="AH64" i="5"/>
  <c r="AH63" i="5"/>
  <c r="AH62" i="5"/>
  <c r="AH61" i="5"/>
  <c r="AH60" i="5"/>
  <c r="AH59" i="5"/>
  <c r="AH58" i="5"/>
  <c r="AH57" i="5"/>
  <c r="AH56" i="5"/>
  <c r="AH55" i="5"/>
  <c r="AH54" i="5"/>
  <c r="AH53" i="5"/>
  <c r="AH52" i="5"/>
  <c r="AH51" i="5"/>
  <c r="AH50" i="5"/>
  <c r="AH49" i="5"/>
  <c r="AH48" i="5"/>
  <c r="AH47" i="5"/>
  <c r="AH46" i="5"/>
  <c r="AH45" i="5"/>
  <c r="AH44" i="5"/>
  <c r="AH43" i="5"/>
  <c r="AH42" i="5"/>
  <c r="AH41" i="5"/>
  <c r="C30" i="5" l="1"/>
  <c r="B30" i="5"/>
  <c r="B21" i="5"/>
  <c r="B22" i="5" s="1"/>
  <c r="C22" i="5" s="1"/>
  <c r="G30" i="5"/>
  <c r="F30" i="5"/>
  <c r="E30" i="5"/>
  <c r="D30" i="5"/>
  <c r="D21" i="5"/>
  <c r="D23" i="5" s="1"/>
  <c r="K30" i="5"/>
  <c r="J30" i="5"/>
  <c r="I30" i="5"/>
  <c r="H30" i="5"/>
  <c r="H21" i="5"/>
  <c r="H23" i="5" s="1"/>
  <c r="O30" i="5"/>
  <c r="N30" i="5"/>
  <c r="M30" i="5"/>
  <c r="L30" i="5"/>
  <c r="L21" i="5"/>
  <c r="L23" i="5" s="1"/>
  <c r="S30" i="5"/>
  <c r="R30" i="5"/>
  <c r="Q30" i="5"/>
  <c r="P30" i="5"/>
  <c r="P21" i="5"/>
  <c r="P23" i="5" s="1"/>
  <c r="W30" i="5"/>
  <c r="V30" i="5"/>
  <c r="U30" i="5"/>
  <c r="T30" i="5"/>
  <c r="T21" i="5"/>
  <c r="T23" i="5" s="1"/>
  <c r="AC30" i="5"/>
  <c r="AB30" i="5"/>
  <c r="AA30" i="5"/>
  <c r="Z30" i="5"/>
  <c r="Y30" i="5"/>
  <c r="X30" i="5"/>
  <c r="X21" i="5"/>
  <c r="X22" i="5" s="1"/>
  <c r="AI30" i="5"/>
  <c r="AH30" i="5"/>
  <c r="AG30" i="5"/>
  <c r="AF30" i="5"/>
  <c r="AE30" i="5"/>
  <c r="AD30" i="5"/>
  <c r="AD21" i="5"/>
  <c r="AD22" i="5" s="1"/>
  <c r="AO30" i="5"/>
  <c r="AN30" i="5"/>
  <c r="AM30" i="5"/>
  <c r="AL30" i="5"/>
  <c r="AK30" i="5"/>
  <c r="AJ30" i="5"/>
  <c r="AJ21" i="5"/>
  <c r="AJ22" i="5" s="1"/>
  <c r="AP21" i="5"/>
  <c r="AP22" i="5" s="1"/>
  <c r="AQ22" i="5" s="1"/>
  <c r="AU30" i="5"/>
  <c r="AT30" i="5"/>
  <c r="AS30" i="5"/>
  <c r="AR30" i="5"/>
  <c r="AQ30" i="5"/>
  <c r="AP30" i="5"/>
  <c r="AV21" i="5"/>
  <c r="AV25" i="5" s="1"/>
  <c r="BC30" i="5"/>
  <c r="BB30" i="5"/>
  <c r="BA30" i="5"/>
  <c r="AZ30" i="5"/>
  <c r="AY30" i="5"/>
  <c r="AX30" i="5"/>
  <c r="AW30" i="5"/>
  <c r="AV30" i="5"/>
  <c r="BK30" i="5"/>
  <c r="BJ30" i="5"/>
  <c r="BI30" i="5"/>
  <c r="BH30" i="5"/>
  <c r="BG30" i="5"/>
  <c r="BF30" i="5"/>
  <c r="BE30" i="5"/>
  <c r="BD30" i="5"/>
  <c r="BD21" i="5"/>
  <c r="BD27" i="5" s="1"/>
  <c r="BS30" i="5"/>
  <c r="BR30" i="5"/>
  <c r="BQ30" i="5"/>
  <c r="BP30" i="5"/>
  <c r="BO30" i="5"/>
  <c r="BN30" i="5"/>
  <c r="BM30" i="5"/>
  <c r="BL30" i="5"/>
  <c r="BL21" i="5"/>
  <c r="BL28" i="5" s="1"/>
  <c r="A39" i="5"/>
  <c r="A41" i="5" s="1"/>
  <c r="BL38" i="5"/>
  <c r="BD38" i="5"/>
  <c r="AV38" i="5"/>
  <c r="AP38" i="5"/>
  <c r="AJ38" i="5"/>
  <c r="AD38" i="5"/>
  <c r="X38" i="5"/>
  <c r="T38" i="5"/>
  <c r="P38" i="5"/>
  <c r="L38" i="5"/>
  <c r="H38" i="5"/>
  <c r="D38" i="5"/>
  <c r="B38" i="5"/>
  <c r="BO37" i="5"/>
  <c r="BN37" i="5"/>
  <c r="BG37" i="5"/>
  <c r="BF37" i="5"/>
  <c r="AY37" i="5"/>
  <c r="AX37" i="5"/>
  <c r="AR37" i="5"/>
  <c r="AL37" i="5"/>
  <c r="AF37" i="5"/>
  <c r="BS34" i="5"/>
  <c r="BR34" i="5"/>
  <c r="BQ34" i="5"/>
  <c r="BP34" i="5"/>
  <c r="BP35" i="5" s="1"/>
  <c r="BO34" i="5"/>
  <c r="BO35" i="5" s="1"/>
  <c r="BN34" i="5"/>
  <c r="BN35" i="5" s="1"/>
  <c r="BM34" i="5"/>
  <c r="BM35" i="5" s="1"/>
  <c r="BL34" i="5"/>
  <c r="BL35" i="5" s="1"/>
  <c r="BK34" i="5"/>
  <c r="BJ34" i="5"/>
  <c r="BI34" i="5"/>
  <c r="BH34" i="5"/>
  <c r="BH35" i="5" s="1"/>
  <c r="BG34" i="5"/>
  <c r="BG35" i="5" s="1"/>
  <c r="BF34" i="5"/>
  <c r="BF35" i="5" s="1"/>
  <c r="BE34" i="5"/>
  <c r="BE35" i="5" s="1"/>
  <c r="BD34" i="5"/>
  <c r="BD35" i="5" s="1"/>
  <c r="BC34" i="5"/>
  <c r="BB34" i="5"/>
  <c r="BA34" i="5"/>
  <c r="AZ34" i="5"/>
  <c r="AZ35" i="5" s="1"/>
  <c r="AY34" i="5"/>
  <c r="AY35" i="5" s="1"/>
  <c r="AX34" i="5"/>
  <c r="AX35" i="5" s="1"/>
  <c r="AW34" i="5"/>
  <c r="AW35" i="5" s="1"/>
  <c r="AV34" i="5"/>
  <c r="AV35" i="5" s="1"/>
  <c r="AU34" i="5"/>
  <c r="AT34" i="5"/>
  <c r="AS34" i="5"/>
  <c r="AS35" i="5" s="1"/>
  <c r="AR34" i="5"/>
  <c r="AR35" i="5" s="1"/>
  <c r="AQ34" i="5"/>
  <c r="AQ35" i="5" s="1"/>
  <c r="AP34" i="5"/>
  <c r="AP35" i="5" s="1"/>
  <c r="AO34" i="5"/>
  <c r="AN34" i="5"/>
  <c r="AM34" i="5"/>
  <c r="AM35" i="5" s="1"/>
  <c r="AL34" i="5"/>
  <c r="AL35" i="5" s="1"/>
  <c r="AK34" i="5"/>
  <c r="AK35" i="5" s="1"/>
  <c r="AJ34" i="5"/>
  <c r="AJ35" i="5" s="1"/>
  <c r="AI34" i="5"/>
  <c r="AH34" i="5"/>
  <c r="AG34" i="5"/>
  <c r="AG35" i="5" s="1"/>
  <c r="AF34" i="5"/>
  <c r="AF35" i="5" s="1"/>
  <c r="AE34" i="5"/>
  <c r="AE35" i="5" s="1"/>
  <c r="AD34" i="5"/>
  <c r="AD35" i="5" s="1"/>
  <c r="AC34" i="5"/>
  <c r="AB34" i="5"/>
  <c r="AA34" i="5"/>
  <c r="AA35" i="5" s="1"/>
  <c r="Z34" i="5"/>
  <c r="Z35" i="5" s="1"/>
  <c r="Y34" i="5"/>
  <c r="Y35" i="5" s="1"/>
  <c r="X34" i="5"/>
  <c r="X35" i="5" s="1"/>
  <c r="W34" i="5"/>
  <c r="V34" i="5"/>
  <c r="V35" i="5" s="1"/>
  <c r="U34" i="5"/>
  <c r="U35" i="5" s="1"/>
  <c r="T34" i="5"/>
  <c r="S34" i="5"/>
  <c r="R34" i="5"/>
  <c r="R35" i="5" s="1"/>
  <c r="Q34" i="5"/>
  <c r="Q35" i="5" s="1"/>
  <c r="P34" i="5"/>
  <c r="P35" i="5" s="1"/>
  <c r="O34" i="5"/>
  <c r="N34" i="5"/>
  <c r="N35" i="5" s="1"/>
  <c r="M34" i="5"/>
  <c r="M35" i="5" s="1"/>
  <c r="L34" i="5"/>
  <c r="L35" i="5" s="1"/>
  <c r="K34" i="5"/>
  <c r="J34" i="5"/>
  <c r="J35" i="5" s="1"/>
  <c r="I34" i="5"/>
  <c r="I35" i="5" s="1"/>
  <c r="H34" i="5"/>
  <c r="G34" i="5"/>
  <c r="F34" i="5"/>
  <c r="F35" i="5" s="1"/>
  <c r="E34" i="5"/>
  <c r="E35" i="5" s="1"/>
  <c r="D34" i="5"/>
  <c r="D35" i="5" s="1"/>
  <c r="C34" i="5"/>
  <c r="C35" i="5" s="1"/>
  <c r="B34" i="5"/>
  <c r="B35" i="5" s="1"/>
  <c r="A31" i="4"/>
  <c r="A33" i="4" s="1"/>
  <c r="AG30" i="4"/>
  <c r="AC30" i="4"/>
  <c r="Y30" i="4"/>
  <c r="V30" i="4"/>
  <c r="S30" i="4"/>
  <c r="P30" i="4"/>
  <c r="M30" i="4"/>
  <c r="K30" i="4"/>
  <c r="I30" i="4"/>
  <c r="G30" i="4"/>
  <c r="E30" i="4"/>
  <c r="C30" i="4"/>
  <c r="B30" i="4"/>
  <c r="AJ29" i="4"/>
  <c r="AI29" i="4"/>
  <c r="AF29" i="4"/>
  <c r="AE29" i="4"/>
  <c r="AB29" i="4"/>
  <c r="AA29" i="4"/>
  <c r="X29" i="4"/>
  <c r="U29" i="4"/>
  <c r="R29" i="4"/>
  <c r="AJ26" i="4"/>
  <c r="AJ27" i="4" s="1"/>
  <c r="AI26" i="4"/>
  <c r="AI27" i="4" s="1"/>
  <c r="AH26" i="4"/>
  <c r="AH27" i="4" s="1"/>
  <c r="AG26" i="4"/>
  <c r="AG27" i="4" s="1"/>
  <c r="AF26" i="4"/>
  <c r="AF27" i="4" s="1"/>
  <c r="AE26" i="4"/>
  <c r="AE27" i="4" s="1"/>
  <c r="AD26" i="4"/>
  <c r="AD27" i="4" s="1"/>
  <c r="AC26" i="4"/>
  <c r="AC27" i="4" s="1"/>
  <c r="AB26" i="4"/>
  <c r="AB27" i="4" s="1"/>
  <c r="AA26" i="4"/>
  <c r="AA27" i="4" s="1"/>
  <c r="Z26" i="4"/>
  <c r="Z27" i="4" s="1"/>
  <c r="Y26" i="4"/>
  <c r="Y27" i="4" s="1"/>
  <c r="X26" i="4"/>
  <c r="X27" i="4" s="1"/>
  <c r="W26" i="4"/>
  <c r="W27" i="4" s="1"/>
  <c r="V26" i="4"/>
  <c r="V27" i="4" s="1"/>
  <c r="U26" i="4"/>
  <c r="U27" i="4" s="1"/>
  <c r="T26" i="4"/>
  <c r="T27" i="4" s="1"/>
  <c r="S26" i="4"/>
  <c r="S27" i="4" s="1"/>
  <c r="R26" i="4"/>
  <c r="R27" i="4" s="1"/>
  <c r="Q26" i="4"/>
  <c r="Q27" i="4" s="1"/>
  <c r="P26" i="4"/>
  <c r="P27" i="4" s="1"/>
  <c r="O26" i="4"/>
  <c r="O27" i="4" s="1"/>
  <c r="N26" i="4"/>
  <c r="N27" i="4" s="1"/>
  <c r="M26" i="4"/>
  <c r="M27" i="4" s="1"/>
  <c r="L26" i="4"/>
  <c r="L27" i="4" s="1"/>
  <c r="K26" i="4"/>
  <c r="K27" i="4" s="1"/>
  <c r="J26" i="4"/>
  <c r="J27" i="4" s="1"/>
  <c r="I26" i="4"/>
  <c r="I27" i="4" s="1"/>
  <c r="H26" i="4"/>
  <c r="H27" i="4" s="1"/>
  <c r="G26" i="4"/>
  <c r="G27" i="4" s="1"/>
  <c r="F26" i="4"/>
  <c r="F27" i="4" s="1"/>
  <c r="E26" i="4"/>
  <c r="E27" i="4" s="1"/>
  <c r="D26" i="4"/>
  <c r="D27" i="4" s="1"/>
  <c r="C26" i="4"/>
  <c r="C27" i="4" s="1"/>
  <c r="B26" i="4"/>
  <c r="B27" i="4" s="1"/>
  <c r="AJ22" i="4"/>
  <c r="AI22" i="4"/>
  <c r="AH22" i="4"/>
  <c r="AG22" i="4"/>
  <c r="AF22" i="4"/>
  <c r="AE22" i="4"/>
  <c r="AD22" i="4"/>
  <c r="AC22" i="4"/>
  <c r="AB22" i="4"/>
  <c r="AA22" i="4"/>
  <c r="Z22" i="4"/>
  <c r="Y22" i="4"/>
  <c r="X22" i="4"/>
  <c r="W22" i="4"/>
  <c r="V22" i="4"/>
  <c r="U22" i="4"/>
  <c r="T22" i="4"/>
  <c r="S22" i="4"/>
  <c r="R22" i="4"/>
  <c r="Q22" i="4"/>
  <c r="P22" i="4"/>
  <c r="O22" i="4"/>
  <c r="N22" i="4"/>
  <c r="M22" i="4"/>
  <c r="L22" i="4"/>
  <c r="K22" i="4"/>
  <c r="J22" i="4"/>
  <c r="I22" i="4"/>
  <c r="H22" i="4"/>
  <c r="G22" i="4"/>
  <c r="F22" i="4"/>
  <c r="E22" i="4"/>
  <c r="D22" i="4"/>
  <c r="C22" i="4"/>
  <c r="B22" i="4"/>
  <c r="AG17" i="4"/>
  <c r="AG18" i="4" s="1"/>
  <c r="AC17" i="4"/>
  <c r="Y17" i="4"/>
  <c r="Y18" i="4" s="1"/>
  <c r="V17" i="4"/>
  <c r="S17" i="4"/>
  <c r="P17" i="4"/>
  <c r="P18" i="4" s="1"/>
  <c r="Q18" i="4" s="1"/>
  <c r="M17" i="4"/>
  <c r="K17" i="4"/>
  <c r="I17" i="4"/>
  <c r="I18" i="4" s="1"/>
  <c r="J18" i="4" s="1"/>
  <c r="G17" i="4"/>
  <c r="E17" i="4"/>
  <c r="C17" i="4"/>
  <c r="C18" i="4" s="1"/>
  <c r="B17" i="4"/>
  <c r="A33" i="3"/>
  <c r="A35" i="3" s="1"/>
  <c r="AS32" i="3"/>
  <c r="AN32" i="3"/>
  <c r="AI32" i="3"/>
  <c r="AE32" i="3"/>
  <c r="AA32" i="3"/>
  <c r="W32" i="3"/>
  <c r="S32" i="3"/>
  <c r="P32" i="3"/>
  <c r="M32" i="3"/>
  <c r="J32" i="3"/>
  <c r="G32" i="3"/>
  <c r="D32" i="3"/>
  <c r="B32" i="3"/>
  <c r="AV31" i="3"/>
  <c r="AU31" i="3"/>
  <c r="AQ31" i="3"/>
  <c r="AP31" i="3"/>
  <c r="AL31" i="3"/>
  <c r="AK31" i="3"/>
  <c r="AG31" i="3"/>
  <c r="AC31" i="3"/>
  <c r="Y31" i="3"/>
  <c r="AW28" i="3"/>
  <c r="AW29" i="3" s="1"/>
  <c r="AV28" i="3"/>
  <c r="AV29" i="3" s="1"/>
  <c r="AU28" i="3"/>
  <c r="AU29" i="3" s="1"/>
  <c r="AT28" i="3"/>
  <c r="AT29" i="3" s="1"/>
  <c r="AS28" i="3"/>
  <c r="AS29" i="3" s="1"/>
  <c r="AR28" i="3"/>
  <c r="AR29" i="3" s="1"/>
  <c r="AQ28" i="3"/>
  <c r="AQ29" i="3" s="1"/>
  <c r="AP28" i="3"/>
  <c r="AP29" i="3" s="1"/>
  <c r="AO28" i="3"/>
  <c r="AO29" i="3" s="1"/>
  <c r="AN28" i="3"/>
  <c r="AN29" i="3" s="1"/>
  <c r="AM28" i="3"/>
  <c r="AM29" i="3" s="1"/>
  <c r="AL28" i="3"/>
  <c r="AL29" i="3" s="1"/>
  <c r="AK28" i="3"/>
  <c r="AK29" i="3" s="1"/>
  <c r="AJ28" i="3"/>
  <c r="AJ29" i="3" s="1"/>
  <c r="AI28" i="3"/>
  <c r="AI29" i="3" s="1"/>
  <c r="AH28" i="3"/>
  <c r="AH29" i="3" s="1"/>
  <c r="AG28" i="3"/>
  <c r="AG29" i="3" s="1"/>
  <c r="AF28" i="3"/>
  <c r="AF29" i="3" s="1"/>
  <c r="AE28" i="3"/>
  <c r="AE29" i="3" s="1"/>
  <c r="AD28" i="3"/>
  <c r="AD29" i="3" s="1"/>
  <c r="AC28" i="3"/>
  <c r="AC29" i="3" s="1"/>
  <c r="AB28" i="3"/>
  <c r="AB29" i="3" s="1"/>
  <c r="AA28" i="3"/>
  <c r="AA29" i="3" s="1"/>
  <c r="Z28" i="3"/>
  <c r="Z29" i="3" s="1"/>
  <c r="Y28" i="3"/>
  <c r="Y29" i="3" s="1"/>
  <c r="X28" i="3"/>
  <c r="X29" i="3" s="1"/>
  <c r="W28" i="3"/>
  <c r="W29" i="3" s="1"/>
  <c r="V28" i="3"/>
  <c r="V29" i="3" s="1"/>
  <c r="U28" i="3"/>
  <c r="U29" i="3" s="1"/>
  <c r="T28" i="3"/>
  <c r="T29" i="3" s="1"/>
  <c r="S28" i="3"/>
  <c r="S29" i="3" s="1"/>
  <c r="R28" i="3"/>
  <c r="R29" i="3" s="1"/>
  <c r="Q28" i="3"/>
  <c r="Q29" i="3" s="1"/>
  <c r="P28" i="3"/>
  <c r="P29" i="3" s="1"/>
  <c r="O28" i="3"/>
  <c r="O29" i="3" s="1"/>
  <c r="N28" i="3"/>
  <c r="N29" i="3" s="1"/>
  <c r="M28" i="3"/>
  <c r="M29" i="3" s="1"/>
  <c r="L28" i="3"/>
  <c r="L29" i="3" s="1"/>
  <c r="K28" i="3"/>
  <c r="K29" i="3" s="1"/>
  <c r="J28" i="3"/>
  <c r="J29" i="3" s="1"/>
  <c r="I28" i="3"/>
  <c r="I29" i="3" s="1"/>
  <c r="H28" i="3"/>
  <c r="H29" i="3" s="1"/>
  <c r="G28" i="3"/>
  <c r="G29" i="3" s="1"/>
  <c r="F28" i="3"/>
  <c r="F29" i="3" s="1"/>
  <c r="E28" i="3"/>
  <c r="E29" i="3" s="1"/>
  <c r="D28" i="3"/>
  <c r="D29" i="3" s="1"/>
  <c r="C28" i="3"/>
  <c r="C29" i="3" s="1"/>
  <c r="B28" i="3"/>
  <c r="B29" i="3" s="1"/>
  <c r="AW24" i="3"/>
  <c r="AV24" i="3"/>
  <c r="AU24" i="3"/>
  <c r="AT24" i="3"/>
  <c r="AS24" i="3"/>
  <c r="AR24" i="3"/>
  <c r="AQ24" i="3"/>
  <c r="AP24" i="3"/>
  <c r="AO24" i="3"/>
  <c r="AN24" i="3"/>
  <c r="AM24" i="3"/>
  <c r="AL24" i="3"/>
  <c r="AK24" i="3"/>
  <c r="AJ24" i="3"/>
  <c r="AI24" i="3"/>
  <c r="AH24" i="3"/>
  <c r="AG24" i="3"/>
  <c r="AF24" i="3"/>
  <c r="AE24" i="3"/>
  <c r="AD24" i="3"/>
  <c r="AC24" i="3"/>
  <c r="AB24" i="3"/>
  <c r="AA24" i="3"/>
  <c r="Z24" i="3"/>
  <c r="Y24" i="3"/>
  <c r="X24" i="3"/>
  <c r="W24" i="3"/>
  <c r="V24" i="3"/>
  <c r="U24" i="3"/>
  <c r="T24" i="3"/>
  <c r="S24" i="3"/>
  <c r="R24" i="3"/>
  <c r="Q24" i="3"/>
  <c r="P24" i="3"/>
  <c r="O24" i="3"/>
  <c r="N24" i="3"/>
  <c r="M24" i="3"/>
  <c r="L24" i="3"/>
  <c r="K24" i="3"/>
  <c r="J24" i="3"/>
  <c r="I24" i="3"/>
  <c r="H24" i="3"/>
  <c r="G24" i="3"/>
  <c r="F24" i="3"/>
  <c r="E24" i="3"/>
  <c r="D24" i="3"/>
  <c r="C24" i="3"/>
  <c r="B24" i="3"/>
  <c r="AS18" i="3"/>
  <c r="AN18" i="3"/>
  <c r="AI18" i="3"/>
  <c r="AI20" i="3" s="1"/>
  <c r="AE18" i="3"/>
  <c r="AA18" i="3"/>
  <c r="W18" i="3"/>
  <c r="W19" i="3" s="1"/>
  <c r="S18" i="3"/>
  <c r="P18" i="3"/>
  <c r="P19" i="3" s="1"/>
  <c r="Q19" i="3" s="1"/>
  <c r="M18" i="3"/>
  <c r="J18" i="3"/>
  <c r="G18" i="3"/>
  <c r="G20" i="3" s="1"/>
  <c r="D18" i="3"/>
  <c r="B18" i="3"/>
  <c r="AC20" i="4" l="1"/>
  <c r="AG20" i="4"/>
  <c r="M18" i="4"/>
  <c r="N18" i="4" s="1"/>
  <c r="AG19" i="4"/>
  <c r="M19" i="4"/>
  <c r="B23" i="4"/>
  <c r="B25" i="4" s="1"/>
  <c r="P23" i="4"/>
  <c r="P25" i="4" s="1"/>
  <c r="M23" i="4"/>
  <c r="M25" i="4" s="1"/>
  <c r="X31" i="5"/>
  <c r="X33" i="5" s="1"/>
  <c r="X23" i="5"/>
  <c r="AV23" i="5"/>
  <c r="AV28" i="5"/>
  <c r="AJ23" i="5"/>
  <c r="AJ26" i="5"/>
  <c r="X25" i="5"/>
  <c r="AD25" i="5"/>
  <c r="AD26" i="5"/>
  <c r="AV24" i="5"/>
  <c r="BL23" i="5"/>
  <c r="AV22" i="5"/>
  <c r="AJ25" i="5"/>
  <c r="BL26" i="5"/>
  <c r="AJ31" i="5"/>
  <c r="AJ33" i="5" s="1"/>
  <c r="D22" i="5"/>
  <c r="E22" i="5" s="1"/>
  <c r="C31" i="5"/>
  <c r="AP24" i="5"/>
  <c r="AQ24" i="5" s="1"/>
  <c r="AD23" i="5"/>
  <c r="X26" i="5"/>
  <c r="L24" i="5"/>
  <c r="B31" i="5"/>
  <c r="B33" i="5" s="1"/>
  <c r="D24" i="5"/>
  <c r="D31" i="5"/>
  <c r="D33" i="5" s="1"/>
  <c r="H24" i="5"/>
  <c r="H22" i="5"/>
  <c r="H31" i="5"/>
  <c r="H33" i="5" s="1"/>
  <c r="L22" i="5"/>
  <c r="L31" i="5"/>
  <c r="L33" i="5" s="1"/>
  <c r="P24" i="5"/>
  <c r="P22" i="5"/>
  <c r="P31" i="5"/>
  <c r="P33" i="5" s="1"/>
  <c r="T31" i="5"/>
  <c r="T33" i="5" s="1"/>
  <c r="T22" i="5"/>
  <c r="U22" i="5" s="1"/>
  <c r="T24" i="5"/>
  <c r="Y22" i="5"/>
  <c r="Y25" i="5" s="1"/>
  <c r="X24" i="5"/>
  <c r="AE22" i="5"/>
  <c r="AD31" i="5"/>
  <c r="AD33" i="5" s="1"/>
  <c r="AD24" i="5"/>
  <c r="AK22" i="5"/>
  <c r="AK31" i="5" s="1"/>
  <c r="AJ24" i="5"/>
  <c r="AP23" i="5"/>
  <c r="AP26" i="5"/>
  <c r="AP25" i="5"/>
  <c r="AQ31" i="5"/>
  <c r="AP31" i="5"/>
  <c r="AP33" i="5" s="1"/>
  <c r="AV27" i="5"/>
  <c r="AV26" i="5"/>
  <c r="AV31" i="5"/>
  <c r="AV33" i="5" s="1"/>
  <c r="BD25" i="5"/>
  <c r="BD28" i="5"/>
  <c r="BD24" i="5"/>
  <c r="BD22" i="5"/>
  <c r="BD31" i="5"/>
  <c r="BD33" i="5" s="1"/>
  <c r="BD23" i="5"/>
  <c r="BD26" i="5"/>
  <c r="BL27" i="5"/>
  <c r="BL31" i="5"/>
  <c r="BL33" i="5" s="1"/>
  <c r="BL24" i="5"/>
  <c r="BL22" i="5"/>
  <c r="BM22" i="5" s="1"/>
  <c r="BL25" i="5"/>
  <c r="BK35" i="5"/>
  <c r="BS35" i="5"/>
  <c r="BC35" i="5"/>
  <c r="AH35" i="5"/>
  <c r="AT35" i="5"/>
  <c r="BR35" i="5"/>
  <c r="S35" i="5"/>
  <c r="Q41" i="5" s="1"/>
  <c r="AB35" i="5"/>
  <c r="AI35" i="5"/>
  <c r="AN35" i="5"/>
  <c r="AU35" i="5"/>
  <c r="X41" i="5"/>
  <c r="BJ35" i="5"/>
  <c r="O35" i="5"/>
  <c r="M41" i="5" s="1"/>
  <c r="C41" i="5"/>
  <c r="P41" i="5"/>
  <c r="B41" i="5"/>
  <c r="AD41" i="5"/>
  <c r="AG41" i="5" s="1"/>
  <c r="H35" i="5"/>
  <c r="H41" i="5" s="1"/>
  <c r="K35" i="5"/>
  <c r="I41" i="5" s="1"/>
  <c r="T35" i="5"/>
  <c r="T41" i="5" s="1"/>
  <c r="W35" i="5"/>
  <c r="U41" i="5" s="1"/>
  <c r="BA35" i="5"/>
  <c r="BI35" i="5"/>
  <c r="BQ35" i="5"/>
  <c r="AP41" i="5"/>
  <c r="AS41" i="5" s="1"/>
  <c r="BD41" i="5"/>
  <c r="BG41" i="5" s="1"/>
  <c r="AC35" i="5"/>
  <c r="AO35" i="5"/>
  <c r="D41" i="5"/>
  <c r="A42" i="5"/>
  <c r="BB35" i="5"/>
  <c r="AJ41" i="5"/>
  <c r="AM41" i="5" s="1"/>
  <c r="K23" i="4"/>
  <c r="K25" i="4" s="1"/>
  <c r="AV41" i="5"/>
  <c r="AY41" i="5" s="1"/>
  <c r="AC23" i="4"/>
  <c r="AC25" i="4" s="1"/>
  <c r="G35" i="5"/>
  <c r="E41" i="5" s="1"/>
  <c r="L41" i="5"/>
  <c r="BL41" i="5"/>
  <c r="BO41" i="5" s="1"/>
  <c r="AG23" i="4"/>
  <c r="AG25" i="4" s="1"/>
  <c r="Z18" i="4"/>
  <c r="Z23" i="4" s="1"/>
  <c r="Z25" i="4" s="1"/>
  <c r="K33" i="4"/>
  <c r="AH18" i="4"/>
  <c r="AH23" i="4" s="1"/>
  <c r="AH25" i="4" s="1"/>
  <c r="S23" i="4"/>
  <c r="S25" i="4" s="1"/>
  <c r="S18" i="4"/>
  <c r="P33" i="4"/>
  <c r="Y33" i="4"/>
  <c r="A34" i="4"/>
  <c r="Y34" i="4" s="1"/>
  <c r="I33" i="4"/>
  <c r="C33" i="4"/>
  <c r="G33" i="4"/>
  <c r="E18" i="4"/>
  <c r="E23" i="4"/>
  <c r="E25" i="4" s="1"/>
  <c r="S19" i="4"/>
  <c r="AC33" i="4"/>
  <c r="V19" i="4"/>
  <c r="V18" i="4"/>
  <c r="B33" i="4"/>
  <c r="G23" i="4"/>
  <c r="G25" i="4" s="1"/>
  <c r="D18" i="4"/>
  <c r="D23" i="4" s="1"/>
  <c r="D25" i="4" s="1"/>
  <c r="I23" i="4"/>
  <c r="I25" i="4" s="1"/>
  <c r="S33" i="4"/>
  <c r="AG33" i="4"/>
  <c r="G18" i="4"/>
  <c r="J23" i="4"/>
  <c r="J25" i="4" s="1"/>
  <c r="E33" i="4"/>
  <c r="Q23" i="4"/>
  <c r="Q25" i="4" s="1"/>
  <c r="M33" i="4"/>
  <c r="Y20" i="4"/>
  <c r="Y23" i="4"/>
  <c r="Y25" i="4" s="1"/>
  <c r="Y19" i="4"/>
  <c r="V23" i="4"/>
  <c r="V25" i="4" s="1"/>
  <c r="V33" i="4"/>
  <c r="C23" i="4"/>
  <c r="C25" i="4" s="1"/>
  <c r="P19" i="4"/>
  <c r="K18" i="4"/>
  <c r="AC18" i="4"/>
  <c r="AC19" i="4"/>
  <c r="W21" i="3"/>
  <c r="AI21" i="3"/>
  <c r="J19" i="3"/>
  <c r="K19" i="3" s="1"/>
  <c r="J20" i="3"/>
  <c r="AE20" i="3"/>
  <c r="D25" i="3"/>
  <c r="D27" i="3" s="1"/>
  <c r="W20" i="3"/>
  <c r="AE19" i="3"/>
  <c r="AF19" i="3" s="1"/>
  <c r="AN20" i="3"/>
  <c r="G25" i="3"/>
  <c r="G27" i="3" s="1"/>
  <c r="P25" i="3"/>
  <c r="P27" i="3" s="1"/>
  <c r="AI25" i="3"/>
  <c r="AI27" i="3" s="1"/>
  <c r="AN25" i="3"/>
  <c r="AN27" i="3" s="1"/>
  <c r="P20" i="3"/>
  <c r="Q20" i="3" s="1"/>
  <c r="R20" i="3" s="1"/>
  <c r="AA25" i="3"/>
  <c r="AA27" i="3" s="1"/>
  <c r="AN22" i="3"/>
  <c r="M25" i="3"/>
  <c r="M27" i="3" s="1"/>
  <c r="D20" i="3"/>
  <c r="B19" i="3"/>
  <c r="S20" i="3"/>
  <c r="S21" i="3"/>
  <c r="S25" i="3"/>
  <c r="S27" i="3" s="1"/>
  <c r="S19" i="3"/>
  <c r="AS20" i="3"/>
  <c r="AS21" i="3"/>
  <c r="AS25" i="3"/>
  <c r="AS27" i="3" s="1"/>
  <c r="AS19" i="3"/>
  <c r="T35" i="3"/>
  <c r="S35" i="3"/>
  <c r="AI35" i="3"/>
  <c r="AN35" i="3"/>
  <c r="AS35" i="3"/>
  <c r="X19" i="3"/>
  <c r="H35" i="3"/>
  <c r="Q35" i="3"/>
  <c r="P35" i="3"/>
  <c r="AE35" i="3"/>
  <c r="B25" i="3"/>
  <c r="B27" i="3" s="1"/>
  <c r="A36" i="3"/>
  <c r="H36" i="3" s="1"/>
  <c r="J35" i="3"/>
  <c r="C35" i="3"/>
  <c r="M35" i="3"/>
  <c r="E35" i="3"/>
  <c r="K35" i="3"/>
  <c r="D35" i="3"/>
  <c r="B35" i="3"/>
  <c r="AS22" i="3"/>
  <c r="W35" i="3"/>
  <c r="G35" i="3"/>
  <c r="N35" i="3"/>
  <c r="Q25" i="3"/>
  <c r="Q27" i="3" s="1"/>
  <c r="AA35" i="3"/>
  <c r="AA21" i="3"/>
  <c r="AN21" i="3"/>
  <c r="W25" i="3"/>
  <c r="W27" i="3" s="1"/>
  <c r="G19" i="3"/>
  <c r="AA19" i="3"/>
  <c r="AN19" i="3"/>
  <c r="J25" i="3"/>
  <c r="J27" i="3" s="1"/>
  <c r="AE21" i="3"/>
  <c r="AI22" i="3"/>
  <c r="AE25" i="3"/>
  <c r="AE27" i="3" s="1"/>
  <c r="D19" i="3"/>
  <c r="M19" i="3"/>
  <c r="AI19" i="3"/>
  <c r="M20" i="3"/>
  <c r="AA20" i="3"/>
  <c r="DB42" i="2"/>
  <c r="DA42" i="2"/>
  <c r="CZ42" i="2"/>
  <c r="CY42" i="2"/>
  <c r="CX42" i="2"/>
  <c r="CW42" i="2"/>
  <c r="CP42" i="2"/>
  <c r="CO42" i="2"/>
  <c r="CN42" i="2"/>
  <c r="CM42" i="2"/>
  <c r="CL42" i="2"/>
  <c r="CK42" i="2"/>
  <c r="CD42" i="2"/>
  <c r="CC42" i="2"/>
  <c r="CB42" i="2"/>
  <c r="CA42" i="2"/>
  <c r="BZ42" i="2"/>
  <c r="BY42" i="2"/>
  <c r="BR42" i="2"/>
  <c r="BQ42" i="2"/>
  <c r="BP42" i="2"/>
  <c r="BO42" i="2"/>
  <c r="BI42" i="2"/>
  <c r="BH42" i="2"/>
  <c r="BG42" i="2"/>
  <c r="BF42" i="2"/>
  <c r="AZ42" i="2"/>
  <c r="AY42" i="2"/>
  <c r="AX42" i="2"/>
  <c r="AW42" i="2"/>
  <c r="AQ42" i="2"/>
  <c r="AP42" i="2"/>
  <c r="AO42" i="2"/>
  <c r="AN42" i="2"/>
  <c r="AH42" i="2"/>
  <c r="AG42" i="2"/>
  <c r="AB42" i="2"/>
  <c r="AA42" i="2"/>
  <c r="V42" i="2"/>
  <c r="U42" i="2"/>
  <c r="P42" i="2"/>
  <c r="O42" i="2"/>
  <c r="J42" i="2"/>
  <c r="I42" i="2"/>
  <c r="CP38" i="2"/>
  <c r="CO38" i="2"/>
  <c r="CN38" i="2"/>
  <c r="CM38" i="2"/>
  <c r="CL38" i="2"/>
  <c r="CK38" i="2"/>
  <c r="CJ38" i="2"/>
  <c r="CI38" i="2"/>
  <c r="CH38" i="2"/>
  <c r="CG38" i="2"/>
  <c r="CF38" i="2"/>
  <c r="CE38" i="2"/>
  <c r="CQ25" i="2"/>
  <c r="CQ32" i="2" s="1"/>
  <c r="CE25" i="2"/>
  <c r="CE26" i="2" s="1"/>
  <c r="CF26" i="2" s="1"/>
  <c r="BS25" i="2"/>
  <c r="BS32" i="2" s="1"/>
  <c r="BJ30" i="2"/>
  <c r="BJ25" i="2"/>
  <c r="BJ26" i="2" s="1"/>
  <c r="BK26" i="2" s="1"/>
  <c r="BA32" i="2"/>
  <c r="BA25" i="2"/>
  <c r="BA26" i="2" s="1"/>
  <c r="BB26" i="2" s="1"/>
  <c r="AR25" i="2"/>
  <c r="AR31" i="2" s="1"/>
  <c r="AI30" i="2"/>
  <c r="AI29" i="2"/>
  <c r="AI27" i="2"/>
  <c r="AI25" i="2"/>
  <c r="AI26" i="2" s="1"/>
  <c r="AJ26" i="2" s="1"/>
  <c r="BJ29" i="2" l="1"/>
  <c r="AO43" i="2"/>
  <c r="CB43" i="2"/>
  <c r="AR29" i="2"/>
  <c r="AR32" i="2"/>
  <c r="AS32" i="2" s="1"/>
  <c r="BJ27" i="2"/>
  <c r="BQ43" i="2"/>
  <c r="BA27" i="2"/>
  <c r="BB27" i="2" s="1"/>
  <c r="BC27" i="2" s="1"/>
  <c r="BC32" i="2" s="1"/>
  <c r="AI31" i="2"/>
  <c r="BA30" i="2"/>
  <c r="BB30" i="2" s="1"/>
  <c r="X20" i="3"/>
  <c r="Y20" i="3" s="1"/>
  <c r="CO43" i="2"/>
  <c r="BA29" i="2"/>
  <c r="BJ31" i="2"/>
  <c r="AI32" i="2"/>
  <c r="AJ32" i="2" s="1"/>
  <c r="BA31" i="2"/>
  <c r="BB31" i="2" s="1"/>
  <c r="AH19" i="4"/>
  <c r="AI19" i="4" s="1"/>
  <c r="N19" i="4"/>
  <c r="P34" i="4"/>
  <c r="AH20" i="4"/>
  <c r="N23" i="4"/>
  <c r="N25" i="4" s="1"/>
  <c r="AE26" i="5"/>
  <c r="AK23" i="5"/>
  <c r="AK25" i="5"/>
  <c r="E31" i="5"/>
  <c r="E33" i="5" s="1"/>
  <c r="E23" i="5"/>
  <c r="F23" i="5" s="1"/>
  <c r="AE23" i="5"/>
  <c r="AF23" i="5" s="1"/>
  <c r="AK26" i="5"/>
  <c r="U31" i="5"/>
  <c r="U33" i="5" s="1"/>
  <c r="AE31" i="5"/>
  <c r="AE33" i="5" s="1"/>
  <c r="Y26" i="5"/>
  <c r="Y23" i="5"/>
  <c r="AE25" i="5"/>
  <c r="Y31" i="5"/>
  <c r="Y33" i="5" s="1"/>
  <c r="AL23" i="5"/>
  <c r="BM31" i="5"/>
  <c r="BM33" i="5" s="1"/>
  <c r="E24" i="5"/>
  <c r="I22" i="5"/>
  <c r="I31" i="5" s="1"/>
  <c r="M22" i="5"/>
  <c r="M31" i="5" s="1"/>
  <c r="Q22" i="5"/>
  <c r="Q23" i="5" s="1"/>
  <c r="U23" i="5"/>
  <c r="U24" i="5"/>
  <c r="Y24" i="5"/>
  <c r="AF31" i="5"/>
  <c r="AE24" i="5"/>
  <c r="AK24" i="5"/>
  <c r="AQ25" i="5"/>
  <c r="AQ26" i="5"/>
  <c r="AQ23" i="5"/>
  <c r="AR23" i="5" s="1"/>
  <c r="AW22" i="5"/>
  <c r="AW24" i="5" s="1"/>
  <c r="BE22" i="5"/>
  <c r="BE27" i="5" s="1"/>
  <c r="BM27" i="5"/>
  <c r="BM24" i="5"/>
  <c r="BM25" i="5"/>
  <c r="BM26" i="5"/>
  <c r="BM23" i="5"/>
  <c r="BM28" i="5"/>
  <c r="AQ41" i="5"/>
  <c r="BE41" i="5"/>
  <c r="BH41" i="5" s="1"/>
  <c r="AQ42" i="5"/>
  <c r="AW41" i="5"/>
  <c r="AZ41" i="5" s="1"/>
  <c r="T42" i="5"/>
  <c r="BE42" i="5"/>
  <c r="BH42" i="5" s="1"/>
  <c r="C33" i="5"/>
  <c r="AE41" i="5"/>
  <c r="AK41" i="5"/>
  <c r="AP42" i="5"/>
  <c r="AS42" i="5" s="1"/>
  <c r="U42" i="5"/>
  <c r="I42" i="5"/>
  <c r="BM42" i="5"/>
  <c r="BP42" i="5" s="1"/>
  <c r="BM41" i="5"/>
  <c r="BP41" i="5" s="1"/>
  <c r="A43" i="5"/>
  <c r="L42" i="5"/>
  <c r="D42" i="5"/>
  <c r="P42" i="5"/>
  <c r="E42" i="5"/>
  <c r="Q42" i="5"/>
  <c r="C42" i="5"/>
  <c r="B42" i="5"/>
  <c r="M42" i="5"/>
  <c r="BD42" i="5"/>
  <c r="BG42" i="5" s="1"/>
  <c r="AK42" i="5"/>
  <c r="X42" i="5"/>
  <c r="AE42" i="5"/>
  <c r="AV42" i="5"/>
  <c r="AY42" i="5" s="1"/>
  <c r="AD42" i="5"/>
  <c r="AG42" i="5" s="1"/>
  <c r="BL42" i="5"/>
  <c r="BO42" i="5" s="1"/>
  <c r="AJ42" i="5"/>
  <c r="AM42" i="5" s="1"/>
  <c r="Y41" i="5"/>
  <c r="Y42" i="5"/>
  <c r="H42" i="5"/>
  <c r="AW42" i="5"/>
  <c r="AZ42" i="5" s="1"/>
  <c r="Z34" i="4"/>
  <c r="AH33" i="4"/>
  <c r="T33" i="4"/>
  <c r="W18" i="4"/>
  <c r="W23" i="4" s="1"/>
  <c r="W25" i="4" s="1"/>
  <c r="S34" i="4"/>
  <c r="L18" i="4"/>
  <c r="L23" i="4" s="1"/>
  <c r="L25" i="4" s="1"/>
  <c r="Q33" i="4"/>
  <c r="V34" i="4"/>
  <c r="AG34" i="4"/>
  <c r="W33" i="4"/>
  <c r="Z19" i="4"/>
  <c r="AA19" i="4" s="1"/>
  <c r="Z33" i="4"/>
  <c r="I34" i="4"/>
  <c r="B34" i="4"/>
  <c r="C34" i="4"/>
  <c r="A35" i="4"/>
  <c r="G34" i="4"/>
  <c r="K34" i="4"/>
  <c r="AC34" i="4"/>
  <c r="E34" i="4"/>
  <c r="AD18" i="4"/>
  <c r="Q19" i="4"/>
  <c r="M34" i="4"/>
  <c r="O19" i="4"/>
  <c r="Z20" i="4"/>
  <c r="F18" i="4"/>
  <c r="T18" i="4"/>
  <c r="T23" i="4" s="1"/>
  <c r="T25" i="4" s="1"/>
  <c r="H18" i="4"/>
  <c r="AD33" i="4"/>
  <c r="K20" i="3"/>
  <c r="L20" i="3" s="1"/>
  <c r="AE36" i="3"/>
  <c r="AG36" i="3" s="1"/>
  <c r="P36" i="3"/>
  <c r="S36" i="3"/>
  <c r="K25" i="3"/>
  <c r="K27" i="3" s="1"/>
  <c r="R25" i="3"/>
  <c r="R27" i="3" s="1"/>
  <c r="T36" i="3"/>
  <c r="AA36" i="3"/>
  <c r="W36" i="3"/>
  <c r="X36" i="3" s="1"/>
  <c r="G36" i="3"/>
  <c r="Q36" i="3"/>
  <c r="AN36" i="3"/>
  <c r="AP36" i="3" s="1"/>
  <c r="AO19" i="3"/>
  <c r="Y35" i="3"/>
  <c r="X35" i="3"/>
  <c r="AF20" i="3"/>
  <c r="AF25" i="3"/>
  <c r="AF27" i="3" s="1"/>
  <c r="AT19" i="3"/>
  <c r="AT21" i="3" s="1"/>
  <c r="X21" i="3"/>
  <c r="X25" i="3"/>
  <c r="X27" i="3" s="1"/>
  <c r="E19" i="3"/>
  <c r="AK35" i="3"/>
  <c r="AJ35" i="3"/>
  <c r="AB19" i="3"/>
  <c r="AB21" i="3" s="1"/>
  <c r="Y25" i="3"/>
  <c r="Y27" i="3" s="1"/>
  <c r="N19" i="3"/>
  <c r="H19" i="3"/>
  <c r="H25" i="3" s="1"/>
  <c r="H27" i="3" s="1"/>
  <c r="AJ19" i="3"/>
  <c r="AJ21" i="3" s="1"/>
  <c r="AF21" i="3"/>
  <c r="AB35" i="3"/>
  <c r="AC35" i="3"/>
  <c r="T19" i="3"/>
  <c r="AO35" i="3"/>
  <c r="AP35" i="3"/>
  <c r="N36" i="3"/>
  <c r="C36" i="3"/>
  <c r="E36" i="3"/>
  <c r="M36" i="3"/>
  <c r="A37" i="3"/>
  <c r="J36" i="3"/>
  <c r="B36" i="3"/>
  <c r="K36" i="3"/>
  <c r="D36" i="3"/>
  <c r="AS36" i="3"/>
  <c r="AI36" i="3"/>
  <c r="C19" i="3"/>
  <c r="AG35" i="3"/>
  <c r="AF35" i="3"/>
  <c r="AU35" i="3"/>
  <c r="AT35" i="3"/>
  <c r="CF39" i="2"/>
  <c r="CE39" i="2"/>
  <c r="CQ28" i="2"/>
  <c r="CQ33" i="2"/>
  <c r="CQ36" i="2"/>
  <c r="CQ35" i="2"/>
  <c r="CQ26" i="2"/>
  <c r="CR26" i="2" s="1"/>
  <c r="CQ29" i="2"/>
  <c r="CQ27" i="2"/>
  <c r="CQ30" i="2"/>
  <c r="CQ31" i="2"/>
  <c r="CQ34" i="2"/>
  <c r="CE35" i="2"/>
  <c r="CE28" i="2"/>
  <c r="CE33" i="2"/>
  <c r="CE36" i="2"/>
  <c r="CE27" i="2"/>
  <c r="CE31" i="2"/>
  <c r="CE34" i="2"/>
  <c r="CE30" i="2"/>
  <c r="CE29" i="2"/>
  <c r="CE32" i="2"/>
  <c r="BS36" i="2"/>
  <c r="BS26" i="2"/>
  <c r="BT26" i="2" s="1"/>
  <c r="BS27" i="2"/>
  <c r="BS30" i="2"/>
  <c r="BS31" i="2"/>
  <c r="BS34" i="2"/>
  <c r="BS28" i="2"/>
  <c r="BS33" i="2"/>
  <c r="BS35" i="2"/>
  <c r="BS29" i="2"/>
  <c r="BK30" i="2"/>
  <c r="BK31" i="2"/>
  <c r="BJ32" i="2"/>
  <c r="BK27" i="2"/>
  <c r="BL27" i="2" s="1"/>
  <c r="BK29" i="2"/>
  <c r="BJ28" i="2"/>
  <c r="BJ33" i="2"/>
  <c r="BA33" i="2"/>
  <c r="BB29" i="2"/>
  <c r="BB32" i="2"/>
  <c r="BA28" i="2"/>
  <c r="AS31" i="2"/>
  <c r="AR28" i="2"/>
  <c r="AR33" i="2"/>
  <c r="AR26" i="2"/>
  <c r="AS26" i="2" s="1"/>
  <c r="AR27" i="2"/>
  <c r="AR30" i="2"/>
  <c r="AJ27" i="2"/>
  <c r="AJ30" i="2"/>
  <c r="AK27" i="2"/>
  <c r="AK30" i="2" s="1"/>
  <c r="AJ29" i="2"/>
  <c r="AI28" i="2"/>
  <c r="AJ31" i="2"/>
  <c r="AI33" i="2"/>
  <c r="AH38" i="2"/>
  <c r="AG38" i="2"/>
  <c r="AF38" i="2"/>
  <c r="AE38" i="2"/>
  <c r="AD38" i="2"/>
  <c r="AC38" i="2"/>
  <c r="AC25" i="2"/>
  <c r="AC28" i="2" s="1"/>
  <c r="AB38" i="2"/>
  <c r="AA38" i="2"/>
  <c r="Z38" i="2"/>
  <c r="Y38" i="2"/>
  <c r="X38" i="2"/>
  <c r="W38" i="2"/>
  <c r="W25" i="2"/>
  <c r="W28" i="2" s="1"/>
  <c r="V38" i="2"/>
  <c r="U38" i="2"/>
  <c r="T38" i="2"/>
  <c r="S38" i="2"/>
  <c r="R38" i="2"/>
  <c r="Q38" i="2"/>
  <c r="Q25" i="2"/>
  <c r="Q29" i="2" s="1"/>
  <c r="P38" i="2"/>
  <c r="O38" i="2"/>
  <c r="N38" i="2"/>
  <c r="M38" i="2"/>
  <c r="L38" i="2"/>
  <c r="K38" i="2"/>
  <c r="K25" i="2"/>
  <c r="K28" i="2" s="1"/>
  <c r="J38" i="2"/>
  <c r="I38" i="2"/>
  <c r="H38" i="2"/>
  <c r="G38" i="2"/>
  <c r="F38" i="2"/>
  <c r="E38" i="2"/>
  <c r="E25" i="2"/>
  <c r="E28" i="2" s="1"/>
  <c r="DB38" i="2"/>
  <c r="DA38" i="2"/>
  <c r="CZ38" i="2"/>
  <c r="CY38" i="2"/>
  <c r="CX38" i="2"/>
  <c r="CW38" i="2"/>
  <c r="CD38" i="2"/>
  <c r="CC38" i="2"/>
  <c r="CB38" i="2"/>
  <c r="CA38" i="2"/>
  <c r="BZ38" i="2"/>
  <c r="BY38" i="2"/>
  <c r="BR38" i="2"/>
  <c r="BQ38" i="2"/>
  <c r="BP38" i="2"/>
  <c r="BO38" i="2"/>
  <c r="BI38" i="2"/>
  <c r="BH38" i="2"/>
  <c r="BG38" i="2"/>
  <c r="BF38" i="2"/>
  <c r="AZ38" i="2"/>
  <c r="AY38" i="2"/>
  <c r="AX38" i="2"/>
  <c r="AW38" i="2"/>
  <c r="AQ38" i="2"/>
  <c r="AP38" i="2"/>
  <c r="AO38" i="2"/>
  <c r="AN38" i="2"/>
  <c r="A50" i="2"/>
  <c r="A47" i="2"/>
  <c r="A49" i="2" s="1"/>
  <c r="CQ46" i="2"/>
  <c r="CE46" i="2"/>
  <c r="BS46" i="2"/>
  <c r="BJ46" i="2"/>
  <c r="BA46" i="2"/>
  <c r="AR46" i="2"/>
  <c r="AI46" i="2"/>
  <c r="AC46" i="2"/>
  <c r="W46" i="2"/>
  <c r="Q46" i="2"/>
  <c r="K46" i="2"/>
  <c r="E46" i="2"/>
  <c r="B46" i="2"/>
  <c r="CT45" i="2"/>
  <c r="CS45" i="2"/>
  <c r="CH45" i="2"/>
  <c r="CG45" i="2"/>
  <c r="BV45" i="2"/>
  <c r="BU45" i="2"/>
  <c r="BL45" i="2"/>
  <c r="BC45" i="2"/>
  <c r="AT45" i="2"/>
  <c r="CV42" i="2"/>
  <c r="CV43" i="2" s="1"/>
  <c r="CU42" i="2"/>
  <c r="CU43" i="2" s="1"/>
  <c r="CT42" i="2"/>
  <c r="CT43" i="2" s="1"/>
  <c r="DB43" i="2" s="1"/>
  <c r="CS42" i="2"/>
  <c r="CS43" i="2" s="1"/>
  <c r="CZ43" i="2" s="1"/>
  <c r="CR42" i="2"/>
  <c r="CR43" i="2" s="1"/>
  <c r="CX43" i="2" s="1"/>
  <c r="CQ42" i="2"/>
  <c r="CQ43" i="2" s="1"/>
  <c r="CJ42" i="2"/>
  <c r="CJ43" i="2" s="1"/>
  <c r="CI42" i="2"/>
  <c r="CI43" i="2" s="1"/>
  <c r="CH42" i="2"/>
  <c r="CH43" i="2" s="1"/>
  <c r="CP43" i="2" s="1"/>
  <c r="CG42" i="2"/>
  <c r="CG43" i="2" s="1"/>
  <c r="CN43" i="2" s="1"/>
  <c r="CF42" i="2"/>
  <c r="CF43" i="2" s="1"/>
  <c r="CL43" i="2" s="1"/>
  <c r="CE42" i="2"/>
  <c r="CE43" i="2" s="1"/>
  <c r="BX42" i="2"/>
  <c r="BX43" i="2" s="1"/>
  <c r="BW42" i="2"/>
  <c r="BW43" i="2" s="1"/>
  <c r="BV42" i="2"/>
  <c r="BV43" i="2" s="1"/>
  <c r="CD43" i="2" s="1"/>
  <c r="BU42" i="2"/>
  <c r="BU43" i="2" s="1"/>
  <c r="CA43" i="2" s="1"/>
  <c r="BT42" i="2"/>
  <c r="BT43" i="2" s="1"/>
  <c r="BY43" i="2" s="1"/>
  <c r="BS42" i="2"/>
  <c r="BS43" i="2" s="1"/>
  <c r="BN42" i="2"/>
  <c r="BN43" i="2" s="1"/>
  <c r="BM42" i="2"/>
  <c r="BM43" i="2" s="1"/>
  <c r="BL42" i="2"/>
  <c r="BL43" i="2" s="1"/>
  <c r="BR43" i="2" s="1"/>
  <c r="BK42" i="2"/>
  <c r="BK43" i="2" s="1"/>
  <c r="BJ42" i="2"/>
  <c r="BJ43" i="2" s="1"/>
  <c r="BE42" i="2"/>
  <c r="BE43" i="2" s="1"/>
  <c r="BD42" i="2"/>
  <c r="BD43" i="2" s="1"/>
  <c r="BC42" i="2"/>
  <c r="BC43" i="2" s="1"/>
  <c r="BH43" i="2" s="1"/>
  <c r="BB42" i="2"/>
  <c r="BB43" i="2" s="1"/>
  <c r="BG43" i="2" s="1"/>
  <c r="BA42" i="2"/>
  <c r="BA43" i="2" s="1"/>
  <c r="AV42" i="2"/>
  <c r="AV43" i="2" s="1"/>
  <c r="AU42" i="2"/>
  <c r="AU43" i="2" s="1"/>
  <c r="AT42" i="2"/>
  <c r="AT43" i="2" s="1"/>
  <c r="AS42" i="2"/>
  <c r="AS43" i="2" s="1"/>
  <c r="AW43" i="2" s="1"/>
  <c r="AR42" i="2"/>
  <c r="AR43" i="2" s="1"/>
  <c r="AM42" i="2"/>
  <c r="AM43" i="2" s="1"/>
  <c r="AL42" i="2"/>
  <c r="AL43" i="2" s="1"/>
  <c r="AK42" i="2"/>
  <c r="AK43" i="2" s="1"/>
  <c r="AJ42" i="2"/>
  <c r="AJ43" i="2" s="1"/>
  <c r="AI42" i="2"/>
  <c r="AI43" i="2" s="1"/>
  <c r="AF42" i="2"/>
  <c r="AF43" i="2" s="1"/>
  <c r="AE42" i="2"/>
  <c r="AE43" i="2" s="1"/>
  <c r="AD42" i="2"/>
  <c r="AD43" i="2" s="1"/>
  <c r="AC42" i="2"/>
  <c r="AC43" i="2" s="1"/>
  <c r="Z42" i="2"/>
  <c r="Z43" i="2" s="1"/>
  <c r="Y42" i="2"/>
  <c r="Y43" i="2" s="1"/>
  <c r="X42" i="2"/>
  <c r="X43" i="2" s="1"/>
  <c r="W42" i="2"/>
  <c r="W43" i="2" s="1"/>
  <c r="T42" i="2"/>
  <c r="T43" i="2" s="1"/>
  <c r="S42" i="2"/>
  <c r="S43" i="2" s="1"/>
  <c r="R42" i="2"/>
  <c r="R43" i="2" s="1"/>
  <c r="Q42" i="2"/>
  <c r="Q43" i="2" s="1"/>
  <c r="N42" i="2"/>
  <c r="N43" i="2" s="1"/>
  <c r="M42" i="2"/>
  <c r="M43" i="2" s="1"/>
  <c r="L42" i="2"/>
  <c r="L43" i="2" s="1"/>
  <c r="K42" i="2"/>
  <c r="K43" i="2" s="1"/>
  <c r="H42" i="2"/>
  <c r="H43" i="2" s="1"/>
  <c r="G42" i="2"/>
  <c r="G43" i="2" s="1"/>
  <c r="F42" i="2"/>
  <c r="F43" i="2" s="1"/>
  <c r="E42" i="2"/>
  <c r="J43" i="2" s="1"/>
  <c r="D42" i="2"/>
  <c r="D43" i="2" s="1"/>
  <c r="C42" i="2"/>
  <c r="C43" i="2" s="1"/>
  <c r="B42" i="2"/>
  <c r="B43" i="2" s="1"/>
  <c r="CV38" i="2"/>
  <c r="CU38" i="2"/>
  <c r="CT38" i="2"/>
  <c r="CS38" i="2"/>
  <c r="CR38" i="2"/>
  <c r="CQ38" i="2"/>
  <c r="BX38" i="2"/>
  <c r="BW38" i="2"/>
  <c r="BV38" i="2"/>
  <c r="BU38" i="2"/>
  <c r="BT38" i="2"/>
  <c r="BS38" i="2"/>
  <c r="BN38" i="2"/>
  <c r="BM38" i="2"/>
  <c r="BL38" i="2"/>
  <c r="BK38" i="2"/>
  <c r="BJ38" i="2"/>
  <c r="BE38" i="2"/>
  <c r="BD38" i="2"/>
  <c r="BC38" i="2"/>
  <c r="BB38" i="2"/>
  <c r="BA38" i="2"/>
  <c r="AV38" i="2"/>
  <c r="AU38" i="2"/>
  <c r="AT38" i="2"/>
  <c r="AS38" i="2"/>
  <c r="AR38" i="2"/>
  <c r="AM38" i="2"/>
  <c r="AL38" i="2"/>
  <c r="AK38" i="2"/>
  <c r="AJ38" i="2"/>
  <c r="AI38" i="2"/>
  <c r="D38" i="2"/>
  <c r="C38" i="2"/>
  <c r="B38" i="2"/>
  <c r="B25" i="2"/>
  <c r="B27" i="2" s="1"/>
  <c r="CS49" i="2" l="1"/>
  <c r="CV49" i="2" s="1"/>
  <c r="Q28" i="2"/>
  <c r="AX43" i="2"/>
  <c r="AS29" i="2"/>
  <c r="CW43" i="2"/>
  <c r="AG43" i="2"/>
  <c r="Q30" i="2"/>
  <c r="AB43" i="2"/>
  <c r="Y49" i="2" s="1"/>
  <c r="BZ43" i="2"/>
  <c r="BU49" i="2" s="1"/>
  <c r="BX49" i="2" s="1"/>
  <c r="O43" i="2"/>
  <c r="L49" i="2" s="1"/>
  <c r="V43" i="2"/>
  <c r="S50" i="2" s="1"/>
  <c r="CS51" i="2"/>
  <c r="CV51" i="2" s="1"/>
  <c r="F50" i="2"/>
  <c r="CG50" i="2"/>
  <c r="CJ50" i="2" s="1"/>
  <c r="CY43" i="2"/>
  <c r="AP43" i="2"/>
  <c r="BP43" i="2"/>
  <c r="BL49" i="2" s="1"/>
  <c r="BO49" i="2" s="1"/>
  <c r="BO43" i="2"/>
  <c r="BK51" i="2" s="1"/>
  <c r="BN51" i="2" s="1"/>
  <c r="AD50" i="2"/>
  <c r="M50" i="2"/>
  <c r="BK49" i="2"/>
  <c r="BN49" i="2" s="1"/>
  <c r="BT50" i="2"/>
  <c r="BW50" i="2" s="1"/>
  <c r="A51" i="2"/>
  <c r="W30" i="2"/>
  <c r="AC30" i="2"/>
  <c r="Y21" i="3"/>
  <c r="Z21" i="3" s="1"/>
  <c r="CK43" i="2"/>
  <c r="BI43" i="2"/>
  <c r="BC50" i="2" s="1"/>
  <c r="BF50" i="2" s="1"/>
  <c r="U43" i="2"/>
  <c r="R50" i="2" s="1"/>
  <c r="BU50" i="2"/>
  <c r="BX50" i="2" s="1"/>
  <c r="CG51" i="2"/>
  <c r="CJ51" i="2" s="1"/>
  <c r="AL24" i="5"/>
  <c r="AA43" i="2"/>
  <c r="X49" i="2" s="1"/>
  <c r="AN43" i="2"/>
  <c r="AJ49" i="2" s="1"/>
  <c r="AH43" i="2"/>
  <c r="AE50" i="2" s="1"/>
  <c r="BF43" i="2"/>
  <c r="BB51" i="2" s="1"/>
  <c r="BE51" i="2" s="1"/>
  <c r="AZ43" i="2"/>
  <c r="AT50" i="2" s="1"/>
  <c r="AW50" i="2" s="1"/>
  <c r="AY43" i="2"/>
  <c r="AS50" i="2" s="1"/>
  <c r="AV50" i="2" s="1"/>
  <c r="BL50" i="2"/>
  <c r="BO50" i="2" s="1"/>
  <c r="CC43" i="2"/>
  <c r="BT49" i="2" s="1"/>
  <c r="BW49" i="2" s="1"/>
  <c r="DA43" i="2"/>
  <c r="CR50" i="2" s="1"/>
  <c r="CU50" i="2" s="1"/>
  <c r="BL51" i="2"/>
  <c r="BO51" i="2" s="1"/>
  <c r="CS50" i="2"/>
  <c r="CV50" i="2" s="1"/>
  <c r="CM43" i="2"/>
  <c r="AQ43" i="2"/>
  <c r="AK50" i="2" s="1"/>
  <c r="E43" i="2"/>
  <c r="E50" i="2" s="1"/>
  <c r="I43" i="2"/>
  <c r="F49" i="2" s="1"/>
  <c r="CG49" i="2"/>
  <c r="CJ49" i="2" s="1"/>
  <c r="E30" i="2"/>
  <c r="K30" i="2"/>
  <c r="Q27" i="2"/>
  <c r="AF25" i="5"/>
  <c r="P43" i="2"/>
  <c r="M49" i="2" s="1"/>
  <c r="Q34" i="4"/>
  <c r="AI20" i="4"/>
  <c r="AJ20" i="4" s="1"/>
  <c r="AJ23" i="4" s="1"/>
  <c r="AJ25" i="4" s="1"/>
  <c r="H23" i="4"/>
  <c r="H25" i="4" s="1"/>
  <c r="AI23" i="4"/>
  <c r="AI25" i="4" s="1"/>
  <c r="F23" i="4"/>
  <c r="F25" i="4" s="1"/>
  <c r="R19" i="4"/>
  <c r="W19" i="4"/>
  <c r="X19" i="4" s="1"/>
  <c r="X23" i="4" s="1"/>
  <c r="X25" i="4" s="1"/>
  <c r="O23" i="4"/>
  <c r="O25" i="4" s="1"/>
  <c r="AF26" i="5"/>
  <c r="F24" i="5"/>
  <c r="AL25" i="5"/>
  <c r="AF24" i="5"/>
  <c r="BE23" i="5"/>
  <c r="BF23" i="5" s="1"/>
  <c r="BF31" i="5" s="1"/>
  <c r="BF33" i="5" s="1"/>
  <c r="AL26" i="5"/>
  <c r="AW25" i="5"/>
  <c r="F31" i="5"/>
  <c r="AL31" i="5"/>
  <c r="BE24" i="5"/>
  <c r="Q24" i="5"/>
  <c r="BE31" i="5"/>
  <c r="BE33" i="5" s="1"/>
  <c r="BE28" i="5"/>
  <c r="AR25" i="5"/>
  <c r="Q31" i="5"/>
  <c r="Q33" i="5" s="1"/>
  <c r="Z23" i="5"/>
  <c r="Z31" i="5" s="1"/>
  <c r="Z33" i="5" s="1"/>
  <c r="BE25" i="5"/>
  <c r="AW31" i="5"/>
  <c r="AW33" i="5" s="1"/>
  <c r="BE26" i="5"/>
  <c r="AW26" i="5"/>
  <c r="V23" i="5"/>
  <c r="V24" i="5" s="1"/>
  <c r="W24" i="5" s="1"/>
  <c r="G24" i="5"/>
  <c r="G31" i="5" s="1"/>
  <c r="I23" i="5"/>
  <c r="I24" i="5"/>
  <c r="M23" i="5"/>
  <c r="M24" i="5"/>
  <c r="R23" i="5"/>
  <c r="R31" i="5" s="1"/>
  <c r="R33" i="5" s="1"/>
  <c r="AG24" i="5"/>
  <c r="AG25" i="5" s="1"/>
  <c r="AM24" i="5"/>
  <c r="AR26" i="5"/>
  <c r="AR31" i="5"/>
  <c r="AR24" i="5"/>
  <c r="AW28" i="5"/>
  <c r="AW23" i="5"/>
  <c r="AX23" i="5" s="1"/>
  <c r="AQ33" i="5"/>
  <c r="BN23" i="5"/>
  <c r="BN25" i="5" s="1"/>
  <c r="AW43" i="5"/>
  <c r="AZ43" i="5" s="1"/>
  <c r="BE43" i="5"/>
  <c r="BH43" i="5" s="1"/>
  <c r="Y43" i="5"/>
  <c r="BM43" i="5"/>
  <c r="BP43" i="5" s="1"/>
  <c r="AK33" i="5"/>
  <c r="I33" i="5"/>
  <c r="M43" i="5"/>
  <c r="E43" i="5"/>
  <c r="B43" i="5"/>
  <c r="P43" i="5"/>
  <c r="C43" i="5"/>
  <c r="L43" i="5"/>
  <c r="A44" i="5"/>
  <c r="D43" i="5"/>
  <c r="Q43" i="5"/>
  <c r="AE43" i="5"/>
  <c r="AP43" i="5"/>
  <c r="AS43" i="5" s="1"/>
  <c r="BD43" i="5"/>
  <c r="BG43" i="5" s="1"/>
  <c r="AK43" i="5"/>
  <c r="H43" i="5"/>
  <c r="BL43" i="5"/>
  <c r="BO43" i="5" s="1"/>
  <c r="T43" i="5"/>
  <c r="X43" i="5"/>
  <c r="I43" i="5"/>
  <c r="AV43" i="5"/>
  <c r="AY43" i="5" s="1"/>
  <c r="AJ43" i="5"/>
  <c r="AM43" i="5" s="1"/>
  <c r="U43" i="5"/>
  <c r="AQ43" i="5"/>
  <c r="AD43" i="5"/>
  <c r="AG43" i="5" s="1"/>
  <c r="M33" i="5"/>
  <c r="AD34" i="4"/>
  <c r="AA23" i="4"/>
  <c r="AA25" i="4" s="1"/>
  <c r="T19" i="4"/>
  <c r="AD23" i="4"/>
  <c r="AD25" i="4" s="1"/>
  <c r="AH34" i="4"/>
  <c r="AA20" i="4"/>
  <c r="AB20" i="4" s="1"/>
  <c r="W34" i="4"/>
  <c r="T34" i="4"/>
  <c r="AD20" i="4"/>
  <c r="AD19" i="4"/>
  <c r="A36" i="4"/>
  <c r="I35" i="4"/>
  <c r="C35" i="4"/>
  <c r="G35" i="4"/>
  <c r="B35" i="4"/>
  <c r="V35" i="4"/>
  <c r="K35" i="4"/>
  <c r="M35" i="4"/>
  <c r="AG35" i="4"/>
  <c r="P35" i="4"/>
  <c r="S35" i="4"/>
  <c r="AC35" i="4"/>
  <c r="E35" i="4"/>
  <c r="Y35" i="4"/>
  <c r="AF36" i="3"/>
  <c r="C25" i="3"/>
  <c r="C27" i="3" s="1"/>
  <c r="AJ22" i="3"/>
  <c r="AC36" i="3"/>
  <c r="AB36" i="3"/>
  <c r="AJ20" i="3"/>
  <c r="AK20" i="3" s="1"/>
  <c r="Y36" i="3"/>
  <c r="AB25" i="3"/>
  <c r="AB27" i="3" s="1"/>
  <c r="L25" i="3"/>
  <c r="L27" i="3" s="1"/>
  <c r="AB20" i="3"/>
  <c r="AJ25" i="3"/>
  <c r="AJ27" i="3" s="1"/>
  <c r="T20" i="3"/>
  <c r="U20" i="3" s="1"/>
  <c r="H20" i="3"/>
  <c r="T21" i="3"/>
  <c r="AO36" i="3"/>
  <c r="AO21" i="3"/>
  <c r="N25" i="3"/>
  <c r="N27" i="3" s="1"/>
  <c r="N20" i="3"/>
  <c r="O20" i="3" s="1"/>
  <c r="O25" i="3" s="1"/>
  <c r="O27" i="3" s="1"/>
  <c r="E25" i="3"/>
  <c r="E27" i="3" s="1"/>
  <c r="AO20" i="3"/>
  <c r="AO22" i="3"/>
  <c r="AT20" i="3"/>
  <c r="AT25" i="3"/>
  <c r="AT27" i="3" s="1"/>
  <c r="AT22" i="3"/>
  <c r="AU36" i="3"/>
  <c r="AT36" i="3"/>
  <c r="A38" i="3"/>
  <c r="J37" i="3"/>
  <c r="D37" i="3"/>
  <c r="E37" i="3"/>
  <c r="K37" i="3"/>
  <c r="N37" i="3"/>
  <c r="C37" i="3"/>
  <c r="M37" i="3"/>
  <c r="B37" i="3"/>
  <c r="S37" i="3"/>
  <c r="T37" i="3"/>
  <c r="AI37" i="3"/>
  <c r="AA37" i="3"/>
  <c r="AS37" i="3"/>
  <c r="Q37" i="3"/>
  <c r="AN37" i="3"/>
  <c r="P37" i="3"/>
  <c r="AE37" i="3"/>
  <c r="W37" i="3"/>
  <c r="G37" i="3"/>
  <c r="H37" i="3"/>
  <c r="AG20" i="3"/>
  <c r="AG25" i="3" s="1"/>
  <c r="AG27" i="3" s="1"/>
  <c r="AK36" i="3"/>
  <c r="AJ36" i="3"/>
  <c r="T25" i="3"/>
  <c r="T27" i="3" s="1"/>
  <c r="E20" i="3"/>
  <c r="AO25" i="3"/>
  <c r="AO27" i="3" s="1"/>
  <c r="B39" i="2"/>
  <c r="B41" i="2" s="1"/>
  <c r="E39" i="2"/>
  <c r="E41" i="2" s="1"/>
  <c r="K39" i="2"/>
  <c r="K41" i="2" s="1"/>
  <c r="Q39" i="2"/>
  <c r="Q41" i="2" s="1"/>
  <c r="W39" i="2"/>
  <c r="W41" i="2" s="1"/>
  <c r="AC39" i="2"/>
  <c r="AC41" i="2" s="1"/>
  <c r="AK39" i="2"/>
  <c r="AI39" i="2"/>
  <c r="AI41" i="2" s="1"/>
  <c r="AJ39" i="2"/>
  <c r="AS39" i="2"/>
  <c r="AS41" i="2" s="1"/>
  <c r="AR39" i="2"/>
  <c r="AR41" i="2" s="1"/>
  <c r="BC39" i="2"/>
  <c r="BB39" i="2"/>
  <c r="BA39" i="2"/>
  <c r="BA41" i="2" s="1"/>
  <c r="BL39" i="2"/>
  <c r="BJ39" i="2"/>
  <c r="BJ41" i="2" s="1"/>
  <c r="BK39" i="2"/>
  <c r="BK41" i="2" s="1"/>
  <c r="BT39" i="2"/>
  <c r="BS39" i="2"/>
  <c r="BS41" i="2" s="1"/>
  <c r="CR39" i="2"/>
  <c r="CQ39" i="2"/>
  <c r="CQ41" i="2" s="1"/>
  <c r="CR29" i="2"/>
  <c r="CR31" i="2"/>
  <c r="CR34" i="2"/>
  <c r="CR36" i="2"/>
  <c r="CR30" i="2"/>
  <c r="CR33" i="2"/>
  <c r="CR32" i="2"/>
  <c r="CR35" i="2"/>
  <c r="CR27" i="2"/>
  <c r="CR28" i="2"/>
  <c r="CF31" i="2"/>
  <c r="CF27" i="2"/>
  <c r="CF32" i="2"/>
  <c r="CF36" i="2"/>
  <c r="CF29" i="2"/>
  <c r="CF33" i="2"/>
  <c r="CF30" i="2"/>
  <c r="CF28" i="2"/>
  <c r="CF34" i="2"/>
  <c r="CF35" i="2"/>
  <c r="BT34" i="2"/>
  <c r="BT31" i="2"/>
  <c r="BT29" i="2"/>
  <c r="BT30" i="2"/>
  <c r="BT35" i="2"/>
  <c r="BT27" i="2"/>
  <c r="BU27" i="2" s="1"/>
  <c r="BT33" i="2"/>
  <c r="BT32" i="2"/>
  <c r="BT28" i="2"/>
  <c r="BT36" i="2"/>
  <c r="BK33" i="2"/>
  <c r="BL31" i="2"/>
  <c r="BK32" i="2"/>
  <c r="BL32" i="2" s="1"/>
  <c r="BL29" i="2"/>
  <c r="BL30" i="2"/>
  <c r="BK28" i="2"/>
  <c r="BC30" i="2"/>
  <c r="BB28" i="2"/>
  <c r="BB33" i="2"/>
  <c r="BC29" i="2"/>
  <c r="BC28" i="2"/>
  <c r="BD28" i="2" s="1"/>
  <c r="BD32" i="2" s="1"/>
  <c r="BC31" i="2"/>
  <c r="BC33" i="2"/>
  <c r="AS30" i="2"/>
  <c r="AS33" i="2"/>
  <c r="AS27" i="2"/>
  <c r="AS28" i="2"/>
  <c r="AK32" i="2"/>
  <c r="AK31" i="2"/>
  <c r="AK29" i="2"/>
  <c r="AJ33" i="2"/>
  <c r="AJ28" i="2"/>
  <c r="AC29" i="2"/>
  <c r="AC27" i="2"/>
  <c r="AC26" i="2"/>
  <c r="W26" i="2"/>
  <c r="W29" i="2"/>
  <c r="W27" i="2"/>
  <c r="Q26" i="2"/>
  <c r="K26" i="2"/>
  <c r="K29" i="2"/>
  <c r="K27" i="2"/>
  <c r="E29" i="2"/>
  <c r="E27" i="2"/>
  <c r="E26" i="2"/>
  <c r="A52" i="2"/>
  <c r="R49" i="2"/>
  <c r="S49" i="2"/>
  <c r="G49" i="2"/>
  <c r="G50" i="2"/>
  <c r="X50" i="2"/>
  <c r="Y50" i="2"/>
  <c r="AE49" i="2"/>
  <c r="AD49" i="2"/>
  <c r="AT49" i="2"/>
  <c r="AW49" i="2" s="1"/>
  <c r="B26" i="2"/>
  <c r="C26" i="2" s="1"/>
  <c r="CE41" i="2"/>
  <c r="AI50" i="2"/>
  <c r="C50" i="2"/>
  <c r="D49" i="2"/>
  <c r="BS50" i="2"/>
  <c r="BJ50" i="2"/>
  <c r="BJ49" i="2"/>
  <c r="AC49" i="2"/>
  <c r="C27" i="2"/>
  <c r="BS49" i="2"/>
  <c r="AR50" i="2"/>
  <c r="AR49" i="2"/>
  <c r="CE50" i="2"/>
  <c r="CE49" i="2"/>
  <c r="B50" i="2"/>
  <c r="W50" i="2"/>
  <c r="Q50" i="2"/>
  <c r="D50" i="2"/>
  <c r="CQ50" i="2"/>
  <c r="CQ49" i="2"/>
  <c r="AC50" i="2"/>
  <c r="AI49" i="2"/>
  <c r="BA49" i="2"/>
  <c r="BA50" i="2"/>
  <c r="W49" i="2"/>
  <c r="K50" i="2"/>
  <c r="C49" i="2"/>
  <c r="B49" i="2"/>
  <c r="Q49" i="2"/>
  <c r="K49" i="2"/>
  <c r="D26" i="1"/>
  <c r="C26" i="1"/>
  <c r="B26" i="1"/>
  <c r="B19" i="1"/>
  <c r="B20" i="1" s="1"/>
  <c r="C20" i="1" s="1"/>
  <c r="H26" i="1"/>
  <c r="G26" i="1"/>
  <c r="F26" i="1"/>
  <c r="E26" i="1"/>
  <c r="E19" i="1"/>
  <c r="E20" i="1" s="1"/>
  <c r="L26" i="1"/>
  <c r="K26" i="1"/>
  <c r="J26" i="1"/>
  <c r="I26" i="1"/>
  <c r="I19" i="1"/>
  <c r="I20" i="1" s="1"/>
  <c r="P26" i="1"/>
  <c r="O26" i="1"/>
  <c r="N26" i="1"/>
  <c r="M26" i="1"/>
  <c r="M19" i="1"/>
  <c r="M20" i="1" s="1"/>
  <c r="T26" i="1"/>
  <c r="S26" i="1"/>
  <c r="R26" i="1"/>
  <c r="Q26" i="1"/>
  <c r="Q19" i="1"/>
  <c r="Q20" i="1" s="1"/>
  <c r="X26" i="1"/>
  <c r="W26" i="1"/>
  <c r="V26" i="1"/>
  <c r="U26" i="1"/>
  <c r="U19" i="1"/>
  <c r="U20" i="1" s="1"/>
  <c r="Y19" i="1"/>
  <c r="Y20" i="1" s="1"/>
  <c r="Y26" i="1"/>
  <c r="AC26" i="1"/>
  <c r="AB26" i="1"/>
  <c r="AA26" i="1"/>
  <c r="Z26" i="1"/>
  <c r="AH26" i="1"/>
  <c r="AG26" i="1"/>
  <c r="AF26" i="1"/>
  <c r="AE26" i="1"/>
  <c r="AD26" i="1"/>
  <c r="AD19" i="1"/>
  <c r="AD20" i="1" s="1"/>
  <c r="AM26" i="1"/>
  <c r="AL26" i="1"/>
  <c r="AK26" i="1"/>
  <c r="AJ26" i="1"/>
  <c r="AI26" i="1"/>
  <c r="AI19" i="1"/>
  <c r="AI20" i="1" s="1"/>
  <c r="AR26" i="1"/>
  <c r="AQ26" i="1"/>
  <c r="AP26" i="1"/>
  <c r="AO26" i="1"/>
  <c r="AN26" i="1"/>
  <c r="AN19" i="1"/>
  <c r="AN23" i="1" s="1"/>
  <c r="AS19" i="1"/>
  <c r="AS20" i="1" s="1"/>
  <c r="AS26" i="1"/>
  <c r="AX26" i="1"/>
  <c r="AW26" i="1"/>
  <c r="AV26" i="1"/>
  <c r="AU26" i="1"/>
  <c r="AT26" i="1"/>
  <c r="BD26" i="1"/>
  <c r="BC26" i="1"/>
  <c r="BB26" i="1"/>
  <c r="BA26" i="1"/>
  <c r="AZ26" i="1"/>
  <c r="AY26" i="1"/>
  <c r="AY19" i="1"/>
  <c r="AY23" i="1" s="1"/>
  <c r="BE26" i="1"/>
  <c r="BF26" i="1"/>
  <c r="BG26" i="1"/>
  <c r="BH26" i="1"/>
  <c r="BI26" i="1"/>
  <c r="BJ26" i="1"/>
  <c r="BE19" i="1"/>
  <c r="BE24" i="1" s="1"/>
  <c r="AS49" i="2" l="1"/>
  <c r="AV49" i="2" s="1"/>
  <c r="CF51" i="2"/>
  <c r="CI51" i="2" s="1"/>
  <c r="CF50" i="2"/>
  <c r="CI50" i="2" s="1"/>
  <c r="CF49" i="2"/>
  <c r="CI49" i="2" s="1"/>
  <c r="AS51" i="2"/>
  <c r="AV51" i="2" s="1"/>
  <c r="BK50" i="2"/>
  <c r="BN50" i="2" s="1"/>
  <c r="L50" i="2"/>
  <c r="R39" i="2"/>
  <c r="BU32" i="2"/>
  <c r="BU39" i="2"/>
  <c r="D39" i="2"/>
  <c r="X39" i="2"/>
  <c r="BE39" i="2"/>
  <c r="BD33" i="2"/>
  <c r="BB49" i="2"/>
  <c r="BE49" i="2" s="1"/>
  <c r="BC51" i="2"/>
  <c r="BF51" i="2" s="1"/>
  <c r="E49" i="2"/>
  <c r="B21" i="1"/>
  <c r="D27" i="1" s="1"/>
  <c r="BD39" i="2"/>
  <c r="BC49" i="2"/>
  <c r="BF49" i="2" s="1"/>
  <c r="BB50" i="2"/>
  <c r="BE50" i="2" s="1"/>
  <c r="BL33" i="2"/>
  <c r="BF27" i="5"/>
  <c r="BD30" i="2"/>
  <c r="C39" i="2"/>
  <c r="C41" i="2" s="1"/>
  <c r="CR51" i="2"/>
  <c r="CU51" i="2" s="1"/>
  <c r="BU51" i="2"/>
  <c r="BX51" i="2" s="1"/>
  <c r="BT51" i="2"/>
  <c r="BW51" i="2" s="1"/>
  <c r="AJ50" i="2"/>
  <c r="CG39" i="2"/>
  <c r="AK49" i="2"/>
  <c r="BD29" i="2"/>
  <c r="BE29" i="2" s="1"/>
  <c r="BE32" i="2" s="1"/>
  <c r="CG27" i="2"/>
  <c r="CG32" i="2" s="1"/>
  <c r="CR49" i="2"/>
  <c r="CU49" i="2" s="1"/>
  <c r="R23" i="4"/>
  <c r="R25" i="4" s="1"/>
  <c r="AM25" i="5"/>
  <c r="AN25" i="5" s="1"/>
  <c r="BF24" i="5"/>
  <c r="BF25" i="5"/>
  <c r="BF26" i="5"/>
  <c r="BF28" i="5"/>
  <c r="AM26" i="5"/>
  <c r="R24" i="5"/>
  <c r="S24" i="5" s="1"/>
  <c r="S31" i="5" s="1"/>
  <c r="Z26" i="5"/>
  <c r="AX28" i="5"/>
  <c r="BN31" i="5"/>
  <c r="BN33" i="5" s="1"/>
  <c r="V31" i="5"/>
  <c r="V33" i="5" s="1"/>
  <c r="AX25" i="5"/>
  <c r="AM31" i="5"/>
  <c r="AG26" i="5"/>
  <c r="Z25" i="5"/>
  <c r="W31" i="5"/>
  <c r="Z24" i="5"/>
  <c r="J23" i="5"/>
  <c r="J31" i="5" s="1"/>
  <c r="N23" i="5"/>
  <c r="N31" i="5" s="1"/>
  <c r="AH25" i="5"/>
  <c r="AH31" i="5" s="1"/>
  <c r="AG31" i="5"/>
  <c r="AS24" i="5"/>
  <c r="AS25" i="5" s="1"/>
  <c r="AX26" i="5"/>
  <c r="AX24" i="5"/>
  <c r="AY24" i="5" s="1"/>
  <c r="AY31" i="5" s="1"/>
  <c r="AX31" i="5"/>
  <c r="AX33" i="5" s="1"/>
  <c r="BG24" i="5"/>
  <c r="BG26" i="5" s="1"/>
  <c r="BN28" i="5"/>
  <c r="BN26" i="5"/>
  <c r="BN24" i="5"/>
  <c r="BN27" i="5"/>
  <c r="F33" i="5"/>
  <c r="Q44" i="5"/>
  <c r="C44" i="5"/>
  <c r="P44" i="5"/>
  <c r="B44" i="5"/>
  <c r="E44" i="5"/>
  <c r="A45" i="5"/>
  <c r="D44" i="5"/>
  <c r="M44" i="5"/>
  <c r="L44" i="5"/>
  <c r="AE44" i="5"/>
  <c r="AD44" i="5"/>
  <c r="AG44" i="5" s="1"/>
  <c r="X44" i="5"/>
  <c r="AP44" i="5"/>
  <c r="AS44" i="5" s="1"/>
  <c r="T44" i="5"/>
  <c r="AV44" i="5"/>
  <c r="AY44" i="5" s="1"/>
  <c r="I44" i="5"/>
  <c r="U44" i="5"/>
  <c r="BL44" i="5"/>
  <c r="BO44" i="5" s="1"/>
  <c r="AQ44" i="5"/>
  <c r="AW44" i="5"/>
  <c r="AZ44" i="5" s="1"/>
  <c r="AJ44" i="5"/>
  <c r="AM44" i="5" s="1"/>
  <c r="H44" i="5"/>
  <c r="BE44" i="5"/>
  <c r="BH44" i="5" s="1"/>
  <c r="BD44" i="5"/>
  <c r="BG44" i="5" s="1"/>
  <c r="AK44" i="5"/>
  <c r="Y44" i="5"/>
  <c r="BM44" i="5"/>
  <c r="BP44" i="5" s="1"/>
  <c r="AF33" i="5"/>
  <c r="AD35" i="4"/>
  <c r="AE19" i="4"/>
  <c r="AE20" i="4" s="1"/>
  <c r="U19" i="4"/>
  <c r="T35" i="4"/>
  <c r="W35" i="4"/>
  <c r="AB23" i="4"/>
  <c r="AB25" i="4" s="1"/>
  <c r="Q35" i="4"/>
  <c r="Z35" i="4"/>
  <c r="AH35" i="4"/>
  <c r="A37" i="4"/>
  <c r="G36" i="4"/>
  <c r="C36" i="4"/>
  <c r="B36" i="4"/>
  <c r="I36" i="4"/>
  <c r="K36" i="4"/>
  <c r="E36" i="4"/>
  <c r="AC36" i="4"/>
  <c r="AG36" i="4"/>
  <c r="Y36" i="4"/>
  <c r="M36" i="4"/>
  <c r="V36" i="4"/>
  <c r="S36" i="4"/>
  <c r="P36" i="4"/>
  <c r="AK22" i="3"/>
  <c r="AG21" i="3"/>
  <c r="AH21" i="3" s="1"/>
  <c r="AH25" i="3" s="1"/>
  <c r="AH27" i="3" s="1"/>
  <c r="U21" i="3"/>
  <c r="V21" i="3" s="1"/>
  <c r="V25" i="3" s="1"/>
  <c r="V27" i="3" s="1"/>
  <c r="AC20" i="3"/>
  <c r="AC25" i="3" s="1"/>
  <c r="AC27" i="3" s="1"/>
  <c r="AK25" i="3"/>
  <c r="AK27" i="3" s="1"/>
  <c r="AP20" i="3"/>
  <c r="AP25" i="3" s="1"/>
  <c r="AP27" i="3" s="1"/>
  <c r="I20" i="3"/>
  <c r="I25" i="3" s="1"/>
  <c r="I27" i="3" s="1"/>
  <c r="AK21" i="3"/>
  <c r="AL21" i="3" s="1"/>
  <c r="AT37" i="3"/>
  <c r="AU37" i="3"/>
  <c r="C38" i="3"/>
  <c r="E38" i="3"/>
  <c r="B38" i="3"/>
  <c r="K38" i="3"/>
  <c r="D38" i="3"/>
  <c r="N38" i="3"/>
  <c r="A39" i="3"/>
  <c r="J38" i="3"/>
  <c r="M38" i="3"/>
  <c r="AN38" i="3"/>
  <c r="W38" i="3"/>
  <c r="T38" i="3"/>
  <c r="S38" i="3"/>
  <c r="Q38" i="3"/>
  <c r="AS38" i="3"/>
  <c r="AE38" i="3"/>
  <c r="AA38" i="3"/>
  <c r="P38" i="3"/>
  <c r="AI38" i="3"/>
  <c r="G38" i="3"/>
  <c r="H38" i="3"/>
  <c r="F20" i="3"/>
  <c r="Z25" i="3"/>
  <c r="Z27" i="3" s="1"/>
  <c r="AC37" i="3"/>
  <c r="AB37" i="3"/>
  <c r="AU20" i="3"/>
  <c r="AU22" i="3" s="1"/>
  <c r="U25" i="3"/>
  <c r="U27" i="3" s="1"/>
  <c r="AK37" i="3"/>
  <c r="AJ37" i="3"/>
  <c r="AP37" i="3"/>
  <c r="AO37" i="3"/>
  <c r="Y37" i="3"/>
  <c r="X37" i="3"/>
  <c r="AG37" i="3"/>
  <c r="AF37" i="3"/>
  <c r="B27" i="1"/>
  <c r="B29" i="1" s="1"/>
  <c r="C27" i="1"/>
  <c r="C29" i="1" s="1"/>
  <c r="F27" i="1"/>
  <c r="E27" i="1"/>
  <c r="E29" i="1" s="1"/>
  <c r="I27" i="1"/>
  <c r="I29" i="1" s="1"/>
  <c r="N27" i="1"/>
  <c r="M27" i="1"/>
  <c r="M29" i="1" s="1"/>
  <c r="Q27" i="1"/>
  <c r="Q29" i="1" s="1"/>
  <c r="V27" i="1"/>
  <c r="U27" i="1"/>
  <c r="U29" i="1" s="1"/>
  <c r="Y27" i="1"/>
  <c r="Y29" i="1" s="1"/>
  <c r="AE27" i="1"/>
  <c r="AD27" i="1"/>
  <c r="AD29" i="1" s="1"/>
  <c r="AI27" i="1"/>
  <c r="AI29" i="1" s="1"/>
  <c r="AN27" i="1"/>
  <c r="AN29" i="1" s="1"/>
  <c r="AS27" i="1"/>
  <c r="AS29" i="1" s="1"/>
  <c r="AY27" i="1"/>
  <c r="AY29" i="1" s="1"/>
  <c r="BE27" i="1"/>
  <c r="BE29" i="1" s="1"/>
  <c r="CS27" i="2"/>
  <c r="CS29" i="2" s="1"/>
  <c r="CS33" i="2"/>
  <c r="CG34" i="2"/>
  <c r="BU31" i="2"/>
  <c r="BU35" i="2"/>
  <c r="BU28" i="2"/>
  <c r="BU30" i="2"/>
  <c r="BU33" i="2"/>
  <c r="BU34" i="2"/>
  <c r="BU36" i="2"/>
  <c r="BU29" i="2"/>
  <c r="BL28" i="2"/>
  <c r="BD31" i="2"/>
  <c r="AT27" i="2"/>
  <c r="AT33" i="2" s="1"/>
  <c r="AK33" i="2"/>
  <c r="AK28" i="2"/>
  <c r="AD26" i="2"/>
  <c r="AD28" i="2" s="1"/>
  <c r="X26" i="2"/>
  <c r="X30" i="2" s="1"/>
  <c r="R26" i="2"/>
  <c r="R27" i="2" s="1"/>
  <c r="R30" i="2"/>
  <c r="L26" i="2"/>
  <c r="F26" i="2"/>
  <c r="F39" i="2" s="1"/>
  <c r="CS52" i="2"/>
  <c r="CV52" i="2" s="1"/>
  <c r="CR52" i="2"/>
  <c r="CU52" i="2" s="1"/>
  <c r="A53" i="2"/>
  <c r="CF52" i="2"/>
  <c r="CI52" i="2" s="1"/>
  <c r="CG52" i="2"/>
  <c r="CJ52" i="2" s="1"/>
  <c r="BT52" i="2"/>
  <c r="BW52" i="2" s="1"/>
  <c r="BL52" i="2"/>
  <c r="BO52" i="2" s="1"/>
  <c r="BU52" i="2"/>
  <c r="BX52" i="2" s="1"/>
  <c r="BK52" i="2"/>
  <c r="BN52" i="2" s="1"/>
  <c r="BC52" i="2"/>
  <c r="BF52" i="2" s="1"/>
  <c r="BB52" i="2"/>
  <c r="BE52" i="2" s="1"/>
  <c r="AT51" i="2"/>
  <c r="AW51" i="2" s="1"/>
  <c r="AD51" i="2"/>
  <c r="AJ51" i="2"/>
  <c r="AE51" i="2"/>
  <c r="Y51" i="2"/>
  <c r="F51" i="2"/>
  <c r="AK51" i="2"/>
  <c r="X51" i="2"/>
  <c r="G51" i="2"/>
  <c r="M51" i="2"/>
  <c r="L51" i="2"/>
  <c r="R51" i="2"/>
  <c r="S51" i="2"/>
  <c r="CQ51" i="2"/>
  <c r="BB41" i="2"/>
  <c r="BS51" i="2"/>
  <c r="BV51" i="2" s="1"/>
  <c r="AI51" i="2"/>
  <c r="K51" i="2"/>
  <c r="CE51" i="2"/>
  <c r="AR51" i="2"/>
  <c r="AU51" i="2" s="1"/>
  <c r="BA51" i="2"/>
  <c r="BV50" i="2"/>
  <c r="BT41" i="2"/>
  <c r="AU50" i="2"/>
  <c r="CH49" i="2"/>
  <c r="AJ41" i="2"/>
  <c r="D27" i="2"/>
  <c r="CT49" i="2"/>
  <c r="BM50" i="2"/>
  <c r="CF41" i="2"/>
  <c r="CT50" i="2"/>
  <c r="W51" i="2"/>
  <c r="D51" i="2"/>
  <c r="C51" i="2"/>
  <c r="B51" i="2"/>
  <c r="Q51" i="2"/>
  <c r="E51" i="2"/>
  <c r="AC51" i="2"/>
  <c r="BM49" i="2"/>
  <c r="BD49" i="2"/>
  <c r="AU49" i="2"/>
  <c r="BD50" i="2"/>
  <c r="CR41" i="2"/>
  <c r="CH50" i="2"/>
  <c r="BV49" i="2"/>
  <c r="BJ51" i="2"/>
  <c r="AY21" i="1"/>
  <c r="Q21" i="1"/>
  <c r="AS23" i="1"/>
  <c r="AS22" i="1"/>
  <c r="AS21" i="1"/>
  <c r="Y23" i="1"/>
  <c r="AD22" i="1"/>
  <c r="Y22" i="1"/>
  <c r="AI22" i="1"/>
  <c r="Y21" i="1"/>
  <c r="AY24" i="1"/>
  <c r="Q22" i="1"/>
  <c r="I22" i="1"/>
  <c r="AN21" i="1"/>
  <c r="AI23" i="1"/>
  <c r="AD23" i="1"/>
  <c r="M22" i="1"/>
  <c r="F20" i="1"/>
  <c r="E22" i="1"/>
  <c r="E21" i="1"/>
  <c r="J20" i="1"/>
  <c r="J27" i="1" s="1"/>
  <c r="I21" i="1"/>
  <c r="N20" i="1"/>
  <c r="M21" i="1"/>
  <c r="R20" i="1"/>
  <c r="R27" i="1" s="1"/>
  <c r="V20" i="1"/>
  <c r="U22" i="1"/>
  <c r="U21" i="1"/>
  <c r="Z20" i="1"/>
  <c r="Z27" i="1" s="1"/>
  <c r="AE20" i="1"/>
  <c r="AD21" i="1"/>
  <c r="AJ20" i="1"/>
  <c r="AJ22" i="1" s="1"/>
  <c r="AI21" i="1"/>
  <c r="AN20" i="1"/>
  <c r="AN22" i="1"/>
  <c r="AS24" i="1"/>
  <c r="AY20" i="1"/>
  <c r="AY22" i="1"/>
  <c r="BE20" i="1"/>
  <c r="BF20" i="1" s="1"/>
  <c r="BE22" i="1"/>
  <c r="BE23" i="1"/>
  <c r="BE21" i="1"/>
  <c r="CG31" i="2" l="1"/>
  <c r="BE30" i="2"/>
  <c r="BF30" i="2" s="1"/>
  <c r="BF32" i="2" s="1"/>
  <c r="CG29" i="2"/>
  <c r="CG35" i="2"/>
  <c r="BE33" i="2"/>
  <c r="CG36" i="2"/>
  <c r="CG30" i="2"/>
  <c r="CS30" i="2"/>
  <c r="CG28" i="2"/>
  <c r="CH28" i="2" s="1"/>
  <c r="CH36" i="2" s="1"/>
  <c r="CG33" i="2"/>
  <c r="C21" i="1"/>
  <c r="D21" i="1" s="1"/>
  <c r="CH39" i="2"/>
  <c r="AJ27" i="1"/>
  <c r="AJ29" i="1" s="1"/>
  <c r="R41" i="2"/>
  <c r="CS32" i="2"/>
  <c r="F29" i="2"/>
  <c r="AD30" i="2"/>
  <c r="AD39" i="2"/>
  <c r="CS28" i="2"/>
  <c r="CS39" i="2"/>
  <c r="BF39" i="2"/>
  <c r="BF41" i="2" s="1"/>
  <c r="L30" i="2"/>
  <c r="L39" i="2"/>
  <c r="L41" i="2" s="1"/>
  <c r="CS31" i="2"/>
  <c r="CS35" i="2"/>
  <c r="D41" i="2"/>
  <c r="L28" i="2"/>
  <c r="CS36" i="2"/>
  <c r="AT39" i="2"/>
  <c r="AT41" i="2" s="1"/>
  <c r="AE23" i="4"/>
  <c r="AE25" i="4" s="1"/>
  <c r="U23" i="4"/>
  <c r="U25" i="4" s="1"/>
  <c r="AS31" i="5"/>
  <c r="AN26" i="5"/>
  <c r="AO26" i="5" s="1"/>
  <c r="AO31" i="5" s="1"/>
  <c r="AS26" i="5"/>
  <c r="AH26" i="5"/>
  <c r="AI26" i="5" s="1"/>
  <c r="AI31" i="5" s="1"/>
  <c r="N24" i="5"/>
  <c r="O24" i="5" s="1"/>
  <c r="O31" i="5" s="1"/>
  <c r="AA24" i="5"/>
  <c r="AA25" i="5" s="1"/>
  <c r="AB25" i="5" s="1"/>
  <c r="J24" i="5"/>
  <c r="AN31" i="5"/>
  <c r="AT25" i="5"/>
  <c r="AT31" i="5" s="1"/>
  <c r="AR33" i="5"/>
  <c r="AY26" i="5"/>
  <c r="AY28" i="5"/>
  <c r="AY25" i="5"/>
  <c r="BG27" i="5"/>
  <c r="BG28" i="5"/>
  <c r="BG25" i="5"/>
  <c r="BG31" i="5"/>
  <c r="BG33" i="5" s="1"/>
  <c r="BO24" i="5"/>
  <c r="BO26" i="5" s="1"/>
  <c r="N33" i="5"/>
  <c r="AL33" i="5"/>
  <c r="J33" i="5"/>
  <c r="A46" i="5"/>
  <c r="L45" i="5"/>
  <c r="D45" i="5"/>
  <c r="M45" i="5"/>
  <c r="B45" i="5"/>
  <c r="Q45" i="5"/>
  <c r="E45" i="5"/>
  <c r="P45" i="5"/>
  <c r="C45" i="5"/>
  <c r="AJ45" i="5"/>
  <c r="AM45" i="5" s="1"/>
  <c r="AK45" i="5"/>
  <c r="X45" i="5"/>
  <c r="H45" i="5"/>
  <c r="AD45" i="5"/>
  <c r="AG45" i="5" s="1"/>
  <c r="U45" i="5"/>
  <c r="BD45" i="5"/>
  <c r="BG45" i="5" s="1"/>
  <c r="AW45" i="5"/>
  <c r="AZ45" i="5" s="1"/>
  <c r="BL45" i="5"/>
  <c r="BO45" i="5" s="1"/>
  <c r="AV45" i="5"/>
  <c r="AY45" i="5" s="1"/>
  <c r="T45" i="5"/>
  <c r="I45" i="5"/>
  <c r="AP45" i="5"/>
  <c r="AS45" i="5" s="1"/>
  <c r="AE45" i="5"/>
  <c r="AQ45" i="5"/>
  <c r="BM45" i="5"/>
  <c r="BP45" i="5" s="1"/>
  <c r="Y45" i="5"/>
  <c r="BE45" i="5"/>
  <c r="BH45" i="5" s="1"/>
  <c r="AF20" i="4"/>
  <c r="W36" i="4"/>
  <c r="Q36" i="4"/>
  <c r="T36" i="4"/>
  <c r="A38" i="4"/>
  <c r="I37" i="4"/>
  <c r="C37" i="4"/>
  <c r="B37" i="4"/>
  <c r="G37" i="4"/>
  <c r="V37" i="4"/>
  <c r="Y37" i="4"/>
  <c r="S37" i="4"/>
  <c r="AG37" i="4"/>
  <c r="E37" i="4"/>
  <c r="P37" i="4"/>
  <c r="AC37" i="4"/>
  <c r="K37" i="4"/>
  <c r="M37" i="4"/>
  <c r="AD36" i="4"/>
  <c r="Z36" i="4"/>
  <c r="AH36" i="4"/>
  <c r="AU21" i="3"/>
  <c r="AV21" i="3" s="1"/>
  <c r="AL22" i="3"/>
  <c r="AM22" i="3" s="1"/>
  <c r="AL25" i="3"/>
  <c r="AL27" i="3" s="1"/>
  <c r="AU25" i="3"/>
  <c r="AU27" i="3" s="1"/>
  <c r="F25" i="3"/>
  <c r="F27" i="3" s="1"/>
  <c r="AP21" i="3"/>
  <c r="AQ21" i="3" s="1"/>
  <c r="AC21" i="3"/>
  <c r="AP22" i="3"/>
  <c r="AP38" i="3"/>
  <c r="AO38" i="3"/>
  <c r="AK38" i="3"/>
  <c r="AJ38" i="3"/>
  <c r="AB38" i="3"/>
  <c r="AC38" i="3"/>
  <c r="AF38" i="3"/>
  <c r="AG38" i="3"/>
  <c r="N39" i="3"/>
  <c r="C39" i="3"/>
  <c r="M39" i="3"/>
  <c r="K39" i="3"/>
  <c r="E39" i="3"/>
  <c r="D39" i="3"/>
  <c r="A40" i="3"/>
  <c r="B39" i="3"/>
  <c r="J39" i="3"/>
  <c r="AI39" i="3"/>
  <c r="Q39" i="3"/>
  <c r="G39" i="3"/>
  <c r="AE39" i="3"/>
  <c r="AA39" i="3"/>
  <c r="AN39" i="3"/>
  <c r="AS39" i="3"/>
  <c r="H39" i="3"/>
  <c r="W39" i="3"/>
  <c r="T39" i="3"/>
  <c r="P39" i="3"/>
  <c r="S39" i="3"/>
  <c r="AU38" i="3"/>
  <c r="AT38" i="3"/>
  <c r="Y38" i="3"/>
  <c r="X38" i="3"/>
  <c r="F29" i="1"/>
  <c r="N29" i="1"/>
  <c r="Z29" i="1"/>
  <c r="J29" i="1"/>
  <c r="V29" i="1"/>
  <c r="R29" i="1"/>
  <c r="AE29" i="1"/>
  <c r="BF27" i="1"/>
  <c r="BF29" i="1" s="1"/>
  <c r="AE22" i="1"/>
  <c r="CS34" i="2"/>
  <c r="BV28" i="2"/>
  <c r="BM28" i="2"/>
  <c r="BM39" i="2" s="1"/>
  <c r="BE31" i="2"/>
  <c r="AT31" i="2"/>
  <c r="AT30" i="2"/>
  <c r="AT32" i="2"/>
  <c r="AT28" i="2"/>
  <c r="AT29" i="2"/>
  <c r="AL28" i="2"/>
  <c r="AL33" i="2" s="1"/>
  <c r="AD41" i="2"/>
  <c r="AD27" i="2"/>
  <c r="AD29" i="2"/>
  <c r="X41" i="2"/>
  <c r="X28" i="2"/>
  <c r="X27" i="2"/>
  <c r="X29" i="2"/>
  <c r="R29" i="2"/>
  <c r="R28" i="2"/>
  <c r="S27" i="2"/>
  <c r="S39" i="2" s="1"/>
  <c r="L27" i="2"/>
  <c r="L29" i="2"/>
  <c r="F28" i="2"/>
  <c r="F30" i="2"/>
  <c r="F27" i="2"/>
  <c r="F41" i="2"/>
  <c r="A54" i="2"/>
  <c r="CR53" i="2"/>
  <c r="CU53" i="2" s="1"/>
  <c r="CS53" i="2"/>
  <c r="CV53" i="2" s="1"/>
  <c r="CF53" i="2"/>
  <c r="CI53" i="2" s="1"/>
  <c r="CG53" i="2"/>
  <c r="CJ53" i="2" s="1"/>
  <c r="BU53" i="2"/>
  <c r="BX53" i="2" s="1"/>
  <c r="BT53" i="2"/>
  <c r="BW53" i="2" s="1"/>
  <c r="BC53" i="2"/>
  <c r="BF53" i="2" s="1"/>
  <c r="BL53" i="2"/>
  <c r="BO53" i="2" s="1"/>
  <c r="BK53" i="2"/>
  <c r="BN53" i="2" s="1"/>
  <c r="BB53" i="2"/>
  <c r="BE53" i="2" s="1"/>
  <c r="CT51" i="2"/>
  <c r="AJ52" i="2"/>
  <c r="AK52" i="2"/>
  <c r="Y52" i="2"/>
  <c r="S52" i="2"/>
  <c r="X52" i="2"/>
  <c r="R52" i="2"/>
  <c r="M52" i="2"/>
  <c r="F52" i="2"/>
  <c r="L52" i="2"/>
  <c r="AE52" i="2"/>
  <c r="AD52" i="2"/>
  <c r="G52" i="2"/>
  <c r="AS52" i="2"/>
  <c r="AV52" i="2" s="1"/>
  <c r="AT52" i="2"/>
  <c r="AW52" i="2" s="1"/>
  <c r="CH51" i="2"/>
  <c r="BC41" i="2"/>
  <c r="BD51" i="2"/>
  <c r="AK41" i="2"/>
  <c r="Q52" i="2"/>
  <c r="C52" i="2"/>
  <c r="W52" i="2"/>
  <c r="D52" i="2"/>
  <c r="B52" i="2"/>
  <c r="E52" i="2"/>
  <c r="CE52" i="2"/>
  <c r="CQ52" i="2"/>
  <c r="AR52" i="2"/>
  <c r="AI52" i="2"/>
  <c r="BS52" i="2"/>
  <c r="BA52" i="2"/>
  <c r="K52" i="2"/>
  <c r="AC52" i="2"/>
  <c r="BJ52" i="2"/>
  <c r="BL41" i="2"/>
  <c r="BM51" i="2"/>
  <c r="AE23" i="1"/>
  <c r="N22" i="1"/>
  <c r="J22" i="1"/>
  <c r="R21" i="1"/>
  <c r="R22" i="1"/>
  <c r="D29" i="1"/>
  <c r="F22" i="1"/>
  <c r="F21" i="1"/>
  <c r="J21" i="1"/>
  <c r="N21" i="1"/>
  <c r="V22" i="1"/>
  <c r="V21" i="1"/>
  <c r="Z22" i="1"/>
  <c r="Z21" i="1"/>
  <c r="AA21" i="1" s="1"/>
  <c r="AE21" i="1"/>
  <c r="AJ23" i="1"/>
  <c r="AJ21" i="1"/>
  <c r="AK21" i="1" s="1"/>
  <c r="AK22" i="1" s="1"/>
  <c r="AO20" i="1"/>
  <c r="AO23" i="1" s="1"/>
  <c r="AT20" i="1"/>
  <c r="AT27" i="1" s="1"/>
  <c r="AZ20" i="1"/>
  <c r="BF21" i="1"/>
  <c r="BG21" i="1" s="1"/>
  <c r="BF24" i="1"/>
  <c r="BF22" i="1"/>
  <c r="BF23" i="1"/>
  <c r="CH34" i="2" l="1"/>
  <c r="CH31" i="2"/>
  <c r="BF33" i="2"/>
  <c r="S27" i="1"/>
  <c r="W21" i="1"/>
  <c r="W27" i="1" s="1"/>
  <c r="W29" i="1" s="1"/>
  <c r="CH32" i="2"/>
  <c r="CH30" i="2"/>
  <c r="AA27" i="1"/>
  <c r="AA29" i="1" s="1"/>
  <c r="CT28" i="2"/>
  <c r="CT32" i="2" s="1"/>
  <c r="G39" i="2"/>
  <c r="CH33" i="2"/>
  <c r="AL39" i="2"/>
  <c r="S41" i="2"/>
  <c r="AK27" i="1"/>
  <c r="AK29" i="1" s="1"/>
  <c r="G21" i="1"/>
  <c r="G27" i="1" s="1"/>
  <c r="G29" i="1" s="1"/>
  <c r="S28" i="2"/>
  <c r="BV30" i="2"/>
  <c r="BV39" i="2"/>
  <c r="BV41" i="2" s="1"/>
  <c r="AZ22" i="1"/>
  <c r="AZ27" i="1"/>
  <c r="AZ29" i="1" s="1"/>
  <c r="CH29" i="2"/>
  <c r="AO27" i="1"/>
  <c r="AO29" i="1" s="1"/>
  <c r="AA31" i="5"/>
  <c r="AA33" i="5" s="1"/>
  <c r="AA26" i="5"/>
  <c r="BO28" i="5"/>
  <c r="AB26" i="5"/>
  <c r="AC26" i="5" s="1"/>
  <c r="AC31" i="5" s="1"/>
  <c r="BO31" i="5"/>
  <c r="BO33" i="5" s="1"/>
  <c r="AB31" i="5"/>
  <c r="AB33" i="5" s="1"/>
  <c r="K24" i="5"/>
  <c r="K31" i="5" s="1"/>
  <c r="AT26" i="5"/>
  <c r="AU26" i="5" s="1"/>
  <c r="AU31" i="5" s="1"/>
  <c r="AS33" i="5"/>
  <c r="AZ25" i="5"/>
  <c r="AZ28" i="5" s="1"/>
  <c r="BH25" i="5"/>
  <c r="BH26" i="5" s="1"/>
  <c r="BH31" i="5"/>
  <c r="BH33" i="5" s="1"/>
  <c r="BO27" i="5"/>
  <c r="BO25" i="5"/>
  <c r="BP25" i="5"/>
  <c r="BP31" i="5" s="1"/>
  <c r="BP33" i="5" s="1"/>
  <c r="AG33" i="5"/>
  <c r="W33" i="5"/>
  <c r="S33" i="5"/>
  <c r="AM33" i="5"/>
  <c r="M46" i="5"/>
  <c r="E46" i="5"/>
  <c r="L46" i="5"/>
  <c r="B46" i="5"/>
  <c r="A47" i="5"/>
  <c r="D46" i="5"/>
  <c r="Q46" i="5"/>
  <c r="P46" i="5"/>
  <c r="C46" i="5"/>
  <c r="AE46" i="5"/>
  <c r="AD46" i="5"/>
  <c r="AG46" i="5" s="1"/>
  <c r="AK46" i="5"/>
  <c r="BD46" i="5"/>
  <c r="BG46" i="5" s="1"/>
  <c r="AP46" i="5"/>
  <c r="AS46" i="5" s="1"/>
  <c r="AJ46" i="5"/>
  <c r="AM46" i="5" s="1"/>
  <c r="H46" i="5"/>
  <c r="U46" i="5"/>
  <c r="AV46" i="5"/>
  <c r="AY46" i="5" s="1"/>
  <c r="T46" i="5"/>
  <c r="X46" i="5"/>
  <c r="AQ46" i="5"/>
  <c r="I46" i="5"/>
  <c r="BL46" i="5"/>
  <c r="BO46" i="5" s="1"/>
  <c r="BE46" i="5"/>
  <c r="BH46" i="5" s="1"/>
  <c r="Y46" i="5"/>
  <c r="BM46" i="5"/>
  <c r="BP46" i="5" s="1"/>
  <c r="AW46" i="5"/>
  <c r="AZ46" i="5" s="1"/>
  <c r="T37" i="4"/>
  <c r="Z37" i="4"/>
  <c r="Q37" i="4"/>
  <c r="W37" i="4"/>
  <c r="AH37" i="4"/>
  <c r="AF23" i="4"/>
  <c r="AF25" i="4" s="1"/>
  <c r="AD37" i="4"/>
  <c r="C38" i="4"/>
  <c r="I38" i="4"/>
  <c r="G38" i="4"/>
  <c r="B38" i="4"/>
  <c r="A39" i="4"/>
  <c r="V38" i="4"/>
  <c r="P38" i="4"/>
  <c r="AG38" i="4"/>
  <c r="AC38" i="4"/>
  <c r="E38" i="4"/>
  <c r="M38" i="4"/>
  <c r="S38" i="4"/>
  <c r="K38" i="4"/>
  <c r="Y38" i="4"/>
  <c r="AQ22" i="3"/>
  <c r="AR22" i="3" s="1"/>
  <c r="AR25" i="3" s="1"/>
  <c r="AR27" i="3" s="1"/>
  <c r="AD21" i="3"/>
  <c r="AD25" i="3" s="1"/>
  <c r="AD27" i="3" s="1"/>
  <c r="AM25" i="3"/>
  <c r="AM27" i="3" s="1"/>
  <c r="AQ25" i="3"/>
  <c r="AQ27" i="3" s="1"/>
  <c r="AU39" i="3"/>
  <c r="AT39" i="3"/>
  <c r="AJ39" i="3"/>
  <c r="AK39" i="3"/>
  <c r="AV25" i="3"/>
  <c r="AV27" i="3" s="1"/>
  <c r="AO39" i="3"/>
  <c r="AP39" i="3"/>
  <c r="AV22" i="3"/>
  <c r="Y39" i="3"/>
  <c r="X39" i="3"/>
  <c r="AG39" i="3"/>
  <c r="AF39" i="3"/>
  <c r="AC39" i="3"/>
  <c r="AB39" i="3"/>
  <c r="A41" i="3"/>
  <c r="J40" i="3"/>
  <c r="D40" i="3"/>
  <c r="K40" i="3"/>
  <c r="B40" i="3"/>
  <c r="C40" i="3"/>
  <c r="M40" i="3"/>
  <c r="N40" i="3"/>
  <c r="E40" i="3"/>
  <c r="T40" i="3"/>
  <c r="S40" i="3"/>
  <c r="AI40" i="3"/>
  <c r="AN40" i="3"/>
  <c r="AS40" i="3"/>
  <c r="H40" i="3"/>
  <c r="G40" i="3"/>
  <c r="W40" i="3"/>
  <c r="Q40" i="3"/>
  <c r="P40" i="3"/>
  <c r="AA40" i="3"/>
  <c r="AE40" i="3"/>
  <c r="BG27" i="1"/>
  <c r="BG29" i="1" s="1"/>
  <c r="CI29" i="2"/>
  <c r="CH35" i="2"/>
  <c r="BV29" i="2"/>
  <c r="BV31" i="2"/>
  <c r="BV33" i="2"/>
  <c r="BV32" i="2"/>
  <c r="BV34" i="2"/>
  <c r="BV36" i="2"/>
  <c r="BV35" i="2"/>
  <c r="BM32" i="2"/>
  <c r="BM29" i="2"/>
  <c r="BM31" i="2"/>
  <c r="BM33" i="2"/>
  <c r="BM30" i="2"/>
  <c r="BF31" i="2"/>
  <c r="BG31" i="2" s="1"/>
  <c r="BG39" i="2" s="1"/>
  <c r="BG41" i="2" s="1"/>
  <c r="AU28" i="2"/>
  <c r="AU32" i="2" s="1"/>
  <c r="AL32" i="2"/>
  <c r="AL31" i="2"/>
  <c r="AL30" i="2"/>
  <c r="AL29" i="2"/>
  <c r="AE27" i="2"/>
  <c r="AE29" i="2" s="1"/>
  <c r="Y27" i="2"/>
  <c r="Y29" i="2" s="1"/>
  <c r="S29" i="2"/>
  <c r="S30" i="2"/>
  <c r="M27" i="2"/>
  <c r="M39" i="2" s="1"/>
  <c r="M30" i="2"/>
  <c r="G27" i="2"/>
  <c r="G29" i="2" s="1"/>
  <c r="CS54" i="2"/>
  <c r="CV54" i="2" s="1"/>
  <c r="CG54" i="2"/>
  <c r="CJ54" i="2" s="1"/>
  <c r="BU54" i="2"/>
  <c r="BX54" i="2" s="1"/>
  <c r="CR54" i="2"/>
  <c r="CU54" i="2" s="1"/>
  <c r="BT54" i="2"/>
  <c r="BW54" i="2" s="1"/>
  <c r="CF54" i="2"/>
  <c r="CI54" i="2" s="1"/>
  <c r="BK54" i="2"/>
  <c r="BN54" i="2" s="1"/>
  <c r="BB54" i="2"/>
  <c r="BE54" i="2" s="1"/>
  <c r="A55" i="2"/>
  <c r="BL54" i="2"/>
  <c r="BO54" i="2" s="1"/>
  <c r="BC54" i="2"/>
  <c r="BF54" i="2" s="1"/>
  <c r="AD53" i="2"/>
  <c r="AJ53" i="2"/>
  <c r="AE53" i="2"/>
  <c r="G53" i="2"/>
  <c r="R53" i="2"/>
  <c r="AK53" i="2"/>
  <c r="X53" i="2"/>
  <c r="S53" i="2"/>
  <c r="M53" i="2"/>
  <c r="L53" i="2"/>
  <c r="Y53" i="2"/>
  <c r="F53" i="2"/>
  <c r="AS53" i="2"/>
  <c r="AV53" i="2" s="1"/>
  <c r="AT53" i="2"/>
  <c r="AW53" i="2" s="1"/>
  <c r="BU41" i="2"/>
  <c r="BE41" i="2"/>
  <c r="CH52" i="2"/>
  <c r="AU52" i="2"/>
  <c r="E53" i="2"/>
  <c r="D53" i="2"/>
  <c r="Q53" i="2"/>
  <c r="C53" i="2"/>
  <c r="B53" i="2"/>
  <c r="W53" i="2"/>
  <c r="AC53" i="2"/>
  <c r="CQ53" i="2"/>
  <c r="BJ53" i="2"/>
  <c r="BA53" i="2"/>
  <c r="AR53" i="2"/>
  <c r="K53" i="2"/>
  <c r="BS53" i="2"/>
  <c r="CE53" i="2"/>
  <c r="AI53" i="2"/>
  <c r="CT52" i="2"/>
  <c r="BD41" i="2"/>
  <c r="BD52" i="2"/>
  <c r="CG41" i="2"/>
  <c r="BM41" i="2"/>
  <c r="BV52" i="2"/>
  <c r="BM52" i="2"/>
  <c r="W22" i="1"/>
  <c r="G22" i="1"/>
  <c r="H22" i="1" s="1"/>
  <c r="S21" i="1"/>
  <c r="K21" i="1"/>
  <c r="K22" i="1" s="1"/>
  <c r="O21" i="1"/>
  <c r="AA22" i="1"/>
  <c r="AF21" i="1"/>
  <c r="AF23" i="1" s="1"/>
  <c r="AL22" i="1"/>
  <c r="AL27" i="1" s="1"/>
  <c r="AK23" i="1"/>
  <c r="AO21" i="1"/>
  <c r="AO22" i="1"/>
  <c r="AT21" i="1"/>
  <c r="AT22" i="1"/>
  <c r="AT23" i="1"/>
  <c r="AT29" i="1"/>
  <c r="AZ24" i="1"/>
  <c r="AZ21" i="1"/>
  <c r="AZ23" i="1"/>
  <c r="BG23" i="1"/>
  <c r="BG22" i="1"/>
  <c r="BG24" i="1"/>
  <c r="CI33" i="2" l="1"/>
  <c r="Y30" i="2"/>
  <c r="Y28" i="2"/>
  <c r="CI32" i="2"/>
  <c r="X27" i="1"/>
  <c r="AB27" i="1"/>
  <c r="L27" i="1"/>
  <c r="AE30" i="2"/>
  <c r="CI30" i="2"/>
  <c r="CJ30" i="2" s="1"/>
  <c r="S29" i="1"/>
  <c r="M28" i="2"/>
  <c r="N28" i="2" s="1"/>
  <c r="BG32" i="2"/>
  <c r="K27" i="1"/>
  <c r="AP27" i="1"/>
  <c r="M29" i="2"/>
  <c r="CI39" i="2"/>
  <c r="CT34" i="2"/>
  <c r="CT36" i="2"/>
  <c r="CT29" i="2"/>
  <c r="CT35" i="2"/>
  <c r="AF27" i="1"/>
  <c r="AF29" i="1" s="1"/>
  <c r="CT33" i="2"/>
  <c r="AU39" i="2"/>
  <c r="AU41" i="2" s="1"/>
  <c r="CT39" i="2"/>
  <c r="Y39" i="2"/>
  <c r="Y41" i="2" s="1"/>
  <c r="CT31" i="2"/>
  <c r="CT30" i="2"/>
  <c r="M41" i="2"/>
  <c r="AE39" i="2"/>
  <c r="AE41" i="2" s="1"/>
  <c r="H27" i="1"/>
  <c r="H29" i="1" s="1"/>
  <c r="X22" i="1"/>
  <c r="T29" i="2"/>
  <c r="U29" i="2" s="1"/>
  <c r="BN39" i="2"/>
  <c r="AL29" i="1"/>
  <c r="T28" i="2"/>
  <c r="AE28" i="2"/>
  <c r="AU33" i="2"/>
  <c r="O27" i="1"/>
  <c r="O29" i="1" s="1"/>
  <c r="BH27" i="5"/>
  <c r="AZ31" i="5"/>
  <c r="BH28" i="5"/>
  <c r="BP26" i="5"/>
  <c r="BQ26" i="5" s="1"/>
  <c r="BQ31" i="5" s="1"/>
  <c r="AZ26" i="5"/>
  <c r="BI26" i="5"/>
  <c r="BI31" i="5" s="1"/>
  <c r="BP27" i="5"/>
  <c r="BP28" i="5"/>
  <c r="AY33" i="5"/>
  <c r="AT33" i="5"/>
  <c r="O33" i="5"/>
  <c r="K33" i="5"/>
  <c r="Q47" i="5"/>
  <c r="C47" i="5"/>
  <c r="P47" i="5"/>
  <c r="B47" i="5"/>
  <c r="M47" i="5"/>
  <c r="E47" i="5"/>
  <c r="A48" i="5"/>
  <c r="D47" i="5"/>
  <c r="L47" i="5"/>
  <c r="X47" i="5"/>
  <c r="BL47" i="5"/>
  <c r="BO47" i="5" s="1"/>
  <c r="AK47" i="5"/>
  <c r="I47" i="5"/>
  <c r="H47" i="5"/>
  <c r="AV47" i="5"/>
  <c r="AY47" i="5" s="1"/>
  <c r="AD47" i="5"/>
  <c r="AG47" i="5" s="1"/>
  <c r="BD47" i="5"/>
  <c r="BG47" i="5" s="1"/>
  <c r="T47" i="5"/>
  <c r="AE47" i="5"/>
  <c r="U47" i="5"/>
  <c r="AP47" i="5"/>
  <c r="AS47" i="5" s="1"/>
  <c r="AQ47" i="5"/>
  <c r="AJ47" i="5"/>
  <c r="AM47" i="5" s="1"/>
  <c r="AW47" i="5"/>
  <c r="AZ47" i="5" s="1"/>
  <c r="BE47" i="5"/>
  <c r="BH47" i="5" s="1"/>
  <c r="BM47" i="5"/>
  <c r="BP47" i="5" s="1"/>
  <c r="Y47" i="5"/>
  <c r="AH38" i="4"/>
  <c r="T38" i="4"/>
  <c r="Q38" i="4"/>
  <c r="W38" i="4"/>
  <c r="Z38" i="4"/>
  <c r="AD38" i="4"/>
  <c r="A40" i="4"/>
  <c r="I39" i="4"/>
  <c r="C39" i="4"/>
  <c r="G39" i="4"/>
  <c r="B39" i="4"/>
  <c r="K39" i="4"/>
  <c r="P39" i="4"/>
  <c r="Y39" i="4"/>
  <c r="S39" i="4"/>
  <c r="V39" i="4"/>
  <c r="E39" i="4"/>
  <c r="M39" i="4"/>
  <c r="AC39" i="4"/>
  <c r="AG39" i="4"/>
  <c r="AG40" i="3"/>
  <c r="AF40" i="3"/>
  <c r="AC40" i="3"/>
  <c r="AB40" i="3"/>
  <c r="B41" i="3"/>
  <c r="E41" i="3"/>
  <c r="N41" i="3"/>
  <c r="D41" i="3"/>
  <c r="A42" i="3"/>
  <c r="J41" i="3"/>
  <c r="K41" i="3"/>
  <c r="C41" i="3"/>
  <c r="M41" i="3"/>
  <c r="AN41" i="3"/>
  <c r="P41" i="3"/>
  <c r="W41" i="3"/>
  <c r="T41" i="3"/>
  <c r="AA41" i="3"/>
  <c r="G41" i="3"/>
  <c r="AI41" i="3"/>
  <c r="Q41" i="3"/>
  <c r="AE41" i="3"/>
  <c r="S41" i="3"/>
  <c r="H41" i="3"/>
  <c r="AS41" i="3"/>
  <c r="AW22" i="3"/>
  <c r="AJ40" i="3"/>
  <c r="AK40" i="3"/>
  <c r="AT40" i="3"/>
  <c r="AU40" i="3"/>
  <c r="Y40" i="3"/>
  <c r="X40" i="3"/>
  <c r="AP40" i="3"/>
  <c r="AO40" i="3"/>
  <c r="S22" i="1"/>
  <c r="CI31" i="2"/>
  <c r="CI35" i="2"/>
  <c r="CI36" i="2"/>
  <c r="CI34" i="2"/>
  <c r="BW29" i="2"/>
  <c r="BW34" i="2" s="1"/>
  <c r="BW33" i="2"/>
  <c r="BN29" i="2"/>
  <c r="BN32" i="2" s="1"/>
  <c r="BN30" i="2"/>
  <c r="BO39" i="2" s="1"/>
  <c r="BO41" i="2" s="1"/>
  <c r="BH32" i="2"/>
  <c r="BG33" i="2"/>
  <c r="BH33" i="2" s="1"/>
  <c r="AU31" i="2"/>
  <c r="AU29" i="2"/>
  <c r="AU30" i="2"/>
  <c r="AM29" i="2"/>
  <c r="AM30" i="2" s="1"/>
  <c r="AF28" i="2"/>
  <c r="T30" i="2"/>
  <c r="G30" i="2"/>
  <c r="G41" i="2"/>
  <c r="G28" i="2"/>
  <c r="CR55" i="2"/>
  <c r="CU55" i="2" s="1"/>
  <c r="CS55" i="2"/>
  <c r="CV55" i="2" s="1"/>
  <c r="BU55" i="2"/>
  <c r="BX55" i="2" s="1"/>
  <c r="A56" i="2"/>
  <c r="BT55" i="2"/>
  <c r="BW55" i="2" s="1"/>
  <c r="BL55" i="2"/>
  <c r="BO55" i="2" s="1"/>
  <c r="BC55" i="2"/>
  <c r="BF55" i="2" s="1"/>
  <c r="CG55" i="2"/>
  <c r="CJ55" i="2" s="1"/>
  <c r="BK55" i="2"/>
  <c r="BN55" i="2" s="1"/>
  <c r="CF55" i="2"/>
  <c r="CI55" i="2" s="1"/>
  <c r="BB55" i="2"/>
  <c r="BE55" i="2" s="1"/>
  <c r="AJ54" i="2"/>
  <c r="Y54" i="2"/>
  <c r="S54" i="2"/>
  <c r="M54" i="2"/>
  <c r="L54" i="2"/>
  <c r="G54" i="2"/>
  <c r="F54" i="2"/>
  <c r="AE54" i="2"/>
  <c r="AD54" i="2"/>
  <c r="R54" i="2"/>
  <c r="X54" i="2"/>
  <c r="AK54" i="2"/>
  <c r="AS54" i="2"/>
  <c r="AV54" i="2" s="1"/>
  <c r="AT54" i="2"/>
  <c r="AW54" i="2" s="1"/>
  <c r="BD53" i="2"/>
  <c r="BV53" i="2"/>
  <c r="W54" i="2"/>
  <c r="E54" i="2"/>
  <c r="B54" i="2"/>
  <c r="Q54" i="2"/>
  <c r="D54" i="2"/>
  <c r="BS54" i="2"/>
  <c r="C54" i="2"/>
  <c r="BA54" i="2"/>
  <c r="K54" i="2"/>
  <c r="CQ54" i="2"/>
  <c r="AI54" i="2"/>
  <c r="CE54" i="2"/>
  <c r="AR54" i="2"/>
  <c r="BJ54" i="2"/>
  <c r="AC54" i="2"/>
  <c r="CH53" i="2"/>
  <c r="CH41" i="2"/>
  <c r="CS41" i="2"/>
  <c r="AU53" i="2"/>
  <c r="BM53" i="2"/>
  <c r="CT53" i="2"/>
  <c r="L22" i="1"/>
  <c r="K29" i="1"/>
  <c r="O22" i="1"/>
  <c r="AB22" i="1"/>
  <c r="AF22" i="1"/>
  <c r="AL23" i="1"/>
  <c r="AP21" i="1"/>
  <c r="AU21" i="1"/>
  <c r="AU23" i="1" s="1"/>
  <c r="BA21" i="1"/>
  <c r="BA23" i="1" s="1"/>
  <c r="BH22" i="1"/>
  <c r="BH23" i="1" s="1"/>
  <c r="Z39" i="2" l="1"/>
  <c r="Z41" i="2" s="1"/>
  <c r="Z28" i="2"/>
  <c r="Z30" i="2" s="1"/>
  <c r="AM32" i="2"/>
  <c r="AM31" i="2"/>
  <c r="BO30" i="2"/>
  <c r="BN31" i="2"/>
  <c r="U30" i="2"/>
  <c r="V30" i="2" s="1"/>
  <c r="N30" i="2"/>
  <c r="N29" i="2"/>
  <c r="O29" i="2" s="1"/>
  <c r="AA39" i="2"/>
  <c r="V39" i="2"/>
  <c r="CJ34" i="2"/>
  <c r="CJ39" i="2"/>
  <c r="AO39" i="2"/>
  <c r="AO41" i="2" s="1"/>
  <c r="T22" i="1"/>
  <c r="T27" i="1"/>
  <c r="BA27" i="1"/>
  <c r="BW39" i="2"/>
  <c r="U39" i="2"/>
  <c r="U41" i="2" s="1"/>
  <c r="AB29" i="1"/>
  <c r="AM33" i="2"/>
  <c r="BW31" i="2"/>
  <c r="O39" i="2"/>
  <c r="T39" i="2"/>
  <c r="T41" i="2" s="1"/>
  <c r="CU39" i="2"/>
  <c r="CU29" i="2"/>
  <c r="CU30" i="2" s="1"/>
  <c r="CU34" i="2"/>
  <c r="L29" i="1"/>
  <c r="AM39" i="2"/>
  <c r="AM41" i="2" s="1"/>
  <c r="AU27" i="1"/>
  <c r="AU29" i="1" s="1"/>
  <c r="N39" i="2"/>
  <c r="N41" i="2" s="1"/>
  <c r="AP29" i="1"/>
  <c r="H39" i="2"/>
  <c r="H41" i="2" s="1"/>
  <c r="AF30" i="2"/>
  <c r="AV39" i="2"/>
  <c r="BN33" i="2"/>
  <c r="AF39" i="2"/>
  <c r="AF41" i="2" s="1"/>
  <c r="X29" i="1"/>
  <c r="BH39" i="2"/>
  <c r="BH41" i="2" s="1"/>
  <c r="BI28" i="5"/>
  <c r="BQ27" i="5"/>
  <c r="BR27" i="5" s="1"/>
  <c r="BQ28" i="5"/>
  <c r="AW27" i="5"/>
  <c r="AX27" i="5" s="1"/>
  <c r="BA26" i="5"/>
  <c r="BA28" i="5" s="1"/>
  <c r="BI27" i="5"/>
  <c r="G33" i="5"/>
  <c r="AZ33" i="5"/>
  <c r="AN33" i="5"/>
  <c r="BI33" i="5"/>
  <c r="AH33" i="5"/>
  <c r="A49" i="5"/>
  <c r="L48" i="5"/>
  <c r="D48" i="5"/>
  <c r="P48" i="5"/>
  <c r="C48" i="5"/>
  <c r="B48" i="5"/>
  <c r="M48" i="5"/>
  <c r="Q48" i="5"/>
  <c r="E48" i="5"/>
  <c r="AD48" i="5"/>
  <c r="AG48" i="5" s="1"/>
  <c r="AV48" i="5"/>
  <c r="AY48" i="5" s="1"/>
  <c r="X48" i="5"/>
  <c r="AJ48" i="5"/>
  <c r="AM48" i="5" s="1"/>
  <c r="BL48" i="5"/>
  <c r="BO48" i="5" s="1"/>
  <c r="AK48" i="5"/>
  <c r="H48" i="5"/>
  <c r="AE48" i="5"/>
  <c r="I48" i="5"/>
  <c r="AQ48" i="5"/>
  <c r="BD48" i="5"/>
  <c r="BG48" i="5" s="1"/>
  <c r="AW48" i="5"/>
  <c r="AZ48" i="5" s="1"/>
  <c r="BE48" i="5"/>
  <c r="BH48" i="5" s="1"/>
  <c r="T48" i="5"/>
  <c r="AP48" i="5"/>
  <c r="AS48" i="5" s="1"/>
  <c r="U48" i="5"/>
  <c r="BM48" i="5"/>
  <c r="BP48" i="5" s="1"/>
  <c r="Y48" i="5"/>
  <c r="Z39" i="4"/>
  <c r="Q39" i="4"/>
  <c r="AH39" i="4"/>
  <c r="W39" i="4"/>
  <c r="AD39" i="4"/>
  <c r="T39" i="4"/>
  <c r="A41" i="4"/>
  <c r="I40" i="4"/>
  <c r="B40" i="4"/>
  <c r="G40" i="4"/>
  <c r="C40" i="4"/>
  <c r="P40" i="4"/>
  <c r="M40" i="4"/>
  <c r="AC40" i="4"/>
  <c r="V40" i="4"/>
  <c r="S40" i="4"/>
  <c r="AG40" i="4"/>
  <c r="Y40" i="4"/>
  <c r="K40" i="4"/>
  <c r="E40" i="4"/>
  <c r="AW25" i="3"/>
  <c r="AW27" i="3" s="1"/>
  <c r="AU41" i="3"/>
  <c r="AT41" i="3"/>
  <c r="AK41" i="3"/>
  <c r="AJ41" i="3"/>
  <c r="Y41" i="3"/>
  <c r="X41" i="3"/>
  <c r="AP41" i="3"/>
  <c r="AO41" i="3"/>
  <c r="N42" i="3"/>
  <c r="C42" i="3"/>
  <c r="E42" i="3"/>
  <c r="J42" i="3"/>
  <c r="K42" i="3"/>
  <c r="D42" i="3"/>
  <c r="A43" i="3"/>
  <c r="B42" i="3"/>
  <c r="M42" i="3"/>
  <c r="AI42" i="3"/>
  <c r="W42" i="3"/>
  <c r="AA42" i="3"/>
  <c r="AN42" i="3"/>
  <c r="AS42" i="3"/>
  <c r="H42" i="3"/>
  <c r="Q42" i="3"/>
  <c r="P42" i="3"/>
  <c r="T42" i="3"/>
  <c r="G42" i="3"/>
  <c r="S42" i="3"/>
  <c r="AE42" i="3"/>
  <c r="AG41" i="3"/>
  <c r="AF41" i="3"/>
  <c r="AB41" i="3"/>
  <c r="AC41" i="3"/>
  <c r="BH27" i="1"/>
  <c r="BH29" i="1" s="1"/>
  <c r="CJ31" i="2"/>
  <c r="CK31" i="2"/>
  <c r="CJ33" i="2"/>
  <c r="CJ32" i="2"/>
  <c r="CJ35" i="2"/>
  <c r="CJ36" i="2"/>
  <c r="BW30" i="2"/>
  <c r="BW36" i="2"/>
  <c r="BW32" i="2"/>
  <c r="BW35" i="2"/>
  <c r="BO32" i="2"/>
  <c r="BI33" i="2"/>
  <c r="BI39" i="2" s="1"/>
  <c r="BI41" i="2" s="1"/>
  <c r="AV29" i="2"/>
  <c r="AV31" i="2" s="1"/>
  <c r="AN30" i="2"/>
  <c r="AN32" i="2" s="1"/>
  <c r="AN31" i="2"/>
  <c r="AO31" i="2" s="1"/>
  <c r="AF29" i="2"/>
  <c r="V41" i="2"/>
  <c r="H28" i="2"/>
  <c r="H30" i="2" s="1"/>
  <c r="A57" i="2"/>
  <c r="CS56" i="2"/>
  <c r="CV56" i="2" s="1"/>
  <c r="CF56" i="2"/>
  <c r="CI56" i="2" s="1"/>
  <c r="BT56" i="2"/>
  <c r="BW56" i="2" s="1"/>
  <c r="CR56" i="2"/>
  <c r="CU56" i="2" s="1"/>
  <c r="CG56" i="2"/>
  <c r="CJ56" i="2" s="1"/>
  <c r="BL56" i="2"/>
  <c r="BO56" i="2" s="1"/>
  <c r="BU56" i="2"/>
  <c r="BX56" i="2" s="1"/>
  <c r="BK56" i="2"/>
  <c r="BN56" i="2" s="1"/>
  <c r="BC56" i="2"/>
  <c r="BF56" i="2" s="1"/>
  <c r="BB56" i="2"/>
  <c r="BE56" i="2" s="1"/>
  <c r="AE55" i="2"/>
  <c r="AK55" i="2"/>
  <c r="L55" i="2"/>
  <c r="G55" i="2"/>
  <c r="S55" i="2"/>
  <c r="R55" i="2"/>
  <c r="AJ55" i="2"/>
  <c r="X55" i="2"/>
  <c r="M55" i="2"/>
  <c r="AD55" i="2"/>
  <c r="F55" i="2"/>
  <c r="Y55" i="2"/>
  <c r="AT55" i="2"/>
  <c r="AW55" i="2" s="1"/>
  <c r="AS55" i="2"/>
  <c r="AV55" i="2" s="1"/>
  <c r="BW41" i="2"/>
  <c r="W55" i="2"/>
  <c r="E55" i="2"/>
  <c r="B55" i="2"/>
  <c r="C55" i="2"/>
  <c r="Q55" i="2"/>
  <c r="D55" i="2"/>
  <c r="CE55" i="2"/>
  <c r="K55" i="2"/>
  <c r="BA55" i="2"/>
  <c r="AC55" i="2"/>
  <c r="AI55" i="2"/>
  <c r="BJ55" i="2"/>
  <c r="AR55" i="2"/>
  <c r="CQ55" i="2"/>
  <c r="BS55" i="2"/>
  <c r="CT41" i="2"/>
  <c r="CH54" i="2"/>
  <c r="BM54" i="2"/>
  <c r="AU54" i="2"/>
  <c r="BV54" i="2"/>
  <c r="CT54" i="2"/>
  <c r="AL41" i="2"/>
  <c r="BN41" i="2"/>
  <c r="BD54" i="2"/>
  <c r="P22" i="1"/>
  <c r="Z23" i="1"/>
  <c r="AG22" i="1"/>
  <c r="AG27" i="1" s="1"/>
  <c r="AM23" i="1"/>
  <c r="AP22" i="1"/>
  <c r="AP23" i="1"/>
  <c r="AU22" i="1"/>
  <c r="BA22" i="1"/>
  <c r="BA24" i="1"/>
  <c r="BA29" i="1"/>
  <c r="BI23" i="1"/>
  <c r="BH24" i="1"/>
  <c r="AV32" i="2" l="1"/>
  <c r="BO31" i="2"/>
  <c r="BP31" i="2" s="1"/>
  <c r="CU32" i="2"/>
  <c r="Z29" i="2"/>
  <c r="AA29" i="2" s="1"/>
  <c r="CV30" i="2"/>
  <c r="CV31" i="2"/>
  <c r="CV39" i="2"/>
  <c r="CV34" i="2"/>
  <c r="CV33" i="2"/>
  <c r="O41" i="2"/>
  <c r="BQ39" i="2"/>
  <c r="BQ41" i="2" s="1"/>
  <c r="CK32" i="2"/>
  <c r="CL32" i="2" s="1"/>
  <c r="CL39" i="2" s="1"/>
  <c r="CL41" i="2" s="1"/>
  <c r="CK39" i="2"/>
  <c r="CK41" i="2" s="1"/>
  <c r="CU35" i="2"/>
  <c r="CV35" i="2" s="1"/>
  <c r="CU33" i="2"/>
  <c r="AA23" i="1"/>
  <c r="AC27" i="1" s="1"/>
  <c r="P27" i="1"/>
  <c r="P29" i="1" s="1"/>
  <c r="AM27" i="1"/>
  <c r="AM29" i="1" s="1"/>
  <c r="AA41" i="2"/>
  <c r="CU31" i="2"/>
  <c r="BP39" i="2"/>
  <c r="BP41" i="2" s="1"/>
  <c r="BO33" i="2"/>
  <c r="AV41" i="2"/>
  <c r="AG29" i="1"/>
  <c r="O30" i="2"/>
  <c r="P30" i="2" s="1"/>
  <c r="P39" i="2" s="1"/>
  <c r="P41" i="2" s="1"/>
  <c r="AV33" i="2"/>
  <c r="AA30" i="2"/>
  <c r="AB30" i="2" s="1"/>
  <c r="CU36" i="2"/>
  <c r="CV36" i="2" s="1"/>
  <c r="T29" i="1"/>
  <c r="AN39" i="2"/>
  <c r="AN41" i="2" s="1"/>
  <c r="BR28" i="5"/>
  <c r="BS28" i="5" s="1"/>
  <c r="BS31" i="5" s="1"/>
  <c r="BR31" i="5"/>
  <c r="AY27" i="5"/>
  <c r="AZ27" i="5" s="1"/>
  <c r="BA27" i="5" s="1"/>
  <c r="BA31" i="5"/>
  <c r="BJ27" i="5"/>
  <c r="BJ31" i="5" s="1"/>
  <c r="AU33" i="5"/>
  <c r="BQ33" i="5"/>
  <c r="M49" i="5"/>
  <c r="E49" i="5"/>
  <c r="P49" i="5"/>
  <c r="A50" i="5"/>
  <c r="D49" i="5"/>
  <c r="Q49" i="5"/>
  <c r="C49" i="5"/>
  <c r="L49" i="5"/>
  <c r="B49" i="5"/>
  <c r="X49" i="5"/>
  <c r="AD49" i="5"/>
  <c r="AG49" i="5" s="1"/>
  <c r="AK49" i="5"/>
  <c r="AP49" i="5"/>
  <c r="AS49" i="5" s="1"/>
  <c r="U49" i="5"/>
  <c r="H49" i="5"/>
  <c r="T49" i="5"/>
  <c r="I49" i="5"/>
  <c r="AQ49" i="5"/>
  <c r="AV49" i="5"/>
  <c r="AY49" i="5" s="1"/>
  <c r="BD49" i="5"/>
  <c r="BG49" i="5" s="1"/>
  <c r="AE49" i="5"/>
  <c r="AJ49" i="5"/>
  <c r="AM49" i="5" s="1"/>
  <c r="BL49" i="5"/>
  <c r="BO49" i="5" s="1"/>
  <c r="Y49" i="5"/>
  <c r="BE49" i="5"/>
  <c r="BH49" i="5" s="1"/>
  <c r="AW49" i="5"/>
  <c r="AZ49" i="5" s="1"/>
  <c r="BM49" i="5"/>
  <c r="BP49" i="5" s="1"/>
  <c r="AC33" i="5"/>
  <c r="AH40" i="4"/>
  <c r="T40" i="4"/>
  <c r="Q40" i="4"/>
  <c r="W40" i="4"/>
  <c r="AD40" i="4"/>
  <c r="Z40" i="4"/>
  <c r="A42" i="4"/>
  <c r="I41" i="4"/>
  <c r="C41" i="4"/>
  <c r="B41" i="4"/>
  <c r="G41" i="4"/>
  <c r="AG41" i="4"/>
  <c r="M41" i="4"/>
  <c r="Y41" i="4"/>
  <c r="S41" i="4"/>
  <c r="AC41" i="4"/>
  <c r="V41" i="4"/>
  <c r="E41" i="4"/>
  <c r="K41" i="4"/>
  <c r="P41" i="4"/>
  <c r="AG42" i="3"/>
  <c r="AF42" i="3"/>
  <c r="X42" i="3"/>
  <c r="Y42" i="3"/>
  <c r="AK42" i="3"/>
  <c r="AJ42" i="3"/>
  <c r="AU42" i="3"/>
  <c r="AT42" i="3"/>
  <c r="AO42" i="3"/>
  <c r="AP42" i="3"/>
  <c r="A44" i="3"/>
  <c r="J43" i="3"/>
  <c r="D43" i="3"/>
  <c r="C43" i="3"/>
  <c r="B43" i="3"/>
  <c r="M43" i="3"/>
  <c r="E43" i="3"/>
  <c r="N43" i="3"/>
  <c r="K43" i="3"/>
  <c r="AS43" i="3"/>
  <c r="AN43" i="3"/>
  <c r="T43" i="3"/>
  <c r="H43" i="3"/>
  <c r="P43" i="3"/>
  <c r="Q43" i="3"/>
  <c r="S43" i="3"/>
  <c r="AI43" i="3"/>
  <c r="AE43" i="3"/>
  <c r="W43" i="3"/>
  <c r="AA43" i="3"/>
  <c r="G43" i="3"/>
  <c r="AB42" i="3"/>
  <c r="AC42" i="3"/>
  <c r="BI27" i="1"/>
  <c r="BI29" i="1" s="1"/>
  <c r="CK33" i="2"/>
  <c r="CK35" i="2"/>
  <c r="CK36" i="2"/>
  <c r="CK34" i="2"/>
  <c r="BX30" i="2"/>
  <c r="BX34" i="2" s="1"/>
  <c r="AV30" i="2"/>
  <c r="AN33" i="2"/>
  <c r="AO33" i="2"/>
  <c r="AO32" i="2"/>
  <c r="AP32" i="2" s="1"/>
  <c r="AP39" i="2" s="1"/>
  <c r="AP41" i="2" s="1"/>
  <c r="AG29" i="2"/>
  <c r="AG30" i="2" s="1"/>
  <c r="H29" i="2"/>
  <c r="A58" i="2"/>
  <c r="CR57" i="2"/>
  <c r="CU57" i="2" s="1"/>
  <c r="CS57" i="2"/>
  <c r="CV57" i="2" s="1"/>
  <c r="CG57" i="2"/>
  <c r="CJ57" i="2" s="1"/>
  <c r="BU57" i="2"/>
  <c r="BX57" i="2" s="1"/>
  <c r="BT57" i="2"/>
  <c r="BW57" i="2" s="1"/>
  <c r="CF57" i="2"/>
  <c r="CI57" i="2" s="1"/>
  <c r="BL57" i="2"/>
  <c r="BO57" i="2" s="1"/>
  <c r="BB57" i="2"/>
  <c r="BE57" i="2" s="1"/>
  <c r="BK57" i="2"/>
  <c r="BN57" i="2" s="1"/>
  <c r="BC57" i="2"/>
  <c r="BF57" i="2" s="1"/>
  <c r="AJ56" i="2"/>
  <c r="AK56" i="2"/>
  <c r="AE56" i="2"/>
  <c r="X56" i="2"/>
  <c r="AD56" i="2"/>
  <c r="R56" i="2"/>
  <c r="G56" i="2"/>
  <c r="L56" i="2"/>
  <c r="F56" i="2"/>
  <c r="S56" i="2"/>
  <c r="Y56" i="2"/>
  <c r="M56" i="2"/>
  <c r="AS56" i="2"/>
  <c r="AV56" i="2" s="1"/>
  <c r="AT56" i="2"/>
  <c r="AW56" i="2" s="1"/>
  <c r="CI41" i="2"/>
  <c r="BV55" i="2"/>
  <c r="CT55" i="2"/>
  <c r="BD55" i="2"/>
  <c r="Q56" i="2"/>
  <c r="C56" i="2"/>
  <c r="W56" i="2"/>
  <c r="E56" i="2"/>
  <c r="D56" i="2"/>
  <c r="B56" i="2"/>
  <c r="BS56" i="2"/>
  <c r="AR56" i="2"/>
  <c r="K56" i="2"/>
  <c r="AI56" i="2"/>
  <c r="BA56" i="2"/>
  <c r="CQ56" i="2"/>
  <c r="AC56" i="2"/>
  <c r="BJ56" i="2"/>
  <c r="CE56" i="2"/>
  <c r="AU55" i="2"/>
  <c r="CH55" i="2"/>
  <c r="CJ41" i="2"/>
  <c r="BM55" i="2"/>
  <c r="AB23" i="1"/>
  <c r="AC23" i="1" s="1"/>
  <c r="AG23" i="1"/>
  <c r="AQ22" i="1"/>
  <c r="AQ27" i="1" s="1"/>
  <c r="AT24" i="1"/>
  <c r="AV22" i="1"/>
  <c r="AV23" i="1" s="1"/>
  <c r="BB22" i="1"/>
  <c r="BB24" i="1" s="1"/>
  <c r="BI24" i="1"/>
  <c r="BJ24" i="1" s="1"/>
  <c r="BJ27" i="1" s="1"/>
  <c r="CV32" i="2" l="1"/>
  <c r="BP32" i="2"/>
  <c r="BQ32" i="2" s="1"/>
  <c r="CL35" i="2"/>
  <c r="CW31" i="2"/>
  <c r="CW32" i="2" s="1"/>
  <c r="BP33" i="2"/>
  <c r="BX39" i="2"/>
  <c r="BX41" i="2" s="1"/>
  <c r="AC29" i="1"/>
  <c r="CL36" i="2"/>
  <c r="AV27" i="1"/>
  <c r="AV29" i="1" s="1"/>
  <c r="AB39" i="2"/>
  <c r="AB41" i="2" s="1"/>
  <c r="AG39" i="2"/>
  <c r="AG41" i="2" s="1"/>
  <c r="AW27" i="1"/>
  <c r="AU24" i="1"/>
  <c r="BX36" i="2"/>
  <c r="BB27" i="1"/>
  <c r="BB29" i="1" s="1"/>
  <c r="BB27" i="5"/>
  <c r="BB31" i="5" s="1"/>
  <c r="BJ28" i="5"/>
  <c r="BK28" i="5" s="1"/>
  <c r="BK31" i="5" s="1"/>
  <c r="BR33" i="5"/>
  <c r="AI33" i="5"/>
  <c r="Q50" i="5"/>
  <c r="C50" i="5"/>
  <c r="P50" i="5"/>
  <c r="B50" i="5"/>
  <c r="M50" i="5"/>
  <c r="E50" i="5"/>
  <c r="A51" i="5"/>
  <c r="D50" i="5"/>
  <c r="L50" i="5"/>
  <c r="AE50" i="5"/>
  <c r="AV50" i="5"/>
  <c r="AY50" i="5" s="1"/>
  <c r="X50" i="5"/>
  <c r="AK50" i="5"/>
  <c r="AW50" i="5"/>
  <c r="AZ50" i="5" s="1"/>
  <c r="AQ50" i="5"/>
  <c r="AD50" i="5"/>
  <c r="AG50" i="5" s="1"/>
  <c r="U50" i="5"/>
  <c r="AP50" i="5"/>
  <c r="AS50" i="5" s="1"/>
  <c r="BL50" i="5"/>
  <c r="BO50" i="5" s="1"/>
  <c r="H50" i="5"/>
  <c r="I50" i="5"/>
  <c r="T50" i="5"/>
  <c r="AJ50" i="5"/>
  <c r="AM50" i="5" s="1"/>
  <c r="BD50" i="5"/>
  <c r="BG50" i="5" s="1"/>
  <c r="BM50" i="5"/>
  <c r="BP50" i="5" s="1"/>
  <c r="BE50" i="5"/>
  <c r="BH50" i="5" s="1"/>
  <c r="Y50" i="5"/>
  <c r="W41" i="4"/>
  <c r="AH41" i="4"/>
  <c r="AD41" i="4"/>
  <c r="Q41" i="4"/>
  <c r="T41" i="4"/>
  <c r="Z41" i="4"/>
  <c r="A43" i="4"/>
  <c r="C42" i="4"/>
  <c r="I42" i="4"/>
  <c r="G42" i="4"/>
  <c r="B42" i="4"/>
  <c r="S42" i="4"/>
  <c r="AG42" i="4"/>
  <c r="Y42" i="4"/>
  <c r="E42" i="4"/>
  <c r="V42" i="4"/>
  <c r="AC42" i="4"/>
  <c r="M42" i="4"/>
  <c r="P42" i="4"/>
  <c r="K42" i="4"/>
  <c r="AT43" i="3"/>
  <c r="AU43" i="3"/>
  <c r="M44" i="3"/>
  <c r="B44" i="3"/>
  <c r="E44" i="3"/>
  <c r="C44" i="3"/>
  <c r="N44" i="3"/>
  <c r="D44" i="3"/>
  <c r="K44" i="3"/>
  <c r="A45" i="3"/>
  <c r="J44" i="3"/>
  <c r="T44" i="3"/>
  <c r="AI44" i="3"/>
  <c r="Q44" i="3"/>
  <c r="H44" i="3"/>
  <c r="W44" i="3"/>
  <c r="S44" i="3"/>
  <c r="AA44" i="3"/>
  <c r="AS44" i="3"/>
  <c r="G44" i="3"/>
  <c r="AN44" i="3"/>
  <c r="P44" i="3"/>
  <c r="AE44" i="3"/>
  <c r="AG43" i="3"/>
  <c r="AF43" i="3"/>
  <c r="AC43" i="3"/>
  <c r="AB43" i="3"/>
  <c r="AP43" i="3"/>
  <c r="AO43" i="3"/>
  <c r="X43" i="3"/>
  <c r="Y43" i="3"/>
  <c r="AJ43" i="3"/>
  <c r="AK43" i="3"/>
  <c r="CL34" i="2"/>
  <c r="CL33" i="2"/>
  <c r="BX35" i="2"/>
  <c r="BX33" i="2"/>
  <c r="BX31" i="2"/>
  <c r="BX32" i="2"/>
  <c r="AW30" i="2"/>
  <c r="AP33" i="2"/>
  <c r="AQ33" i="2" s="1"/>
  <c r="AQ39" i="2" s="1"/>
  <c r="AQ41" i="2" s="1"/>
  <c r="AH30" i="2"/>
  <c r="AH39" i="2" s="1"/>
  <c r="AH41" i="2" s="1"/>
  <c r="I29" i="2"/>
  <c r="CS58" i="2"/>
  <c r="CV58" i="2" s="1"/>
  <c r="CG58" i="2"/>
  <c r="CJ58" i="2" s="1"/>
  <c r="BU58" i="2"/>
  <c r="BX58" i="2" s="1"/>
  <c r="A59" i="2"/>
  <c r="CF58" i="2"/>
  <c r="CI58" i="2" s="1"/>
  <c r="CR58" i="2"/>
  <c r="CU58" i="2" s="1"/>
  <c r="BK58" i="2"/>
  <c r="BN58" i="2" s="1"/>
  <c r="BB58" i="2"/>
  <c r="BE58" i="2" s="1"/>
  <c r="BC58" i="2"/>
  <c r="BF58" i="2" s="1"/>
  <c r="BT58" i="2"/>
  <c r="BW58" i="2" s="1"/>
  <c r="BL58" i="2"/>
  <c r="BO58" i="2" s="1"/>
  <c r="AD57" i="2"/>
  <c r="Y57" i="2"/>
  <c r="G57" i="2"/>
  <c r="S57" i="2"/>
  <c r="AK57" i="2"/>
  <c r="AE57" i="2"/>
  <c r="X57" i="2"/>
  <c r="R57" i="2"/>
  <c r="F57" i="2"/>
  <c r="AJ57" i="2"/>
  <c r="M57" i="2"/>
  <c r="L57" i="2"/>
  <c r="AT57" i="2"/>
  <c r="AW57" i="2" s="1"/>
  <c r="AS57" i="2"/>
  <c r="AV57" i="2" s="1"/>
  <c r="BV56" i="2"/>
  <c r="CT56" i="2"/>
  <c r="BD56" i="2"/>
  <c r="CU41" i="2"/>
  <c r="CH56" i="2"/>
  <c r="E57" i="2"/>
  <c r="W57" i="2"/>
  <c r="D57" i="2"/>
  <c r="C57" i="2"/>
  <c r="Q57" i="2"/>
  <c r="B57" i="2"/>
  <c r="CQ57" i="2"/>
  <c r="AC57" i="2"/>
  <c r="AR57" i="2"/>
  <c r="K57" i="2"/>
  <c r="BS57" i="2"/>
  <c r="CE57" i="2"/>
  <c r="BA57" i="2"/>
  <c r="BJ57" i="2"/>
  <c r="AI57" i="2"/>
  <c r="BM56" i="2"/>
  <c r="AU56" i="2"/>
  <c r="BB23" i="1"/>
  <c r="BJ29" i="1"/>
  <c r="AH23" i="1"/>
  <c r="AQ29" i="1"/>
  <c r="AQ23" i="1"/>
  <c r="AW23" i="1"/>
  <c r="AV24" i="1"/>
  <c r="BC23" i="1"/>
  <c r="BC24" i="1" s="1"/>
  <c r="BQ33" i="2" l="1"/>
  <c r="BR33" i="2" s="1"/>
  <c r="BR39" i="2" s="1"/>
  <c r="BR41" i="2" s="1"/>
  <c r="CX32" i="2"/>
  <c r="CX39" i="2" s="1"/>
  <c r="CX41" i="2" s="1"/>
  <c r="AW29" i="1"/>
  <c r="CW36" i="2"/>
  <c r="AR27" i="1"/>
  <c r="AH27" i="1"/>
  <c r="AH29" i="1" s="1"/>
  <c r="CW39" i="2"/>
  <c r="CW41" i="2" s="1"/>
  <c r="CW34" i="2"/>
  <c r="AW32" i="2"/>
  <c r="AW39" i="2"/>
  <c r="AW41" i="2" s="1"/>
  <c r="I39" i="2"/>
  <c r="I41" i="2" s="1"/>
  <c r="BC27" i="1"/>
  <c r="CW33" i="2"/>
  <c r="CX33" i="2" s="1"/>
  <c r="CY33" i="2" s="1"/>
  <c r="CW35" i="2"/>
  <c r="CX35" i="2" s="1"/>
  <c r="BB28" i="5"/>
  <c r="BC28" i="5" s="1"/>
  <c r="BC31" i="5" s="1"/>
  <c r="BA33" i="5"/>
  <c r="A52" i="5"/>
  <c r="L51" i="5"/>
  <c r="D51" i="5"/>
  <c r="P51" i="5"/>
  <c r="E51" i="5"/>
  <c r="C51" i="5"/>
  <c r="Q51" i="5"/>
  <c r="B51" i="5"/>
  <c r="M51" i="5"/>
  <c r="X51" i="5"/>
  <c r="BD51" i="5"/>
  <c r="BG51" i="5" s="1"/>
  <c r="AD51" i="5"/>
  <c r="AG51" i="5" s="1"/>
  <c r="AW51" i="5"/>
  <c r="AZ51" i="5" s="1"/>
  <c r="AV51" i="5"/>
  <c r="AY51" i="5" s="1"/>
  <c r="BL51" i="5"/>
  <c r="BO51" i="5" s="1"/>
  <c r="I51" i="5"/>
  <c r="AJ51" i="5"/>
  <c r="AM51" i="5" s="1"/>
  <c r="AK51" i="5"/>
  <c r="AQ51" i="5"/>
  <c r="AE51" i="5"/>
  <c r="H51" i="5"/>
  <c r="U51" i="5"/>
  <c r="T51" i="5"/>
  <c r="AP51" i="5"/>
  <c r="AS51" i="5" s="1"/>
  <c r="BE51" i="5"/>
  <c r="BH51" i="5" s="1"/>
  <c r="BM51" i="5"/>
  <c r="BP51" i="5" s="1"/>
  <c r="Y51" i="5"/>
  <c r="AH42" i="4"/>
  <c r="W42" i="4"/>
  <c r="Q42" i="4"/>
  <c r="AD42" i="4"/>
  <c r="T42" i="4"/>
  <c r="Z42" i="4"/>
  <c r="A44" i="4"/>
  <c r="I43" i="4"/>
  <c r="C43" i="4"/>
  <c r="G43" i="4"/>
  <c r="B43" i="4"/>
  <c r="S43" i="4"/>
  <c r="AG43" i="4"/>
  <c r="E43" i="4"/>
  <c r="AC43" i="4"/>
  <c r="Y43" i="4"/>
  <c r="V43" i="4"/>
  <c r="K43" i="4"/>
  <c r="P43" i="4"/>
  <c r="M43" i="4"/>
  <c r="AT44" i="3"/>
  <c r="AU44" i="3"/>
  <c r="AC44" i="3"/>
  <c r="AB44" i="3"/>
  <c r="N45" i="3"/>
  <c r="C45" i="3"/>
  <c r="M45" i="3"/>
  <c r="E45" i="3"/>
  <c r="K45" i="3"/>
  <c r="A46" i="3"/>
  <c r="D45" i="3"/>
  <c r="B45" i="3"/>
  <c r="J45" i="3"/>
  <c r="S45" i="3"/>
  <c r="AN45" i="3"/>
  <c r="AS45" i="3"/>
  <c r="H45" i="3"/>
  <c r="G45" i="3"/>
  <c r="Q45" i="3"/>
  <c r="AE45" i="3"/>
  <c r="T45" i="3"/>
  <c r="AI45" i="3"/>
  <c r="AA45" i="3"/>
  <c r="P45" i="3"/>
  <c r="W45" i="3"/>
  <c r="Y44" i="3"/>
  <c r="X44" i="3"/>
  <c r="AK44" i="3"/>
  <c r="AJ44" i="3"/>
  <c r="AP44" i="3"/>
  <c r="AO44" i="3"/>
  <c r="AF44" i="3"/>
  <c r="AG44" i="3"/>
  <c r="CM33" i="2"/>
  <c r="BY31" i="2"/>
  <c r="BY32" i="2" s="1"/>
  <c r="BZ32" i="2" s="1"/>
  <c r="BZ39" i="2" s="1"/>
  <c r="BZ41" i="2" s="1"/>
  <c r="BY35" i="2"/>
  <c r="AW33" i="2"/>
  <c r="AW31" i="2"/>
  <c r="I30" i="2"/>
  <c r="CR59" i="2"/>
  <c r="CU59" i="2" s="1"/>
  <c r="A60" i="2"/>
  <c r="BT59" i="2"/>
  <c r="BW59" i="2" s="1"/>
  <c r="CG59" i="2"/>
  <c r="CJ59" i="2" s="1"/>
  <c r="BU59" i="2"/>
  <c r="BX59" i="2" s="1"/>
  <c r="BL59" i="2"/>
  <c r="BO59" i="2" s="1"/>
  <c r="CF59" i="2"/>
  <c r="CI59" i="2" s="1"/>
  <c r="BC59" i="2"/>
  <c r="BF59" i="2" s="1"/>
  <c r="BK59" i="2"/>
  <c r="BN59" i="2" s="1"/>
  <c r="BB59" i="2"/>
  <c r="BE59" i="2" s="1"/>
  <c r="CS59" i="2"/>
  <c r="CV59" i="2" s="1"/>
  <c r="AK58" i="2"/>
  <c r="AJ58" i="2"/>
  <c r="AE58" i="2"/>
  <c r="S58" i="2"/>
  <c r="M58" i="2"/>
  <c r="AD58" i="2"/>
  <c r="Y58" i="2"/>
  <c r="X58" i="2"/>
  <c r="R58" i="2"/>
  <c r="L58" i="2"/>
  <c r="G58" i="2"/>
  <c r="F58" i="2"/>
  <c r="AT58" i="2"/>
  <c r="AW58" i="2" s="1"/>
  <c r="AS58" i="2"/>
  <c r="AV58" i="2" s="1"/>
  <c r="AU57" i="2"/>
  <c r="CV41" i="2"/>
  <c r="BD57" i="2"/>
  <c r="CH57" i="2"/>
  <c r="BV57" i="2"/>
  <c r="CT57" i="2"/>
  <c r="D58" i="2"/>
  <c r="E58" i="2"/>
  <c r="W58" i="2"/>
  <c r="Q58" i="2"/>
  <c r="C58" i="2"/>
  <c r="B58" i="2"/>
  <c r="BS58" i="2"/>
  <c r="CE58" i="2"/>
  <c r="CQ58" i="2"/>
  <c r="K58" i="2"/>
  <c r="BJ58" i="2"/>
  <c r="AI58" i="2"/>
  <c r="BA58" i="2"/>
  <c r="AR58" i="2"/>
  <c r="AC58" i="2"/>
  <c r="BM57" i="2"/>
  <c r="AR23" i="1"/>
  <c r="AW24" i="1"/>
  <c r="BD24" i="1"/>
  <c r="BC29" i="1"/>
  <c r="CX36" i="2" l="1"/>
  <c r="BY36" i="2"/>
  <c r="CY35" i="2"/>
  <c r="CY39" i="2"/>
  <c r="CY41" i="2" s="1"/>
  <c r="CM36" i="2"/>
  <c r="CM39" i="2"/>
  <c r="CM41" i="2" s="1"/>
  <c r="CX34" i="2"/>
  <c r="AR29" i="1"/>
  <c r="BD27" i="1"/>
  <c r="BD29" i="1" s="1"/>
  <c r="BY34" i="2"/>
  <c r="BY39" i="2"/>
  <c r="BY41" i="2" s="1"/>
  <c r="AO33" i="5"/>
  <c r="BJ33" i="5"/>
  <c r="M52" i="5"/>
  <c r="E52" i="5"/>
  <c r="B52" i="5"/>
  <c r="A53" i="5"/>
  <c r="P52" i="5"/>
  <c r="Q52" i="5"/>
  <c r="L52" i="5"/>
  <c r="D52" i="5"/>
  <c r="C52" i="5"/>
  <c r="X52" i="5"/>
  <c r="AE52" i="5"/>
  <c r="AV52" i="5"/>
  <c r="AY52" i="5" s="1"/>
  <c r="BD52" i="5"/>
  <c r="BG52" i="5" s="1"/>
  <c r="AJ52" i="5"/>
  <c r="AM52" i="5" s="1"/>
  <c r="T52" i="5"/>
  <c r="I52" i="5"/>
  <c r="AD52" i="5"/>
  <c r="AG52" i="5" s="1"/>
  <c r="AK52" i="5"/>
  <c r="H52" i="5"/>
  <c r="BL52" i="5"/>
  <c r="BO52" i="5" s="1"/>
  <c r="U52" i="5"/>
  <c r="AP52" i="5"/>
  <c r="AS52" i="5" s="1"/>
  <c r="AQ52" i="5"/>
  <c r="BM52" i="5"/>
  <c r="BP52" i="5" s="1"/>
  <c r="AW52" i="5"/>
  <c r="AZ52" i="5" s="1"/>
  <c r="BE52" i="5"/>
  <c r="BH52" i="5" s="1"/>
  <c r="Y52" i="5"/>
  <c r="W43" i="4"/>
  <c r="T43" i="4"/>
  <c r="Q43" i="4"/>
  <c r="Z43" i="4"/>
  <c r="AD43" i="4"/>
  <c r="AH43" i="4"/>
  <c r="C44" i="4"/>
  <c r="I44" i="4"/>
  <c r="G44" i="4"/>
  <c r="A45" i="4"/>
  <c r="B44" i="4"/>
  <c r="P44" i="4"/>
  <c r="AC44" i="4"/>
  <c r="V44" i="4"/>
  <c r="M44" i="4"/>
  <c r="K44" i="4"/>
  <c r="S44" i="4"/>
  <c r="AG44" i="4"/>
  <c r="Y44" i="4"/>
  <c r="E44" i="4"/>
  <c r="AU45" i="3"/>
  <c r="AT45" i="3"/>
  <c r="AB45" i="3"/>
  <c r="AC45" i="3"/>
  <c r="AK45" i="3"/>
  <c r="AJ45" i="3"/>
  <c r="AO45" i="3"/>
  <c r="AP45" i="3"/>
  <c r="X45" i="3"/>
  <c r="Y45" i="3"/>
  <c r="AG45" i="3"/>
  <c r="AF45" i="3"/>
  <c r="K46" i="3"/>
  <c r="E46" i="3"/>
  <c r="J46" i="3"/>
  <c r="D46" i="3"/>
  <c r="M46" i="3"/>
  <c r="C46" i="3"/>
  <c r="B46" i="3"/>
  <c r="A47" i="3"/>
  <c r="N46" i="3"/>
  <c r="AA46" i="3"/>
  <c r="S46" i="3"/>
  <c r="T46" i="3"/>
  <c r="AS46" i="3"/>
  <c r="G46" i="3"/>
  <c r="H46" i="3"/>
  <c r="P46" i="3"/>
  <c r="AE46" i="3"/>
  <c r="AN46" i="3"/>
  <c r="Q46" i="3"/>
  <c r="AI46" i="3"/>
  <c r="W46" i="3"/>
  <c r="CY36" i="2"/>
  <c r="CM35" i="2"/>
  <c r="CM34" i="2"/>
  <c r="BZ35" i="2"/>
  <c r="BY33" i="2"/>
  <c r="BZ33" i="2" s="1"/>
  <c r="BZ36" i="2"/>
  <c r="BZ34" i="2"/>
  <c r="AX31" i="2"/>
  <c r="AX39" i="2" s="1"/>
  <c r="AX41" i="2" s="1"/>
  <c r="AX32" i="2"/>
  <c r="AY32" i="2" s="1"/>
  <c r="AY39" i="2" s="1"/>
  <c r="AY41" i="2" s="1"/>
  <c r="AX33" i="2"/>
  <c r="J30" i="2"/>
  <c r="CS60" i="2"/>
  <c r="CV60" i="2" s="1"/>
  <c r="A61" i="2"/>
  <c r="CG60" i="2"/>
  <c r="CJ60" i="2" s="1"/>
  <c r="CF60" i="2"/>
  <c r="CI60" i="2" s="1"/>
  <c r="CR60" i="2"/>
  <c r="CU60" i="2" s="1"/>
  <c r="BU60" i="2"/>
  <c r="BX60" i="2" s="1"/>
  <c r="BK60" i="2"/>
  <c r="BN60" i="2" s="1"/>
  <c r="BC60" i="2"/>
  <c r="BF60" i="2" s="1"/>
  <c r="BT60" i="2"/>
  <c r="BW60" i="2" s="1"/>
  <c r="BL60" i="2"/>
  <c r="BO60" i="2" s="1"/>
  <c r="BB60" i="2"/>
  <c r="BE60" i="2" s="1"/>
  <c r="X59" i="2"/>
  <c r="AJ59" i="2"/>
  <c r="M59" i="2"/>
  <c r="AD59" i="2"/>
  <c r="R59" i="2"/>
  <c r="G59" i="2"/>
  <c r="L59" i="2"/>
  <c r="F59" i="2"/>
  <c r="AK59" i="2"/>
  <c r="Y59" i="2"/>
  <c r="AE59" i="2"/>
  <c r="S59" i="2"/>
  <c r="AT59" i="2"/>
  <c r="AW59" i="2" s="1"/>
  <c r="AS59" i="2"/>
  <c r="AV59" i="2" s="1"/>
  <c r="CH58" i="2"/>
  <c r="BM58" i="2"/>
  <c r="BD58" i="2"/>
  <c r="AU58" i="2"/>
  <c r="BV58" i="2"/>
  <c r="D59" i="2"/>
  <c r="B59" i="2"/>
  <c r="Q59" i="2"/>
  <c r="C59" i="2"/>
  <c r="W59" i="2"/>
  <c r="E59" i="2"/>
  <c r="AR59" i="2"/>
  <c r="CQ59" i="2"/>
  <c r="BJ59" i="2"/>
  <c r="K59" i="2"/>
  <c r="CE59" i="2"/>
  <c r="BS59" i="2"/>
  <c r="BA59" i="2"/>
  <c r="AC59" i="2"/>
  <c r="AI59" i="2"/>
  <c r="CT58" i="2"/>
  <c r="AX24" i="1"/>
  <c r="AY33" i="2" l="1"/>
  <c r="AZ33" i="2" s="1"/>
  <c r="AZ39" i="2" s="1"/>
  <c r="AZ41" i="2" s="1"/>
  <c r="CY34" i="2"/>
  <c r="CZ34" i="2" s="1"/>
  <c r="CZ39" i="2" s="1"/>
  <c r="CZ41" i="2" s="1"/>
  <c r="AX27" i="1"/>
  <c r="AX29" i="1" s="1"/>
  <c r="J39" i="2"/>
  <c r="J41" i="2" s="1"/>
  <c r="BS33" i="5"/>
  <c r="Q53" i="5"/>
  <c r="C53" i="5"/>
  <c r="P53" i="5"/>
  <c r="B53" i="5"/>
  <c r="E53" i="5"/>
  <c r="L53" i="5"/>
  <c r="M53" i="5"/>
  <c r="A54" i="5"/>
  <c r="D53" i="5"/>
  <c r="AV53" i="5"/>
  <c r="AY53" i="5" s="1"/>
  <c r="AE53" i="5"/>
  <c r="AJ53" i="5"/>
  <c r="AM53" i="5" s="1"/>
  <c r="X53" i="5"/>
  <c r="AD53" i="5"/>
  <c r="AG53" i="5" s="1"/>
  <c r="AQ53" i="5"/>
  <c r="U53" i="5"/>
  <c r="AP53" i="5"/>
  <c r="AS53" i="5" s="1"/>
  <c r="I53" i="5"/>
  <c r="AK53" i="5"/>
  <c r="BL53" i="5"/>
  <c r="BO53" i="5" s="1"/>
  <c r="BD53" i="5"/>
  <c r="BG53" i="5" s="1"/>
  <c r="BE53" i="5"/>
  <c r="BH53" i="5" s="1"/>
  <c r="H53" i="5"/>
  <c r="T53" i="5"/>
  <c r="Y53" i="5"/>
  <c r="AW53" i="5"/>
  <c r="AZ53" i="5" s="1"/>
  <c r="BM53" i="5"/>
  <c r="BP53" i="5" s="1"/>
  <c r="AH44" i="4"/>
  <c r="Z44" i="4"/>
  <c r="AD44" i="4"/>
  <c r="T44" i="4"/>
  <c r="Q44" i="4"/>
  <c r="W44" i="4"/>
  <c r="A46" i="4"/>
  <c r="I45" i="4"/>
  <c r="C45" i="4"/>
  <c r="G45" i="4"/>
  <c r="B45" i="4"/>
  <c r="M45" i="4"/>
  <c r="Y45" i="4"/>
  <c r="K45" i="4"/>
  <c r="V45" i="4"/>
  <c r="AC45" i="4"/>
  <c r="S45" i="4"/>
  <c r="P45" i="4"/>
  <c r="E45" i="4"/>
  <c r="AG45" i="4"/>
  <c r="AP46" i="3"/>
  <c r="AO46" i="3"/>
  <c r="AF46" i="3"/>
  <c r="AG46" i="3"/>
  <c r="N47" i="3"/>
  <c r="C47" i="3"/>
  <c r="K47" i="3"/>
  <c r="D47" i="3"/>
  <c r="A48" i="3"/>
  <c r="J47" i="3"/>
  <c r="M47" i="3"/>
  <c r="E47" i="3"/>
  <c r="B47" i="3"/>
  <c r="P47" i="3"/>
  <c r="AE47" i="3"/>
  <c r="W47" i="3"/>
  <c r="AI47" i="3"/>
  <c r="AN47" i="3"/>
  <c r="AS47" i="3"/>
  <c r="G47" i="3"/>
  <c r="T47" i="3"/>
  <c r="S47" i="3"/>
  <c r="Q47" i="3"/>
  <c r="AA47" i="3"/>
  <c r="H47" i="3"/>
  <c r="X46" i="3"/>
  <c r="Y46" i="3"/>
  <c r="AC46" i="3"/>
  <c r="AB46" i="3"/>
  <c r="AK46" i="3"/>
  <c r="AJ46" i="3"/>
  <c r="AT46" i="3"/>
  <c r="AU46" i="3"/>
  <c r="CN34" i="2"/>
  <c r="CN35" i="2"/>
  <c r="CO35" i="2" s="1"/>
  <c r="CO39" i="2" s="1"/>
  <c r="CO41" i="2" s="1"/>
  <c r="CA33" i="2"/>
  <c r="A62" i="2"/>
  <c r="CR61" i="2"/>
  <c r="CU61" i="2" s="1"/>
  <c r="CS61" i="2"/>
  <c r="CV61" i="2" s="1"/>
  <c r="BT61" i="2"/>
  <c r="BW61" i="2" s="1"/>
  <c r="CG61" i="2"/>
  <c r="CJ61" i="2" s="1"/>
  <c r="BL61" i="2"/>
  <c r="BO61" i="2" s="1"/>
  <c r="CF61" i="2"/>
  <c r="CI61" i="2" s="1"/>
  <c r="BK61" i="2"/>
  <c r="BN61" i="2" s="1"/>
  <c r="BU61" i="2"/>
  <c r="BX61" i="2" s="1"/>
  <c r="BB61" i="2"/>
  <c r="BE61" i="2" s="1"/>
  <c r="BC61" i="2"/>
  <c r="BF61" i="2" s="1"/>
  <c r="AJ60" i="2"/>
  <c r="AD60" i="2"/>
  <c r="F60" i="2"/>
  <c r="L60" i="2"/>
  <c r="AK60" i="2"/>
  <c r="Y60" i="2"/>
  <c r="X60" i="2"/>
  <c r="M60" i="2"/>
  <c r="S60" i="2"/>
  <c r="AE60" i="2"/>
  <c r="R60" i="2"/>
  <c r="G60" i="2"/>
  <c r="AS60" i="2"/>
  <c r="AV60" i="2" s="1"/>
  <c r="AT60" i="2"/>
  <c r="AW60" i="2" s="1"/>
  <c r="CT59" i="2"/>
  <c r="BV59" i="2"/>
  <c r="AU59" i="2"/>
  <c r="CH59" i="2"/>
  <c r="Q60" i="2"/>
  <c r="C60" i="2"/>
  <c r="D60" i="2"/>
  <c r="B60" i="2"/>
  <c r="E60" i="2"/>
  <c r="W60" i="2"/>
  <c r="AR60" i="2"/>
  <c r="BA60" i="2"/>
  <c r="BS60" i="2"/>
  <c r="AC60" i="2"/>
  <c r="CQ60" i="2"/>
  <c r="BJ60" i="2"/>
  <c r="CE60" i="2"/>
  <c r="K60" i="2"/>
  <c r="AI60" i="2"/>
  <c r="BD59" i="2"/>
  <c r="BM59" i="2"/>
  <c r="BH33" i="1"/>
  <c r="BG33" i="1"/>
  <c r="BB33" i="1"/>
  <c r="BA33" i="1"/>
  <c r="AV33" i="1"/>
  <c r="AU33" i="1"/>
  <c r="AP33" i="1"/>
  <c r="AK33" i="1"/>
  <c r="AF33" i="1"/>
  <c r="A37" i="1"/>
  <c r="A35" i="1"/>
  <c r="BJ30" i="1"/>
  <c r="BJ31" i="1" s="1"/>
  <c r="BI30" i="1"/>
  <c r="BI31" i="1" s="1"/>
  <c r="BH30" i="1"/>
  <c r="BH31" i="1" s="1"/>
  <c r="BG30" i="1"/>
  <c r="BG31" i="1" s="1"/>
  <c r="BF30" i="1"/>
  <c r="BF31" i="1" s="1"/>
  <c r="BD30" i="1"/>
  <c r="BD31" i="1" s="1"/>
  <c r="BC30" i="1"/>
  <c r="BC31" i="1" s="1"/>
  <c r="BB30" i="1"/>
  <c r="BB31" i="1" s="1"/>
  <c r="BA30" i="1"/>
  <c r="BA31" i="1" s="1"/>
  <c r="AZ30" i="1"/>
  <c r="AZ31" i="1" s="1"/>
  <c r="AY30" i="1"/>
  <c r="AY31" i="1" s="1"/>
  <c r="AX30" i="1"/>
  <c r="AX31" i="1" s="1"/>
  <c r="AW30" i="1"/>
  <c r="AW31" i="1" s="1"/>
  <c r="AV30" i="1"/>
  <c r="AV31" i="1" s="1"/>
  <c r="AU30" i="1"/>
  <c r="AU31" i="1" s="1"/>
  <c r="AT30" i="1"/>
  <c r="AT31" i="1" s="1"/>
  <c r="AS30" i="1"/>
  <c r="AS31" i="1" s="1"/>
  <c r="AR30" i="1"/>
  <c r="AR31" i="1" s="1"/>
  <c r="AQ30" i="1"/>
  <c r="AQ31" i="1" s="1"/>
  <c r="AP30" i="1"/>
  <c r="AP31" i="1" s="1"/>
  <c r="AO30" i="1"/>
  <c r="AO31" i="1" s="1"/>
  <c r="AN30" i="1"/>
  <c r="AN31" i="1" s="1"/>
  <c r="AM30" i="1"/>
  <c r="AM31" i="1" s="1"/>
  <c r="AL30" i="1"/>
  <c r="AL31" i="1" s="1"/>
  <c r="AK30" i="1"/>
  <c r="AK31" i="1" s="1"/>
  <c r="AJ30" i="1"/>
  <c r="AJ31" i="1" s="1"/>
  <c r="AI30" i="1"/>
  <c r="AI31" i="1" s="1"/>
  <c r="AH30" i="1"/>
  <c r="AH31" i="1" s="1"/>
  <c r="AG30" i="1"/>
  <c r="AG31" i="1" s="1"/>
  <c r="AF30" i="1"/>
  <c r="AF31" i="1" s="1"/>
  <c r="AE30" i="1"/>
  <c r="AE31" i="1" s="1"/>
  <c r="AD30" i="1"/>
  <c r="AD31" i="1" s="1"/>
  <c r="AC30" i="1"/>
  <c r="AC31" i="1" s="1"/>
  <c r="AB30" i="1"/>
  <c r="AB31" i="1" s="1"/>
  <c r="AA30" i="1"/>
  <c r="AA31" i="1" s="1"/>
  <c r="Z30" i="1"/>
  <c r="Z31" i="1" s="1"/>
  <c r="Y30" i="1"/>
  <c r="Y31" i="1" s="1"/>
  <c r="X30" i="1"/>
  <c r="X31" i="1" s="1"/>
  <c r="W30" i="1"/>
  <c r="W31" i="1" s="1"/>
  <c r="V30" i="1"/>
  <c r="V31" i="1" s="1"/>
  <c r="U30" i="1"/>
  <c r="U31" i="1" s="1"/>
  <c r="T30" i="1"/>
  <c r="T31" i="1" s="1"/>
  <c r="S30" i="1"/>
  <c r="S31" i="1" s="1"/>
  <c r="R30" i="1"/>
  <c r="R31" i="1" s="1"/>
  <c r="Q30" i="1"/>
  <c r="Q31" i="1" s="1"/>
  <c r="P30" i="1"/>
  <c r="P31" i="1" s="1"/>
  <c r="O30" i="1"/>
  <c r="O31" i="1" s="1"/>
  <c r="N30" i="1"/>
  <c r="N31" i="1" s="1"/>
  <c r="M30" i="1"/>
  <c r="M31" i="1" s="1"/>
  <c r="L30" i="1"/>
  <c r="L31" i="1" s="1"/>
  <c r="K30" i="1"/>
  <c r="K31" i="1" s="1"/>
  <c r="J30" i="1"/>
  <c r="J31" i="1" s="1"/>
  <c r="I30" i="1"/>
  <c r="I31" i="1" s="1"/>
  <c r="H30" i="1"/>
  <c r="H31" i="1" s="1"/>
  <c r="G30" i="1"/>
  <c r="G31" i="1" s="1"/>
  <c r="F30" i="1"/>
  <c r="F31" i="1" s="1"/>
  <c r="E30" i="1"/>
  <c r="E31" i="1" s="1"/>
  <c r="D30" i="1"/>
  <c r="D31" i="1" s="1"/>
  <c r="C30" i="1"/>
  <c r="C31" i="1" s="1"/>
  <c r="B30" i="1"/>
  <c r="B31" i="1" s="1"/>
  <c r="BE34" i="1"/>
  <c r="BE30" i="1"/>
  <c r="BE31" i="1" s="1"/>
  <c r="AY34" i="1"/>
  <c r="AS34" i="1"/>
  <c r="AN34" i="1"/>
  <c r="AI34" i="1"/>
  <c r="AD34" i="1"/>
  <c r="Y34" i="1"/>
  <c r="U34" i="1"/>
  <c r="Q34" i="1"/>
  <c r="M34" i="1"/>
  <c r="I34" i="1"/>
  <c r="E34" i="1"/>
  <c r="B34" i="1"/>
  <c r="CA36" i="2" l="1"/>
  <c r="CA39" i="2"/>
  <c r="CA41" i="2" s="1"/>
  <c r="CN36" i="2"/>
  <c r="CO36" i="2" s="1"/>
  <c r="CP36" i="2" s="1"/>
  <c r="CP39" i="2" s="1"/>
  <c r="CP41" i="2" s="1"/>
  <c r="CN39" i="2"/>
  <c r="CN41" i="2" s="1"/>
  <c r="CZ36" i="2"/>
  <c r="CZ35" i="2"/>
  <c r="DA35" i="2" s="1"/>
  <c r="DA39" i="2" s="1"/>
  <c r="DA41" i="2" s="1"/>
  <c r="BB33" i="5"/>
  <c r="A55" i="5"/>
  <c r="L54" i="5"/>
  <c r="D54" i="5"/>
  <c r="M54" i="5"/>
  <c r="B54" i="5"/>
  <c r="Q54" i="5"/>
  <c r="P54" i="5"/>
  <c r="E54" i="5"/>
  <c r="C54" i="5"/>
  <c r="AJ54" i="5"/>
  <c r="AM54" i="5" s="1"/>
  <c r="AD54" i="5"/>
  <c r="AG54" i="5" s="1"/>
  <c r="AK54" i="5"/>
  <c r="BD54" i="5"/>
  <c r="BG54" i="5" s="1"/>
  <c r="X54" i="5"/>
  <c r="T54" i="5"/>
  <c r="H54" i="5"/>
  <c r="I54" i="5"/>
  <c r="AP54" i="5"/>
  <c r="AS54" i="5" s="1"/>
  <c r="AQ54" i="5"/>
  <c r="AV54" i="5"/>
  <c r="AY54" i="5" s="1"/>
  <c r="BL54" i="5"/>
  <c r="BO54" i="5" s="1"/>
  <c r="AW54" i="5"/>
  <c r="AZ54" i="5" s="1"/>
  <c r="AE54" i="5"/>
  <c r="U54" i="5"/>
  <c r="Y54" i="5"/>
  <c r="BM54" i="5"/>
  <c r="BP54" i="5" s="1"/>
  <c r="BE54" i="5"/>
  <c r="BH54" i="5" s="1"/>
  <c r="Q45" i="4"/>
  <c r="T45" i="4"/>
  <c r="Z45" i="4"/>
  <c r="AD45" i="4"/>
  <c r="AH45" i="4"/>
  <c r="W45" i="4"/>
  <c r="I46" i="4"/>
  <c r="B46" i="4"/>
  <c r="G46" i="4"/>
  <c r="A47" i="4"/>
  <c r="C46" i="4"/>
  <c r="K46" i="4"/>
  <c r="AC46" i="4"/>
  <c r="AG46" i="4"/>
  <c r="Y46" i="4"/>
  <c r="V46" i="4"/>
  <c r="M46" i="4"/>
  <c r="S46" i="4"/>
  <c r="P46" i="4"/>
  <c r="E46" i="4"/>
  <c r="AP47" i="3"/>
  <c r="AO47" i="3"/>
  <c r="Y47" i="3"/>
  <c r="X47" i="3"/>
  <c r="AG47" i="3"/>
  <c r="AF47" i="3"/>
  <c r="AC47" i="3"/>
  <c r="AB47" i="3"/>
  <c r="AJ47" i="3"/>
  <c r="AK47" i="3"/>
  <c r="A49" i="3"/>
  <c r="J48" i="3"/>
  <c r="D48" i="3"/>
  <c r="B48" i="3"/>
  <c r="N48" i="3"/>
  <c r="K48" i="3"/>
  <c r="E48" i="3"/>
  <c r="M48" i="3"/>
  <c r="C48" i="3"/>
  <c r="AE48" i="3"/>
  <c r="H48" i="3"/>
  <c r="AS48" i="3"/>
  <c r="Q48" i="3"/>
  <c r="S48" i="3"/>
  <c r="G48" i="3"/>
  <c r="P48" i="3"/>
  <c r="AN48" i="3"/>
  <c r="AI48" i="3"/>
  <c r="AA48" i="3"/>
  <c r="T48" i="3"/>
  <c r="W48" i="3"/>
  <c r="AU47" i="3"/>
  <c r="AT47" i="3"/>
  <c r="CA34" i="2"/>
  <c r="CA35" i="2"/>
  <c r="CR62" i="2"/>
  <c r="CU62" i="2" s="1"/>
  <c r="CG62" i="2"/>
  <c r="CJ62" i="2" s="1"/>
  <c r="BU62" i="2"/>
  <c r="BX62" i="2" s="1"/>
  <c r="CS62" i="2"/>
  <c r="CV62" i="2" s="1"/>
  <c r="BK62" i="2"/>
  <c r="BN62" i="2" s="1"/>
  <c r="BB62" i="2"/>
  <c r="BE62" i="2" s="1"/>
  <c r="CF62" i="2"/>
  <c r="CI62" i="2" s="1"/>
  <c r="BT62" i="2"/>
  <c r="BW62" i="2" s="1"/>
  <c r="A63" i="2"/>
  <c r="BC62" i="2"/>
  <c r="BF62" i="2" s="1"/>
  <c r="BL62" i="2"/>
  <c r="BO62" i="2" s="1"/>
  <c r="AD61" i="2"/>
  <c r="AK61" i="2"/>
  <c r="Y61" i="2"/>
  <c r="G61" i="2"/>
  <c r="X61" i="2"/>
  <c r="AJ61" i="2"/>
  <c r="M61" i="2"/>
  <c r="L61" i="2"/>
  <c r="S61" i="2"/>
  <c r="R61" i="2"/>
  <c r="AE61" i="2"/>
  <c r="F61" i="2"/>
  <c r="AT61" i="2"/>
  <c r="AW61" i="2" s="1"/>
  <c r="AS61" i="2"/>
  <c r="AV61" i="2" s="1"/>
  <c r="CH60" i="2"/>
  <c r="BM60" i="2"/>
  <c r="BD60" i="2"/>
  <c r="E61" i="2"/>
  <c r="C61" i="2"/>
  <c r="D61" i="2"/>
  <c r="W61" i="2"/>
  <c r="B61" i="2"/>
  <c r="Q61" i="2"/>
  <c r="AC61" i="2"/>
  <c r="AI61" i="2"/>
  <c r="AR61" i="2"/>
  <c r="BJ61" i="2"/>
  <c r="BA61" i="2"/>
  <c r="CQ61" i="2"/>
  <c r="BS61" i="2"/>
  <c r="CE61" i="2"/>
  <c r="K61" i="2"/>
  <c r="BV60" i="2"/>
  <c r="AU60" i="2"/>
  <c r="CT60" i="2"/>
  <c r="BE37" i="1"/>
  <c r="C37" i="1"/>
  <c r="W37" i="1"/>
  <c r="AY37" i="1"/>
  <c r="BA37" i="1" s="1"/>
  <c r="E37" i="1"/>
  <c r="D37" i="1"/>
  <c r="A38" i="1"/>
  <c r="R38" i="1" s="1"/>
  <c r="AS37" i="1"/>
  <c r="AV37" i="1" s="1"/>
  <c r="AD37" i="1"/>
  <c r="AI38" i="1"/>
  <c r="O37" i="1"/>
  <c r="U37" i="1"/>
  <c r="B37" i="1"/>
  <c r="B38" i="1"/>
  <c r="G37" i="1"/>
  <c r="F37" i="1"/>
  <c r="J37" i="1"/>
  <c r="I37" i="1"/>
  <c r="S37" i="1"/>
  <c r="S38" i="1"/>
  <c r="R37" i="1"/>
  <c r="V37" i="1"/>
  <c r="U38" i="1"/>
  <c r="K37" i="1"/>
  <c r="M37" i="1"/>
  <c r="Z38" i="1"/>
  <c r="AN37" i="1"/>
  <c r="AA37" i="1"/>
  <c r="Y37" i="1"/>
  <c r="Z37" i="1"/>
  <c r="AY38" i="1"/>
  <c r="I38" i="1"/>
  <c r="N37" i="1"/>
  <c r="Q37" i="1"/>
  <c r="AA38" i="1"/>
  <c r="AI37" i="1"/>
  <c r="V38" i="1" l="1"/>
  <c r="E38" i="1"/>
  <c r="AD38" i="1"/>
  <c r="BE38" i="1"/>
  <c r="BG38" i="1" s="1"/>
  <c r="O38" i="1"/>
  <c r="D38" i="1"/>
  <c r="J38" i="1"/>
  <c r="C38" i="1"/>
  <c r="DA36" i="2"/>
  <c r="F38" i="1"/>
  <c r="AN38" i="1"/>
  <c r="AQ38" i="1" s="1"/>
  <c r="W38" i="1"/>
  <c r="K38" i="1"/>
  <c r="AS38" i="1"/>
  <c r="AU38" i="1" s="1"/>
  <c r="DB36" i="2"/>
  <c r="DB39" i="2" s="1"/>
  <c r="DB41" i="2" s="1"/>
  <c r="Y38" i="1"/>
  <c r="G38" i="1"/>
  <c r="M38" i="1"/>
  <c r="BK33" i="5"/>
  <c r="M55" i="5"/>
  <c r="E55" i="5"/>
  <c r="P55" i="5"/>
  <c r="L55" i="5"/>
  <c r="C55" i="5"/>
  <c r="B55" i="5"/>
  <c r="Q55" i="5"/>
  <c r="D55" i="5"/>
  <c r="A56" i="5"/>
  <c r="AE55" i="5"/>
  <c r="AJ55" i="5"/>
  <c r="AM55" i="5" s="1"/>
  <c r="AK55" i="5"/>
  <c r="T55" i="5"/>
  <c r="X55" i="5"/>
  <c r="BD55" i="5"/>
  <c r="BG55" i="5" s="1"/>
  <c r="BL55" i="5"/>
  <c r="BO55" i="5" s="1"/>
  <c r="AD55" i="5"/>
  <c r="AG55" i="5" s="1"/>
  <c r="AQ55" i="5"/>
  <c r="I55" i="5"/>
  <c r="H55" i="5"/>
  <c r="U55" i="5"/>
  <c r="AW55" i="5"/>
  <c r="AZ55" i="5" s="1"/>
  <c r="AP55" i="5"/>
  <c r="AS55" i="5" s="1"/>
  <c r="AV55" i="5"/>
  <c r="AY55" i="5" s="1"/>
  <c r="Y55" i="5"/>
  <c r="BE55" i="5"/>
  <c r="BH55" i="5" s="1"/>
  <c r="BM55" i="5"/>
  <c r="BP55" i="5" s="1"/>
  <c r="Q46" i="4"/>
  <c r="AH46" i="4"/>
  <c r="AD46" i="4"/>
  <c r="W46" i="4"/>
  <c r="T46" i="4"/>
  <c r="Z46" i="4"/>
  <c r="A48" i="4"/>
  <c r="I47" i="4"/>
  <c r="C47" i="4"/>
  <c r="G47" i="4"/>
  <c r="B47" i="4"/>
  <c r="M47" i="4"/>
  <c r="V47" i="4"/>
  <c r="AC47" i="4"/>
  <c r="K47" i="4"/>
  <c r="E47" i="4"/>
  <c r="P47" i="4"/>
  <c r="Y47" i="4"/>
  <c r="AG47" i="4"/>
  <c r="S47" i="4"/>
  <c r="X48" i="3"/>
  <c r="Y48" i="3"/>
  <c r="AG48" i="3"/>
  <c r="AF48" i="3"/>
  <c r="M49" i="3"/>
  <c r="E49" i="3"/>
  <c r="K49" i="3"/>
  <c r="D49" i="3"/>
  <c r="N49" i="3"/>
  <c r="B49" i="3"/>
  <c r="A50" i="3"/>
  <c r="J49" i="3"/>
  <c r="C49" i="3"/>
  <c r="AE49" i="3"/>
  <c r="AS49" i="3"/>
  <c r="W49" i="3"/>
  <c r="T49" i="3"/>
  <c r="AI49" i="3"/>
  <c r="S49" i="3"/>
  <c r="AN49" i="3"/>
  <c r="H49" i="3"/>
  <c r="P49" i="3"/>
  <c r="Q49" i="3"/>
  <c r="G49" i="3"/>
  <c r="AA49" i="3"/>
  <c r="AP48" i="3"/>
  <c r="AO48" i="3"/>
  <c r="AU48" i="3"/>
  <c r="AT48" i="3"/>
  <c r="AC48" i="3"/>
  <c r="AB48" i="3"/>
  <c r="AK48" i="3"/>
  <c r="AJ48" i="3"/>
  <c r="N38" i="1"/>
  <c r="CB34" i="2"/>
  <c r="CR63" i="2"/>
  <c r="CU63" i="2" s="1"/>
  <c r="A64" i="2"/>
  <c r="CS63" i="2"/>
  <c r="CV63" i="2" s="1"/>
  <c r="BU63" i="2"/>
  <c r="BX63" i="2" s="1"/>
  <c r="CG63" i="2"/>
  <c r="CJ63" i="2" s="1"/>
  <c r="BT63" i="2"/>
  <c r="BW63" i="2" s="1"/>
  <c r="BB63" i="2"/>
  <c r="BE63" i="2" s="1"/>
  <c r="CF63" i="2"/>
  <c r="CI63" i="2" s="1"/>
  <c r="BC63" i="2"/>
  <c r="BF63" i="2" s="1"/>
  <c r="BL63" i="2"/>
  <c r="BO63" i="2" s="1"/>
  <c r="BK63" i="2"/>
  <c r="BN63" i="2" s="1"/>
  <c r="AK62" i="2"/>
  <c r="AE62" i="2"/>
  <c r="S62" i="2"/>
  <c r="M62" i="2"/>
  <c r="R62" i="2"/>
  <c r="AJ62" i="2"/>
  <c r="X62" i="2"/>
  <c r="AD62" i="2"/>
  <c r="Y62" i="2"/>
  <c r="L62" i="2"/>
  <c r="G62" i="2"/>
  <c r="F62" i="2"/>
  <c r="AT62" i="2"/>
  <c r="AW62" i="2" s="1"/>
  <c r="AS62" i="2"/>
  <c r="AV62" i="2" s="1"/>
  <c r="BM61" i="2"/>
  <c r="C62" i="2"/>
  <c r="W62" i="2"/>
  <c r="D62" i="2"/>
  <c r="Q62" i="2"/>
  <c r="E62" i="2"/>
  <c r="B62" i="2"/>
  <c r="AC62" i="2"/>
  <c r="BS62" i="2"/>
  <c r="BJ62" i="2"/>
  <c r="AI62" i="2"/>
  <c r="AR62" i="2"/>
  <c r="BA62" i="2"/>
  <c r="K62" i="2"/>
  <c r="CQ62" i="2"/>
  <c r="CE62" i="2"/>
  <c r="CT61" i="2"/>
  <c r="BD61" i="2"/>
  <c r="CH61" i="2"/>
  <c r="BV61" i="2"/>
  <c r="AU61" i="2"/>
  <c r="AZ37" i="1"/>
  <c r="BB37" i="1"/>
  <c r="BH38" i="1"/>
  <c r="BF37" i="1"/>
  <c r="BH37" i="1"/>
  <c r="BG37" i="1"/>
  <c r="BF39" i="1"/>
  <c r="AU37" i="1"/>
  <c r="AT37" i="1"/>
  <c r="A39" i="1"/>
  <c r="BE39" i="1" s="1"/>
  <c r="BH39" i="1" s="1"/>
  <c r="Q38" i="1"/>
  <c r="AL37" i="1"/>
  <c r="AK37" i="1"/>
  <c r="AJ37" i="1"/>
  <c r="AJ38" i="1"/>
  <c r="AK38" i="1"/>
  <c r="AL38" i="1"/>
  <c r="AE38" i="1"/>
  <c r="AG38" i="1"/>
  <c r="AF38" i="1"/>
  <c r="BB38" i="1"/>
  <c r="BA38" i="1"/>
  <c r="AZ38" i="1"/>
  <c r="AO38" i="1"/>
  <c r="AP37" i="1"/>
  <c r="AO37" i="1"/>
  <c r="AQ37" i="1"/>
  <c r="AT38" i="1"/>
  <c r="AG37" i="1"/>
  <c r="AF37" i="1"/>
  <c r="AE37" i="1"/>
  <c r="AV38" i="1" l="1"/>
  <c r="BF38" i="1"/>
  <c r="AP38" i="1"/>
  <c r="CB36" i="2"/>
  <c r="CB39" i="2"/>
  <c r="CB41" i="2" s="1"/>
  <c r="BC33" i="5"/>
  <c r="Q56" i="5"/>
  <c r="C56" i="5"/>
  <c r="P56" i="5"/>
  <c r="B56" i="5"/>
  <c r="M56" i="5"/>
  <c r="E56" i="5"/>
  <c r="A57" i="5"/>
  <c r="D56" i="5"/>
  <c r="L56" i="5"/>
  <c r="X56" i="5"/>
  <c r="AE56" i="5"/>
  <c r="AK56" i="5"/>
  <c r="AD56" i="5"/>
  <c r="AG56" i="5" s="1"/>
  <c r="AV56" i="5"/>
  <c r="AY56" i="5" s="1"/>
  <c r="AW56" i="5"/>
  <c r="AZ56" i="5" s="1"/>
  <c r="BL56" i="5"/>
  <c r="BO56" i="5" s="1"/>
  <c r="H56" i="5"/>
  <c r="U56" i="5"/>
  <c r="AJ56" i="5"/>
  <c r="AM56" i="5" s="1"/>
  <c r="I56" i="5"/>
  <c r="AQ56" i="5"/>
  <c r="AP56" i="5"/>
  <c r="AS56" i="5" s="1"/>
  <c r="BD56" i="5"/>
  <c r="BG56" i="5" s="1"/>
  <c r="T56" i="5"/>
  <c r="Y56" i="5"/>
  <c r="BM56" i="5"/>
  <c r="BP56" i="5" s="1"/>
  <c r="BE56" i="5"/>
  <c r="BH56" i="5" s="1"/>
  <c r="AH47" i="4"/>
  <c r="Z47" i="4"/>
  <c r="W47" i="4"/>
  <c r="Q47" i="4"/>
  <c r="AD47" i="4"/>
  <c r="T47" i="4"/>
  <c r="B48" i="4"/>
  <c r="G48" i="4"/>
  <c r="C48" i="4"/>
  <c r="A49" i="4"/>
  <c r="I48" i="4"/>
  <c r="P48" i="4"/>
  <c r="Y48" i="4"/>
  <c r="V48" i="4"/>
  <c r="S48" i="4"/>
  <c r="AG48" i="4"/>
  <c r="M48" i="4"/>
  <c r="K48" i="4"/>
  <c r="E48" i="4"/>
  <c r="AC48" i="4"/>
  <c r="AP49" i="3"/>
  <c r="AO49" i="3"/>
  <c r="AB49" i="3"/>
  <c r="AC49" i="3"/>
  <c r="AK49" i="3"/>
  <c r="AJ49" i="3"/>
  <c r="AG49" i="3"/>
  <c r="AF49" i="3"/>
  <c r="Y49" i="3"/>
  <c r="X49" i="3"/>
  <c r="AU49" i="3"/>
  <c r="AT49" i="3"/>
  <c r="N50" i="3"/>
  <c r="C50" i="3"/>
  <c r="A51" i="3"/>
  <c r="J50" i="3"/>
  <c r="B50" i="3"/>
  <c r="E50" i="3"/>
  <c r="D50" i="3"/>
  <c r="K50" i="3"/>
  <c r="M50" i="3"/>
  <c r="AE50" i="3"/>
  <c r="S50" i="3"/>
  <c r="AN50" i="3"/>
  <c r="Q50" i="3"/>
  <c r="AA50" i="3"/>
  <c r="T50" i="3"/>
  <c r="G50" i="3"/>
  <c r="AS50" i="3"/>
  <c r="W50" i="3"/>
  <c r="AI50" i="3"/>
  <c r="P50" i="3"/>
  <c r="H50" i="3"/>
  <c r="BG39" i="1"/>
  <c r="CB35" i="2"/>
  <c r="CC35" i="2" s="1"/>
  <c r="CC39" i="2" s="1"/>
  <c r="CC41" i="2" s="1"/>
  <c r="A65" i="2"/>
  <c r="CS64" i="2"/>
  <c r="CV64" i="2" s="1"/>
  <c r="CR64" i="2"/>
  <c r="CU64" i="2" s="1"/>
  <c r="CF64" i="2"/>
  <c r="CI64" i="2" s="1"/>
  <c r="BU64" i="2"/>
  <c r="BX64" i="2" s="1"/>
  <c r="BL64" i="2"/>
  <c r="BO64" i="2" s="1"/>
  <c r="CG64" i="2"/>
  <c r="CJ64" i="2" s="1"/>
  <c r="BK64" i="2"/>
  <c r="BN64" i="2" s="1"/>
  <c r="BT64" i="2"/>
  <c r="BW64" i="2" s="1"/>
  <c r="BC64" i="2"/>
  <c r="BF64" i="2" s="1"/>
  <c r="BB64" i="2"/>
  <c r="BE64" i="2" s="1"/>
  <c r="AJ63" i="2"/>
  <c r="AK63" i="2"/>
  <c r="AE63" i="2"/>
  <c r="Y63" i="2"/>
  <c r="S63" i="2"/>
  <c r="X63" i="2"/>
  <c r="R63" i="2"/>
  <c r="M63" i="2"/>
  <c r="AD63" i="2"/>
  <c r="G63" i="2"/>
  <c r="F63" i="2"/>
  <c r="L63" i="2"/>
  <c r="AS63" i="2"/>
  <c r="AV63" i="2" s="1"/>
  <c r="AT63" i="2"/>
  <c r="AW63" i="2" s="1"/>
  <c r="CT62" i="2"/>
  <c r="BM62" i="2"/>
  <c r="C63" i="2"/>
  <c r="E63" i="2"/>
  <c r="B63" i="2"/>
  <c r="W63" i="2"/>
  <c r="Q63" i="2"/>
  <c r="AR63" i="2"/>
  <c r="D63" i="2"/>
  <c r="BS63" i="2"/>
  <c r="CE63" i="2"/>
  <c r="CQ63" i="2"/>
  <c r="AI63" i="2"/>
  <c r="BA63" i="2"/>
  <c r="K63" i="2"/>
  <c r="BJ63" i="2"/>
  <c r="AC63" i="2"/>
  <c r="CH62" i="2"/>
  <c r="BV62" i="2"/>
  <c r="BD62" i="2"/>
  <c r="AU62" i="2"/>
  <c r="A40" i="1"/>
  <c r="BE40" i="1" s="1"/>
  <c r="F39" i="1"/>
  <c r="J39" i="1"/>
  <c r="G39" i="1"/>
  <c r="AD39" i="1"/>
  <c r="N39" i="1"/>
  <c r="M39" i="1"/>
  <c r="AS39" i="1"/>
  <c r="Q39" i="1"/>
  <c r="V39" i="1"/>
  <c r="W39" i="1"/>
  <c r="AA39" i="1"/>
  <c r="Z39" i="1"/>
  <c r="AI39" i="1"/>
  <c r="AY39" i="1"/>
  <c r="I39" i="1"/>
  <c r="D39" i="1"/>
  <c r="R39" i="1"/>
  <c r="C39" i="1"/>
  <c r="E39" i="1"/>
  <c r="U39" i="1"/>
  <c r="B39" i="1"/>
  <c r="S39" i="1"/>
  <c r="AN39" i="1"/>
  <c r="Y39" i="1"/>
  <c r="O39" i="1"/>
  <c r="K39" i="1"/>
  <c r="A58" i="5" l="1"/>
  <c r="L57" i="5"/>
  <c r="D57" i="5"/>
  <c r="P57" i="5"/>
  <c r="E57" i="5"/>
  <c r="C57" i="5"/>
  <c r="M57" i="5"/>
  <c r="B57" i="5"/>
  <c r="Q57" i="5"/>
  <c r="AD57" i="5"/>
  <c r="AG57" i="5" s="1"/>
  <c r="AV57" i="5"/>
  <c r="AY57" i="5" s="1"/>
  <c r="X57" i="5"/>
  <c r="AE57" i="5"/>
  <c r="AK57" i="5"/>
  <c r="AJ57" i="5"/>
  <c r="AM57" i="5" s="1"/>
  <c r="BL57" i="5"/>
  <c r="BO57" i="5" s="1"/>
  <c r="BD57" i="5"/>
  <c r="BG57" i="5" s="1"/>
  <c r="U57" i="5"/>
  <c r="T57" i="5"/>
  <c r="AP57" i="5"/>
  <c r="AS57" i="5" s="1"/>
  <c r="I57" i="5"/>
  <c r="H57" i="5"/>
  <c r="AQ57" i="5"/>
  <c r="BE57" i="5"/>
  <c r="BH57" i="5" s="1"/>
  <c r="AW57" i="5"/>
  <c r="AZ57" i="5" s="1"/>
  <c r="BM57" i="5"/>
  <c r="BP57" i="5" s="1"/>
  <c r="Y57" i="5"/>
  <c r="W48" i="4"/>
  <c r="Q48" i="4"/>
  <c r="AD48" i="4"/>
  <c r="AH48" i="4"/>
  <c r="A50" i="4"/>
  <c r="I49" i="4"/>
  <c r="C49" i="4"/>
  <c r="B49" i="4"/>
  <c r="G49" i="4"/>
  <c r="AC49" i="4"/>
  <c r="E49" i="4"/>
  <c r="M49" i="4"/>
  <c r="P49" i="4"/>
  <c r="S49" i="4"/>
  <c r="V49" i="4"/>
  <c r="Y49" i="4"/>
  <c r="K49" i="4"/>
  <c r="AG49" i="4"/>
  <c r="Z48" i="4"/>
  <c r="T48" i="4"/>
  <c r="AK50" i="3"/>
  <c r="AJ50" i="3"/>
  <c r="Y50" i="3"/>
  <c r="X50" i="3"/>
  <c r="AO50" i="3"/>
  <c r="AP50" i="3"/>
  <c r="A52" i="3"/>
  <c r="J51" i="3"/>
  <c r="D51" i="3"/>
  <c r="N51" i="3"/>
  <c r="M51" i="3"/>
  <c r="C51" i="3"/>
  <c r="K51" i="3"/>
  <c r="B51" i="3"/>
  <c r="E51" i="3"/>
  <c r="S51" i="3"/>
  <c r="G51" i="3"/>
  <c r="H51" i="3"/>
  <c r="W51" i="3"/>
  <c r="AA51" i="3"/>
  <c r="AI51" i="3"/>
  <c r="AS51" i="3"/>
  <c r="AE51" i="3"/>
  <c r="T51" i="3"/>
  <c r="AN51" i="3"/>
  <c r="Q51" i="3"/>
  <c r="P51" i="3"/>
  <c r="AU50" i="3"/>
  <c r="AT50" i="3"/>
  <c r="AG50" i="3"/>
  <c r="AF50" i="3"/>
  <c r="AB50" i="3"/>
  <c r="AC50" i="3"/>
  <c r="BH40" i="1"/>
  <c r="BG40" i="1"/>
  <c r="BF40" i="1"/>
  <c r="CC36" i="2"/>
  <c r="CD36" i="2" s="1"/>
  <c r="CD39" i="2" s="1"/>
  <c r="CD41" i="2" s="1"/>
  <c r="A66" i="2"/>
  <c r="CR65" i="2"/>
  <c r="CU65" i="2" s="1"/>
  <c r="CS65" i="2"/>
  <c r="CV65" i="2" s="1"/>
  <c r="CF65" i="2"/>
  <c r="CI65" i="2" s="1"/>
  <c r="CG65" i="2"/>
  <c r="CJ65" i="2" s="1"/>
  <c r="BU65" i="2"/>
  <c r="BX65" i="2" s="1"/>
  <c r="BT65" i="2"/>
  <c r="BW65" i="2" s="1"/>
  <c r="BK65" i="2"/>
  <c r="BN65" i="2" s="1"/>
  <c r="BC65" i="2"/>
  <c r="BF65" i="2" s="1"/>
  <c r="BL65" i="2"/>
  <c r="BO65" i="2" s="1"/>
  <c r="BB65" i="2"/>
  <c r="BE65" i="2" s="1"/>
  <c r="AJ64" i="2"/>
  <c r="AE64" i="2"/>
  <c r="L64" i="2"/>
  <c r="G64" i="2"/>
  <c r="AK64" i="2"/>
  <c r="Y64" i="2"/>
  <c r="R64" i="2"/>
  <c r="X64" i="2"/>
  <c r="M64" i="2"/>
  <c r="F64" i="2"/>
  <c r="AD64" i="2"/>
  <c r="S64" i="2"/>
  <c r="AT64" i="2"/>
  <c r="AW64" i="2" s="1"/>
  <c r="AS64" i="2"/>
  <c r="AV64" i="2" s="1"/>
  <c r="BM63" i="2"/>
  <c r="CH63" i="2"/>
  <c r="BV63" i="2"/>
  <c r="BD63" i="2"/>
  <c r="CT63" i="2"/>
  <c r="AU63" i="2"/>
  <c r="Q64" i="2"/>
  <c r="C64" i="2"/>
  <c r="B64" i="2"/>
  <c r="E64" i="2"/>
  <c r="D64" i="2"/>
  <c r="W64" i="2"/>
  <c r="BS64" i="2"/>
  <c r="CE64" i="2"/>
  <c r="BA64" i="2"/>
  <c r="CQ64" i="2"/>
  <c r="AI64" i="2"/>
  <c r="AC64" i="2"/>
  <c r="K64" i="2"/>
  <c r="BJ64" i="2"/>
  <c r="AR64" i="2"/>
  <c r="AZ39" i="1"/>
  <c r="BB39" i="1"/>
  <c r="BA39" i="1"/>
  <c r="AO39" i="1"/>
  <c r="AP39" i="1"/>
  <c r="AQ39" i="1"/>
  <c r="AU39" i="1"/>
  <c r="AV39" i="1"/>
  <c r="AT39" i="1"/>
  <c r="AL39" i="1"/>
  <c r="AK39" i="1"/>
  <c r="AJ39" i="1"/>
  <c r="AF39" i="1"/>
  <c r="AE39" i="1"/>
  <c r="AG39" i="1"/>
  <c r="A41" i="1"/>
  <c r="BE41" i="1" s="1"/>
  <c r="S40" i="1"/>
  <c r="B40" i="1"/>
  <c r="C40" i="1"/>
  <c r="Z40" i="1"/>
  <c r="Q40" i="1"/>
  <c r="W40" i="1"/>
  <c r="AI40" i="1"/>
  <c r="M40" i="1"/>
  <c r="AD40" i="1"/>
  <c r="AA40" i="1"/>
  <c r="D40" i="1"/>
  <c r="F40" i="1"/>
  <c r="E40" i="1"/>
  <c r="J40" i="1"/>
  <c r="AS40" i="1"/>
  <c r="I40" i="1"/>
  <c r="AY40" i="1"/>
  <c r="V40" i="1"/>
  <c r="AN40" i="1"/>
  <c r="K40" i="1"/>
  <c r="O40" i="1"/>
  <c r="N40" i="1"/>
  <c r="R40" i="1"/>
  <c r="G40" i="1"/>
  <c r="U40" i="1"/>
  <c r="Y40" i="1"/>
  <c r="M58" i="5" l="1"/>
  <c r="E58" i="5"/>
  <c r="P58" i="5"/>
  <c r="A59" i="5"/>
  <c r="B58" i="5"/>
  <c r="Q58" i="5"/>
  <c r="D58" i="5"/>
  <c r="L58" i="5"/>
  <c r="C58" i="5"/>
  <c r="AK58" i="5"/>
  <c r="BD58" i="5"/>
  <c r="BG58" i="5" s="1"/>
  <c r="AD58" i="5"/>
  <c r="AG58" i="5" s="1"/>
  <c r="AW58" i="5"/>
  <c r="AZ58" i="5" s="1"/>
  <c r="BL58" i="5"/>
  <c r="BO58" i="5" s="1"/>
  <c r="AE58" i="5"/>
  <c r="X58" i="5"/>
  <c r="AV58" i="5"/>
  <c r="AY58" i="5" s="1"/>
  <c r="AQ58" i="5"/>
  <c r="I58" i="5"/>
  <c r="H58" i="5"/>
  <c r="T58" i="5"/>
  <c r="U58" i="5"/>
  <c r="AP58" i="5"/>
  <c r="AS58" i="5" s="1"/>
  <c r="AJ58" i="5"/>
  <c r="AM58" i="5" s="1"/>
  <c r="BM58" i="5"/>
  <c r="BP58" i="5" s="1"/>
  <c r="BE58" i="5"/>
  <c r="BH58" i="5" s="1"/>
  <c r="Y58" i="5"/>
  <c r="G50" i="4"/>
  <c r="C50" i="4"/>
  <c r="A51" i="4"/>
  <c r="I50" i="4"/>
  <c r="B50" i="4"/>
  <c r="S50" i="4"/>
  <c r="AG50" i="4"/>
  <c r="M50" i="4"/>
  <c r="E50" i="4"/>
  <c r="K50" i="4"/>
  <c r="AC50" i="4"/>
  <c r="P50" i="4"/>
  <c r="Y50" i="4"/>
  <c r="V50" i="4"/>
  <c r="T49" i="4"/>
  <c r="AD49" i="4"/>
  <c r="AH49" i="4"/>
  <c r="Q49" i="4"/>
  <c r="Z49" i="4"/>
  <c r="W49" i="4"/>
  <c r="AK51" i="3"/>
  <c r="AJ51" i="3"/>
  <c r="AP51" i="3"/>
  <c r="AO51" i="3"/>
  <c r="AC51" i="3"/>
  <c r="AB51" i="3"/>
  <c r="Y51" i="3"/>
  <c r="X51" i="3"/>
  <c r="AF51" i="3"/>
  <c r="AG51" i="3"/>
  <c r="K52" i="3"/>
  <c r="D52" i="3"/>
  <c r="A53" i="3"/>
  <c r="J52" i="3"/>
  <c r="E52" i="3"/>
  <c r="N52" i="3"/>
  <c r="C52" i="3"/>
  <c r="B52" i="3"/>
  <c r="M52" i="3"/>
  <c r="S52" i="3"/>
  <c r="AS52" i="3"/>
  <c r="AN52" i="3"/>
  <c r="G52" i="3"/>
  <c r="T52" i="3"/>
  <c r="P52" i="3"/>
  <c r="AE52" i="3"/>
  <c r="Q52" i="3"/>
  <c r="H52" i="3"/>
  <c r="AI52" i="3"/>
  <c r="W52" i="3"/>
  <c r="AA52" i="3"/>
  <c r="AT51" i="3"/>
  <c r="AU51" i="3"/>
  <c r="BH41" i="1"/>
  <c r="BF41" i="1"/>
  <c r="BG41" i="1"/>
  <c r="A67" i="2"/>
  <c r="CG66" i="2"/>
  <c r="CJ66" i="2" s="1"/>
  <c r="BU66" i="2"/>
  <c r="BX66" i="2" s="1"/>
  <c r="CR66" i="2"/>
  <c r="CU66" i="2" s="1"/>
  <c r="CF66" i="2"/>
  <c r="CI66" i="2" s="1"/>
  <c r="BT66" i="2"/>
  <c r="BW66" i="2" s="1"/>
  <c r="BK66" i="2"/>
  <c r="BN66" i="2" s="1"/>
  <c r="BB66" i="2"/>
  <c r="BE66" i="2" s="1"/>
  <c r="BL66" i="2"/>
  <c r="BO66" i="2" s="1"/>
  <c r="CS66" i="2"/>
  <c r="CV66" i="2" s="1"/>
  <c r="BC66" i="2"/>
  <c r="BF66" i="2" s="1"/>
  <c r="AD65" i="2"/>
  <c r="Y65" i="2"/>
  <c r="G65" i="2"/>
  <c r="AE65" i="2"/>
  <c r="AK65" i="2"/>
  <c r="L65" i="2"/>
  <c r="F65" i="2"/>
  <c r="AJ65" i="2"/>
  <c r="R65" i="2"/>
  <c r="M65" i="2"/>
  <c r="X65" i="2"/>
  <c r="S65" i="2"/>
  <c r="AS65" i="2"/>
  <c r="AV65" i="2" s="1"/>
  <c r="AT65" i="2"/>
  <c r="AW65" i="2" s="1"/>
  <c r="BD64" i="2"/>
  <c r="BV64" i="2"/>
  <c r="E65" i="2"/>
  <c r="Q65" i="2"/>
  <c r="B65" i="2"/>
  <c r="D65" i="2"/>
  <c r="C65" i="2"/>
  <c r="W65" i="2"/>
  <c r="AC65" i="2"/>
  <c r="AR65" i="2"/>
  <c r="CE65" i="2"/>
  <c r="AI65" i="2"/>
  <c r="CQ65" i="2"/>
  <c r="BA65" i="2"/>
  <c r="BJ65" i="2"/>
  <c r="BS65" i="2"/>
  <c r="K65" i="2"/>
  <c r="AU64" i="2"/>
  <c r="CT64" i="2"/>
  <c r="BM64" i="2"/>
  <c r="CH64" i="2"/>
  <c r="A42" i="1"/>
  <c r="BE42" i="1" s="1"/>
  <c r="Q41" i="1"/>
  <c r="B41" i="1"/>
  <c r="G41" i="1"/>
  <c r="F41" i="1"/>
  <c r="Z41" i="1"/>
  <c r="AY41" i="1"/>
  <c r="E41" i="1"/>
  <c r="U41" i="1"/>
  <c r="AI41" i="1"/>
  <c r="J41" i="1"/>
  <c r="C41" i="1"/>
  <c r="AN41" i="1"/>
  <c r="K41" i="1"/>
  <c r="AD41" i="1"/>
  <c r="M41" i="1"/>
  <c r="O41" i="1"/>
  <c r="AS41" i="1"/>
  <c r="I41" i="1"/>
  <c r="S41" i="1"/>
  <c r="Y41" i="1"/>
  <c r="N41" i="1"/>
  <c r="R41" i="1"/>
  <c r="AA41" i="1"/>
  <c r="W41" i="1"/>
  <c r="D41" i="1"/>
  <c r="V41" i="1"/>
  <c r="AO40" i="1"/>
  <c r="AQ40" i="1"/>
  <c r="AP40" i="1"/>
  <c r="AV40" i="1"/>
  <c r="AT40" i="1"/>
  <c r="AU40" i="1"/>
  <c r="AK40" i="1"/>
  <c r="AJ40" i="1"/>
  <c r="AL40" i="1"/>
  <c r="BA40" i="1"/>
  <c r="AZ40" i="1"/>
  <c r="BB40" i="1"/>
  <c r="AG40" i="1"/>
  <c r="AF40" i="1"/>
  <c r="AE40" i="1"/>
  <c r="A60" i="5" l="1"/>
  <c r="L59" i="5"/>
  <c r="D59" i="5"/>
  <c r="P59" i="5"/>
  <c r="E59" i="5"/>
  <c r="Q59" i="5"/>
  <c r="C59" i="5"/>
  <c r="M59" i="5"/>
  <c r="B59" i="5"/>
  <c r="X59" i="5"/>
  <c r="AD59" i="5"/>
  <c r="AG59" i="5" s="1"/>
  <c r="AJ59" i="5"/>
  <c r="AM59" i="5" s="1"/>
  <c r="BD59" i="5"/>
  <c r="BG59" i="5" s="1"/>
  <c r="I59" i="5"/>
  <c r="H59" i="5"/>
  <c r="AV59" i="5"/>
  <c r="AY59" i="5" s="1"/>
  <c r="BE59" i="5"/>
  <c r="BH59" i="5" s="1"/>
  <c r="AK59" i="5"/>
  <c r="AE59" i="5"/>
  <c r="BL59" i="5"/>
  <c r="BO59" i="5" s="1"/>
  <c r="AP59" i="5"/>
  <c r="AS59" i="5" s="1"/>
  <c r="T59" i="5"/>
  <c r="U59" i="5"/>
  <c r="AQ59" i="5"/>
  <c r="Y59" i="5"/>
  <c r="BM59" i="5"/>
  <c r="BP59" i="5" s="1"/>
  <c r="AW59" i="5"/>
  <c r="AZ59" i="5" s="1"/>
  <c r="AH50" i="4"/>
  <c r="A52" i="4"/>
  <c r="I51" i="4"/>
  <c r="C51" i="4"/>
  <c r="G51" i="4"/>
  <c r="B51" i="4"/>
  <c r="K51" i="4"/>
  <c r="AG51" i="4"/>
  <c r="P51" i="4"/>
  <c r="E51" i="4"/>
  <c r="M51" i="4"/>
  <c r="Y51" i="4"/>
  <c r="S51" i="4"/>
  <c r="AC51" i="4"/>
  <c r="V51" i="4"/>
  <c r="AD50" i="4"/>
  <c r="T50" i="4"/>
  <c r="W50" i="4"/>
  <c r="Z50" i="4"/>
  <c r="Q50" i="4"/>
  <c r="AT52" i="3"/>
  <c r="AU52" i="3"/>
  <c r="N53" i="3"/>
  <c r="C53" i="3"/>
  <c r="B53" i="3"/>
  <c r="K53" i="3"/>
  <c r="A54" i="3"/>
  <c r="E53" i="3"/>
  <c r="J53" i="3"/>
  <c r="D53" i="3"/>
  <c r="M53" i="3"/>
  <c r="AN53" i="3"/>
  <c r="P53" i="3"/>
  <c r="AA53" i="3"/>
  <c r="T53" i="3"/>
  <c r="W53" i="3"/>
  <c r="S53" i="3"/>
  <c r="AI53" i="3"/>
  <c r="AS53" i="3"/>
  <c r="AE53" i="3"/>
  <c r="H53" i="3"/>
  <c r="G53" i="3"/>
  <c r="Q53" i="3"/>
  <c r="Y52" i="3"/>
  <c r="X52" i="3"/>
  <c r="AK52" i="3"/>
  <c r="AJ52" i="3"/>
  <c r="AG52" i="3"/>
  <c r="AF52" i="3"/>
  <c r="AC52" i="3"/>
  <c r="AB52" i="3"/>
  <c r="AP52" i="3"/>
  <c r="AO52" i="3"/>
  <c r="BH42" i="1"/>
  <c r="BG42" i="1"/>
  <c r="BF42" i="1"/>
  <c r="CR67" i="2"/>
  <c r="CU67" i="2" s="1"/>
  <c r="A68" i="2"/>
  <c r="CS67" i="2"/>
  <c r="CV67" i="2" s="1"/>
  <c r="CF67" i="2"/>
  <c r="CI67" i="2" s="1"/>
  <c r="BT67" i="2"/>
  <c r="BW67" i="2" s="1"/>
  <c r="BC67" i="2"/>
  <c r="BF67" i="2" s="1"/>
  <c r="BK67" i="2"/>
  <c r="BN67" i="2" s="1"/>
  <c r="CG67" i="2"/>
  <c r="CJ67" i="2" s="1"/>
  <c r="BU67" i="2"/>
  <c r="BX67" i="2" s="1"/>
  <c r="BL67" i="2"/>
  <c r="BO67" i="2" s="1"/>
  <c r="BB67" i="2"/>
  <c r="BE67" i="2" s="1"/>
  <c r="S66" i="2"/>
  <c r="M66" i="2"/>
  <c r="AJ66" i="2"/>
  <c r="Y66" i="2"/>
  <c r="AE66" i="2"/>
  <c r="AD66" i="2"/>
  <c r="G66" i="2"/>
  <c r="F66" i="2"/>
  <c r="L66" i="2"/>
  <c r="X66" i="2"/>
  <c r="AK66" i="2"/>
  <c r="R66" i="2"/>
  <c r="AT66" i="2"/>
  <c r="AW66" i="2" s="1"/>
  <c r="AS66" i="2"/>
  <c r="AV66" i="2" s="1"/>
  <c r="BM65" i="2"/>
  <c r="BV65" i="2"/>
  <c r="CH65" i="2"/>
  <c r="AU65" i="2"/>
  <c r="BD65" i="2"/>
  <c r="Q66" i="2"/>
  <c r="B66" i="2"/>
  <c r="W66" i="2"/>
  <c r="D66" i="2"/>
  <c r="C66" i="2"/>
  <c r="E66" i="2"/>
  <c r="BJ66" i="2"/>
  <c r="K66" i="2"/>
  <c r="CE66" i="2"/>
  <c r="AR66" i="2"/>
  <c r="BA66" i="2"/>
  <c r="BS66" i="2"/>
  <c r="CQ66" i="2"/>
  <c r="AC66" i="2"/>
  <c r="AI66" i="2"/>
  <c r="CT65" i="2"/>
  <c r="AG41" i="1"/>
  <c r="AE41" i="1"/>
  <c r="AF41" i="1"/>
  <c r="AT41" i="1"/>
  <c r="AV41" i="1"/>
  <c r="AU41" i="1"/>
  <c r="AK41" i="1"/>
  <c r="AL41" i="1"/>
  <c r="AJ41" i="1"/>
  <c r="BB41" i="1"/>
  <c r="AZ41" i="1"/>
  <c r="BA41" i="1"/>
  <c r="AQ41" i="1"/>
  <c r="AP41" i="1"/>
  <c r="AO41" i="1"/>
  <c r="A43" i="1"/>
  <c r="BE43" i="1" s="1"/>
  <c r="E42" i="1"/>
  <c r="D42" i="1"/>
  <c r="AI42" i="1"/>
  <c r="I42" i="1"/>
  <c r="Z42" i="1"/>
  <c r="AD42" i="1"/>
  <c r="B42" i="1"/>
  <c r="K42" i="1"/>
  <c r="O42" i="1"/>
  <c r="R42" i="1"/>
  <c r="AA42" i="1"/>
  <c r="F42" i="1"/>
  <c r="V42" i="1"/>
  <c r="Y42" i="1"/>
  <c r="AS42" i="1"/>
  <c r="J42" i="1"/>
  <c r="M42" i="1"/>
  <c r="G42" i="1"/>
  <c r="S42" i="1"/>
  <c r="U42" i="1"/>
  <c r="Q42" i="1"/>
  <c r="N42" i="1"/>
  <c r="AY42" i="1"/>
  <c r="W42" i="1"/>
  <c r="AN42" i="1"/>
  <c r="C42" i="1"/>
  <c r="P60" i="5" l="1"/>
  <c r="E60" i="5"/>
  <c r="M60" i="5"/>
  <c r="D60" i="5"/>
  <c r="A61" i="5"/>
  <c r="Q60" i="5"/>
  <c r="C60" i="5"/>
  <c r="L60" i="5"/>
  <c r="B60" i="5"/>
  <c r="AE60" i="5"/>
  <c r="AV60" i="5"/>
  <c r="AY60" i="5" s="1"/>
  <c r="AD60" i="5"/>
  <c r="AG60" i="5" s="1"/>
  <c r="AJ60" i="5"/>
  <c r="AM60" i="5" s="1"/>
  <c r="BL60" i="5"/>
  <c r="BO60" i="5" s="1"/>
  <c r="AP60" i="5"/>
  <c r="AS60" i="5" s="1"/>
  <c r="BD60" i="5"/>
  <c r="BG60" i="5" s="1"/>
  <c r="H60" i="5"/>
  <c r="AK60" i="5"/>
  <c r="X60" i="5"/>
  <c r="T60" i="5"/>
  <c r="AQ60" i="5"/>
  <c r="U60" i="5"/>
  <c r="Y60" i="5"/>
  <c r="AW60" i="5"/>
  <c r="AZ60" i="5" s="1"/>
  <c r="BM60" i="5"/>
  <c r="BP60" i="5" s="1"/>
  <c r="BE60" i="5"/>
  <c r="BH60" i="5" s="1"/>
  <c r="I60" i="5"/>
  <c r="AH51" i="4"/>
  <c r="W51" i="4"/>
  <c r="AD51" i="4"/>
  <c r="T51" i="4"/>
  <c r="Q51" i="4"/>
  <c r="A53" i="4"/>
  <c r="G52" i="4"/>
  <c r="B52" i="4"/>
  <c r="I52" i="4"/>
  <c r="C52" i="4"/>
  <c r="E52" i="4"/>
  <c r="M52" i="4"/>
  <c r="K52" i="4"/>
  <c r="AC52" i="4"/>
  <c r="V52" i="4"/>
  <c r="Y52" i="4"/>
  <c r="S52" i="4"/>
  <c r="AG52" i="4"/>
  <c r="P52" i="4"/>
  <c r="Z51" i="4"/>
  <c r="AP53" i="3"/>
  <c r="AO53" i="3"/>
  <c r="X53" i="3"/>
  <c r="Y53" i="3"/>
  <c r="A55" i="3"/>
  <c r="J54" i="3"/>
  <c r="D54" i="3"/>
  <c r="M54" i="3"/>
  <c r="E54" i="3"/>
  <c r="C54" i="3"/>
  <c r="N54" i="3"/>
  <c r="B54" i="3"/>
  <c r="K54" i="3"/>
  <c r="G54" i="3"/>
  <c r="W54" i="3"/>
  <c r="H54" i="3"/>
  <c r="AI54" i="3"/>
  <c r="AS54" i="3"/>
  <c r="P54" i="3"/>
  <c r="T54" i="3"/>
  <c r="AA54" i="3"/>
  <c r="AN54" i="3"/>
  <c r="Q54" i="3"/>
  <c r="AE54" i="3"/>
  <c r="S54" i="3"/>
  <c r="AC53" i="3"/>
  <c r="AB53" i="3"/>
  <c r="AU53" i="3"/>
  <c r="AT53" i="3"/>
  <c r="AG53" i="3"/>
  <c r="AF53" i="3"/>
  <c r="AK53" i="3"/>
  <c r="AJ53" i="3"/>
  <c r="BF43" i="1"/>
  <c r="BH43" i="1"/>
  <c r="BG43" i="1"/>
  <c r="CS68" i="2"/>
  <c r="CV68" i="2" s="1"/>
  <c r="A69" i="2"/>
  <c r="BT68" i="2"/>
  <c r="BW68" i="2" s="1"/>
  <c r="CG68" i="2"/>
  <c r="CJ68" i="2" s="1"/>
  <c r="BU68" i="2"/>
  <c r="BX68" i="2" s="1"/>
  <c r="CF68" i="2"/>
  <c r="CI68" i="2" s="1"/>
  <c r="CR68" i="2"/>
  <c r="CU68" i="2" s="1"/>
  <c r="BL68" i="2"/>
  <c r="BO68" i="2" s="1"/>
  <c r="BK68" i="2"/>
  <c r="BN68" i="2" s="1"/>
  <c r="BC68" i="2"/>
  <c r="BF68" i="2" s="1"/>
  <c r="BB68" i="2"/>
  <c r="BE68" i="2" s="1"/>
  <c r="AK67" i="2"/>
  <c r="AJ67" i="2"/>
  <c r="R67" i="2"/>
  <c r="AE67" i="2"/>
  <c r="AD67" i="2"/>
  <c r="M67" i="2"/>
  <c r="Y67" i="2"/>
  <c r="L67" i="2"/>
  <c r="X67" i="2"/>
  <c r="S67" i="2"/>
  <c r="G67" i="2"/>
  <c r="F67" i="2"/>
  <c r="AS67" i="2"/>
  <c r="AV67" i="2" s="1"/>
  <c r="AT67" i="2"/>
  <c r="AW67" i="2" s="1"/>
  <c r="BD66" i="2"/>
  <c r="Q67" i="2"/>
  <c r="B67" i="2"/>
  <c r="W67" i="2"/>
  <c r="D67" i="2"/>
  <c r="C67" i="2"/>
  <c r="CE67" i="2"/>
  <c r="AR67" i="2"/>
  <c r="E67" i="2"/>
  <c r="BA67" i="2"/>
  <c r="BS67" i="2"/>
  <c r="K67" i="2"/>
  <c r="AI67" i="2"/>
  <c r="AC67" i="2"/>
  <c r="CQ67" i="2"/>
  <c r="BJ67" i="2"/>
  <c r="BV66" i="2"/>
  <c r="BM66" i="2"/>
  <c r="AU66" i="2"/>
  <c r="CH66" i="2"/>
  <c r="CT66" i="2"/>
  <c r="Z43" i="1"/>
  <c r="N43" i="1"/>
  <c r="G43" i="1"/>
  <c r="C43" i="1"/>
  <c r="D43" i="1"/>
  <c r="A44" i="1"/>
  <c r="BE44" i="1" s="1"/>
  <c r="M43" i="1"/>
  <c r="Q43" i="1"/>
  <c r="S43" i="1"/>
  <c r="O43" i="1"/>
  <c r="B43" i="1"/>
  <c r="R43" i="1"/>
  <c r="E43" i="1"/>
  <c r="F43" i="1"/>
  <c r="I43" i="1"/>
  <c r="U43" i="1"/>
  <c r="AD43" i="1"/>
  <c r="Y43" i="1"/>
  <c r="AI43" i="1"/>
  <c r="AN43" i="1"/>
  <c r="J43" i="1"/>
  <c r="AS43" i="1"/>
  <c r="AA43" i="1"/>
  <c r="W43" i="1"/>
  <c r="AY43" i="1"/>
  <c r="V43" i="1"/>
  <c r="K43" i="1"/>
  <c r="BB42" i="1"/>
  <c r="AZ42" i="1"/>
  <c r="BA42" i="1"/>
  <c r="AT42" i="1"/>
  <c r="AU42" i="1"/>
  <c r="AV42" i="1"/>
  <c r="AL42" i="1"/>
  <c r="AK42" i="1"/>
  <c r="AJ42" i="1"/>
  <c r="AG42" i="1"/>
  <c r="AE42" i="1"/>
  <c r="AF42" i="1"/>
  <c r="AP42" i="1"/>
  <c r="AO42" i="1"/>
  <c r="AQ42" i="1"/>
  <c r="Q61" i="5" l="1"/>
  <c r="C61" i="5"/>
  <c r="E61" i="5"/>
  <c r="M61" i="5"/>
  <c r="D61" i="5"/>
  <c r="P61" i="5"/>
  <c r="B61" i="5"/>
  <c r="L61" i="5"/>
  <c r="A62" i="5"/>
  <c r="AD61" i="5"/>
  <c r="AG61" i="5" s="1"/>
  <c r="X61" i="5"/>
  <c r="AK61" i="5"/>
  <c r="AE61" i="5"/>
  <c r="AV61" i="5"/>
  <c r="AY61" i="5" s="1"/>
  <c r="BL61" i="5"/>
  <c r="BO61" i="5" s="1"/>
  <c r="AJ61" i="5"/>
  <c r="AM61" i="5" s="1"/>
  <c r="AP61" i="5"/>
  <c r="AS61" i="5" s="1"/>
  <c r="H61" i="5"/>
  <c r="U61" i="5"/>
  <c r="I61" i="5"/>
  <c r="BD61" i="5"/>
  <c r="BG61" i="5" s="1"/>
  <c r="AQ61" i="5"/>
  <c r="T61" i="5"/>
  <c r="BE61" i="5"/>
  <c r="BH61" i="5" s="1"/>
  <c r="BM61" i="5"/>
  <c r="BP61" i="5" s="1"/>
  <c r="Y61" i="5"/>
  <c r="AW61" i="5"/>
  <c r="AZ61" i="5" s="1"/>
  <c r="Q52" i="4"/>
  <c r="AD52" i="4"/>
  <c r="A54" i="4"/>
  <c r="I53" i="4"/>
  <c r="C53" i="4"/>
  <c r="B53" i="4"/>
  <c r="G53" i="4"/>
  <c r="AG53" i="4"/>
  <c r="E53" i="4"/>
  <c r="Y53" i="4"/>
  <c r="K53" i="4"/>
  <c r="S53" i="4"/>
  <c r="P53" i="4"/>
  <c r="V53" i="4"/>
  <c r="M53" i="4"/>
  <c r="AC53" i="4"/>
  <c r="AH52" i="4"/>
  <c r="T52" i="4"/>
  <c r="Z52" i="4"/>
  <c r="W52" i="4"/>
  <c r="Y54" i="3"/>
  <c r="X54" i="3"/>
  <c r="AG54" i="3"/>
  <c r="AF54" i="3"/>
  <c r="AJ54" i="3"/>
  <c r="AK54" i="3"/>
  <c r="AP54" i="3"/>
  <c r="AO54" i="3"/>
  <c r="AC54" i="3"/>
  <c r="AB54" i="3"/>
  <c r="AT54" i="3"/>
  <c r="AU54" i="3"/>
  <c r="A56" i="3"/>
  <c r="J55" i="3"/>
  <c r="C55" i="3"/>
  <c r="M55" i="3"/>
  <c r="B55" i="3"/>
  <c r="E55" i="3"/>
  <c r="D55" i="3"/>
  <c r="N55" i="3"/>
  <c r="K55" i="3"/>
  <c r="AA55" i="3"/>
  <c r="H55" i="3"/>
  <c r="P55" i="3"/>
  <c r="T55" i="3"/>
  <c r="S55" i="3"/>
  <c r="AN55" i="3"/>
  <c r="AS55" i="3"/>
  <c r="G55" i="3"/>
  <c r="Q55" i="3"/>
  <c r="AE55" i="3"/>
  <c r="AI55" i="3"/>
  <c r="W55" i="3"/>
  <c r="BF44" i="1"/>
  <c r="BH44" i="1"/>
  <c r="BG44" i="1"/>
  <c r="A70" i="2"/>
  <c r="CR69" i="2"/>
  <c r="CU69" i="2" s="1"/>
  <c r="CS69" i="2"/>
  <c r="CV69" i="2" s="1"/>
  <c r="CG69" i="2"/>
  <c r="CJ69" i="2" s="1"/>
  <c r="BU69" i="2"/>
  <c r="BX69" i="2" s="1"/>
  <c r="BK69" i="2"/>
  <c r="BN69" i="2" s="1"/>
  <c r="BT69" i="2"/>
  <c r="BW69" i="2" s="1"/>
  <c r="BB69" i="2"/>
  <c r="BE69" i="2" s="1"/>
  <c r="CF69" i="2"/>
  <c r="CI69" i="2" s="1"/>
  <c r="BC69" i="2"/>
  <c r="BF69" i="2" s="1"/>
  <c r="BL69" i="2"/>
  <c r="BO69" i="2" s="1"/>
  <c r="AJ68" i="2"/>
  <c r="AE68" i="2"/>
  <c r="AD68" i="2"/>
  <c r="X68" i="2"/>
  <c r="M68" i="2"/>
  <c r="S68" i="2"/>
  <c r="R68" i="2"/>
  <c r="L68" i="2"/>
  <c r="Y68" i="2"/>
  <c r="AK68" i="2"/>
  <c r="G68" i="2"/>
  <c r="F68" i="2"/>
  <c r="AS68" i="2"/>
  <c r="AV68" i="2" s="1"/>
  <c r="AT68" i="2"/>
  <c r="AW68" i="2" s="1"/>
  <c r="AU67" i="2"/>
  <c r="CH67" i="2"/>
  <c r="BM67" i="2"/>
  <c r="BV67" i="2"/>
  <c r="CT67" i="2"/>
  <c r="Q68" i="2"/>
  <c r="C68" i="2"/>
  <c r="E68" i="2"/>
  <c r="D68" i="2"/>
  <c r="B68" i="2"/>
  <c r="W68" i="2"/>
  <c r="BA68" i="2"/>
  <c r="CE68" i="2"/>
  <c r="CQ68" i="2"/>
  <c r="K68" i="2"/>
  <c r="AI68" i="2"/>
  <c r="BJ68" i="2"/>
  <c r="AC68" i="2"/>
  <c r="AR68" i="2"/>
  <c r="BS68" i="2"/>
  <c r="BD67" i="2"/>
  <c r="AO43" i="1"/>
  <c r="AP43" i="1"/>
  <c r="AQ43" i="1"/>
  <c r="AJ43" i="1"/>
  <c r="AL43" i="1"/>
  <c r="AK43" i="1"/>
  <c r="AT43" i="1"/>
  <c r="AU43" i="1"/>
  <c r="AV43" i="1"/>
  <c r="N44" i="1"/>
  <c r="Q44" i="1"/>
  <c r="M44" i="1"/>
  <c r="B44" i="1"/>
  <c r="R44" i="1"/>
  <c r="S44" i="1"/>
  <c r="E44" i="1"/>
  <c r="F44" i="1"/>
  <c r="C44" i="1"/>
  <c r="D44" i="1"/>
  <c r="O44" i="1"/>
  <c r="A45" i="1"/>
  <c r="BE45" i="1" s="1"/>
  <c r="G44" i="1"/>
  <c r="Y44" i="1"/>
  <c r="I44" i="1"/>
  <c r="AS44" i="1"/>
  <c r="AY44" i="1"/>
  <c r="J44" i="1"/>
  <c r="W44" i="1"/>
  <c r="U44" i="1"/>
  <c r="AA44" i="1"/>
  <c r="V44" i="1"/>
  <c r="AN44" i="1"/>
  <c r="K44" i="1"/>
  <c r="AI44" i="1"/>
  <c r="AD44" i="1"/>
  <c r="Z44" i="1"/>
  <c r="BB43" i="1"/>
  <c r="AZ43" i="1"/>
  <c r="BA43" i="1"/>
  <c r="AE43" i="1"/>
  <c r="AG43" i="1"/>
  <c r="AF43" i="1"/>
  <c r="A63" i="5" l="1"/>
  <c r="L62" i="5"/>
  <c r="D62" i="5"/>
  <c r="E62" i="5"/>
  <c r="M62" i="5"/>
  <c r="P62" i="5"/>
  <c r="B62" i="5"/>
  <c r="Q62" i="5"/>
  <c r="C62" i="5"/>
  <c r="BD62" i="5"/>
  <c r="BG62" i="5" s="1"/>
  <c r="AD62" i="5"/>
  <c r="AG62" i="5" s="1"/>
  <c r="AJ62" i="5"/>
  <c r="AM62" i="5" s="1"/>
  <c r="AV62" i="5"/>
  <c r="AY62" i="5" s="1"/>
  <c r="AK62" i="5"/>
  <c r="BL62" i="5"/>
  <c r="BO62" i="5" s="1"/>
  <c r="X62" i="5"/>
  <c r="AE62" i="5"/>
  <c r="AW62" i="5"/>
  <c r="AZ62" i="5" s="1"/>
  <c r="T62" i="5"/>
  <c r="I62" i="5"/>
  <c r="AQ62" i="5"/>
  <c r="H62" i="5"/>
  <c r="U62" i="5"/>
  <c r="AP62" i="5"/>
  <c r="AS62" i="5" s="1"/>
  <c r="BM62" i="5"/>
  <c r="BP62" i="5" s="1"/>
  <c r="BE62" i="5"/>
  <c r="BH62" i="5" s="1"/>
  <c r="Y62" i="5"/>
  <c r="C54" i="4"/>
  <c r="B54" i="4"/>
  <c r="I54" i="4"/>
  <c r="A55" i="4"/>
  <c r="G54" i="4"/>
  <c r="M54" i="4"/>
  <c r="K54" i="4"/>
  <c r="E54" i="4"/>
  <c r="Y54" i="4"/>
  <c r="P54" i="4"/>
  <c r="V54" i="4"/>
  <c r="S54" i="4"/>
  <c r="AG54" i="4"/>
  <c r="AC54" i="4"/>
  <c r="Z53" i="4"/>
  <c r="Q53" i="4"/>
  <c r="AD53" i="4"/>
  <c r="W53" i="4"/>
  <c r="AH53" i="4"/>
  <c r="T53" i="4"/>
  <c r="AO55" i="3"/>
  <c r="AP55" i="3"/>
  <c r="N56" i="3"/>
  <c r="C56" i="3"/>
  <c r="M56" i="3"/>
  <c r="J56" i="3"/>
  <c r="B56" i="3"/>
  <c r="A57" i="3"/>
  <c r="E56" i="3"/>
  <c r="K56" i="3"/>
  <c r="D56" i="3"/>
  <c r="T56" i="3"/>
  <c r="AI56" i="3"/>
  <c r="W56" i="3"/>
  <c r="AS56" i="3"/>
  <c r="H56" i="3"/>
  <c r="Q56" i="3"/>
  <c r="S56" i="3"/>
  <c r="AN56" i="3"/>
  <c r="G56" i="3"/>
  <c r="AA56" i="3"/>
  <c r="P56" i="3"/>
  <c r="AE56" i="3"/>
  <c r="Y55" i="3"/>
  <c r="X55" i="3"/>
  <c r="AK55" i="3"/>
  <c r="AJ55" i="3"/>
  <c r="AU55" i="3"/>
  <c r="AT55" i="3"/>
  <c r="AG55" i="3"/>
  <c r="AF55" i="3"/>
  <c r="AB55" i="3"/>
  <c r="AC55" i="3"/>
  <c r="BH45" i="1"/>
  <c r="BG45" i="1"/>
  <c r="BF45" i="1"/>
  <c r="CG70" i="2"/>
  <c r="CJ70" i="2" s="1"/>
  <c r="BU70" i="2"/>
  <c r="BX70" i="2" s="1"/>
  <c r="A71" i="2"/>
  <c r="CF70" i="2"/>
  <c r="CI70" i="2" s="1"/>
  <c r="BK70" i="2"/>
  <c r="BN70" i="2" s="1"/>
  <c r="BB70" i="2"/>
  <c r="BE70" i="2" s="1"/>
  <c r="CS70" i="2"/>
  <c r="CV70" i="2" s="1"/>
  <c r="CR70" i="2"/>
  <c r="CU70" i="2" s="1"/>
  <c r="BT70" i="2"/>
  <c r="BW70" i="2" s="1"/>
  <c r="BL70" i="2"/>
  <c r="BO70" i="2" s="1"/>
  <c r="BC70" i="2"/>
  <c r="BF70" i="2" s="1"/>
  <c r="AD69" i="2"/>
  <c r="AJ69" i="2"/>
  <c r="AE69" i="2"/>
  <c r="Y69" i="2"/>
  <c r="G69" i="2"/>
  <c r="F69" i="2"/>
  <c r="R69" i="2"/>
  <c r="M69" i="2"/>
  <c r="X69" i="2"/>
  <c r="L69" i="2"/>
  <c r="AK69" i="2"/>
  <c r="S69" i="2"/>
  <c r="AS69" i="2"/>
  <c r="AV69" i="2" s="1"/>
  <c r="AT69" i="2"/>
  <c r="AW69" i="2" s="1"/>
  <c r="CH68" i="2"/>
  <c r="CT68" i="2"/>
  <c r="BD68" i="2"/>
  <c r="E69" i="2"/>
  <c r="B69" i="2"/>
  <c r="Q69" i="2"/>
  <c r="D69" i="2"/>
  <c r="C69" i="2"/>
  <c r="W69" i="2"/>
  <c r="BJ69" i="2"/>
  <c r="K69" i="2"/>
  <c r="AI69" i="2"/>
  <c r="CQ69" i="2"/>
  <c r="AR69" i="2"/>
  <c r="BS69" i="2"/>
  <c r="BA69" i="2"/>
  <c r="CE69" i="2"/>
  <c r="AC69" i="2"/>
  <c r="BM68" i="2"/>
  <c r="BV68" i="2"/>
  <c r="AU68" i="2"/>
  <c r="AQ44" i="1"/>
  <c r="AP44" i="1"/>
  <c r="AO44" i="1"/>
  <c r="AE44" i="1"/>
  <c r="AF44" i="1"/>
  <c r="AG44" i="1"/>
  <c r="AJ44" i="1"/>
  <c r="AL44" i="1"/>
  <c r="AK44" i="1"/>
  <c r="BA44" i="1"/>
  <c r="BB44" i="1"/>
  <c r="AZ44" i="1"/>
  <c r="AV44" i="1"/>
  <c r="AU44" i="1"/>
  <c r="AT44" i="1"/>
  <c r="R45" i="1"/>
  <c r="F45" i="1"/>
  <c r="D45" i="1"/>
  <c r="G45" i="1"/>
  <c r="A46" i="1"/>
  <c r="BE46" i="1" s="1"/>
  <c r="M45" i="1"/>
  <c r="B45" i="1"/>
  <c r="S45" i="1"/>
  <c r="Q45" i="1"/>
  <c r="E45" i="1"/>
  <c r="C45" i="1"/>
  <c r="N45" i="1"/>
  <c r="O45" i="1"/>
  <c r="AN45" i="1"/>
  <c r="I45" i="1"/>
  <c r="W45" i="1"/>
  <c r="V45" i="1"/>
  <c r="AA45" i="1"/>
  <c r="K45" i="1"/>
  <c r="U45" i="1"/>
  <c r="Z45" i="1"/>
  <c r="J45" i="1"/>
  <c r="AS45" i="1"/>
  <c r="AY45" i="1"/>
  <c r="Y45" i="1"/>
  <c r="AI45" i="1"/>
  <c r="AD45" i="1"/>
  <c r="M63" i="5" l="1"/>
  <c r="D63" i="5"/>
  <c r="L63" i="5"/>
  <c r="A64" i="5"/>
  <c r="E63" i="5"/>
  <c r="Q63" i="5"/>
  <c r="C63" i="5"/>
  <c r="P63" i="5"/>
  <c r="B63" i="5"/>
  <c r="AE63" i="5"/>
  <c r="BD63" i="5"/>
  <c r="BG63" i="5" s="1"/>
  <c r="X63" i="5"/>
  <c r="T63" i="5"/>
  <c r="AK63" i="5"/>
  <c r="AV63" i="5"/>
  <c r="AY63" i="5" s="1"/>
  <c r="BL63" i="5"/>
  <c r="BO63" i="5" s="1"/>
  <c r="AD63" i="5"/>
  <c r="AG63" i="5" s="1"/>
  <c r="I63" i="5"/>
  <c r="U63" i="5"/>
  <c r="AJ63" i="5"/>
  <c r="AM63" i="5" s="1"/>
  <c r="AP63" i="5"/>
  <c r="AS63" i="5" s="1"/>
  <c r="H63" i="5"/>
  <c r="AQ63" i="5"/>
  <c r="Y63" i="5"/>
  <c r="AW63" i="5"/>
  <c r="AZ63" i="5" s="1"/>
  <c r="BE63" i="5"/>
  <c r="BH63" i="5" s="1"/>
  <c r="BM63" i="5"/>
  <c r="BP63" i="5" s="1"/>
  <c r="AD54" i="4"/>
  <c r="W54" i="4"/>
  <c r="Q54" i="4"/>
  <c r="Z54" i="4"/>
  <c r="AH54" i="4"/>
  <c r="A56" i="4"/>
  <c r="I55" i="4"/>
  <c r="C55" i="4"/>
  <c r="G55" i="4"/>
  <c r="B55" i="4"/>
  <c r="E55" i="4"/>
  <c r="Y55" i="4"/>
  <c r="K55" i="4"/>
  <c r="M55" i="4"/>
  <c r="AC55" i="4"/>
  <c r="V55" i="4"/>
  <c r="AG55" i="4"/>
  <c r="S55" i="4"/>
  <c r="P55" i="4"/>
  <c r="T54" i="4"/>
  <c r="AK56" i="3"/>
  <c r="AJ56" i="3"/>
  <c r="AC56" i="3"/>
  <c r="AB56" i="3"/>
  <c r="AU56" i="3"/>
  <c r="AT56" i="3"/>
  <c r="AG56" i="3"/>
  <c r="AF56" i="3"/>
  <c r="AP56" i="3"/>
  <c r="AO56" i="3"/>
  <c r="Y56" i="3"/>
  <c r="X56" i="3"/>
  <c r="A58" i="3"/>
  <c r="J57" i="3"/>
  <c r="D57" i="3"/>
  <c r="E57" i="3"/>
  <c r="K57" i="3"/>
  <c r="N57" i="3"/>
  <c r="C57" i="3"/>
  <c r="B57" i="3"/>
  <c r="M57" i="3"/>
  <c r="AI57" i="3"/>
  <c r="AN57" i="3"/>
  <c r="AE57" i="3"/>
  <c r="H57" i="3"/>
  <c r="AA57" i="3"/>
  <c r="Q57" i="3"/>
  <c r="P57" i="3"/>
  <c r="W57" i="3"/>
  <c r="G57" i="3"/>
  <c r="S57" i="3"/>
  <c r="T57" i="3"/>
  <c r="AS57" i="3"/>
  <c r="BF46" i="1"/>
  <c r="BH46" i="1"/>
  <c r="BG46" i="1"/>
  <c r="CR71" i="2"/>
  <c r="CU71" i="2" s="1"/>
  <c r="CS71" i="2"/>
  <c r="CV71" i="2" s="1"/>
  <c r="BU71" i="2"/>
  <c r="BX71" i="2" s="1"/>
  <c r="CG71" i="2"/>
  <c r="CJ71" i="2" s="1"/>
  <c r="BT71" i="2"/>
  <c r="BW71" i="2" s="1"/>
  <c r="CF71" i="2"/>
  <c r="CI71" i="2" s="1"/>
  <c r="A72" i="2"/>
  <c r="BL71" i="2"/>
  <c r="BO71" i="2" s="1"/>
  <c r="BB71" i="2"/>
  <c r="BE71" i="2" s="1"/>
  <c r="BK71" i="2"/>
  <c r="BN71" i="2" s="1"/>
  <c r="BC71" i="2"/>
  <c r="BF71" i="2" s="1"/>
  <c r="AJ70" i="2"/>
  <c r="S70" i="2"/>
  <c r="M70" i="2"/>
  <c r="Y70" i="2"/>
  <c r="L70" i="2"/>
  <c r="G70" i="2"/>
  <c r="X70" i="2"/>
  <c r="F70" i="2"/>
  <c r="R70" i="2"/>
  <c r="AK70" i="2"/>
  <c r="AD70" i="2"/>
  <c r="AE70" i="2"/>
  <c r="AS70" i="2"/>
  <c r="AV70" i="2" s="1"/>
  <c r="AT70" i="2"/>
  <c r="AW70" i="2" s="1"/>
  <c r="CT69" i="2"/>
  <c r="B70" i="2"/>
  <c r="W70" i="2"/>
  <c r="Q70" i="2"/>
  <c r="C70" i="2"/>
  <c r="E70" i="2"/>
  <c r="D70" i="2"/>
  <c r="AI70" i="2"/>
  <c r="BA70" i="2"/>
  <c r="BS70" i="2"/>
  <c r="AR70" i="2"/>
  <c r="K70" i="2"/>
  <c r="AC70" i="2"/>
  <c r="CQ70" i="2"/>
  <c r="CE70" i="2"/>
  <c r="BJ70" i="2"/>
  <c r="CH69" i="2"/>
  <c r="BV69" i="2"/>
  <c r="AU69" i="2"/>
  <c r="BD69" i="2"/>
  <c r="BM69" i="2"/>
  <c r="O46" i="1"/>
  <c r="S46" i="1"/>
  <c r="C46" i="1"/>
  <c r="G46" i="1"/>
  <c r="Q46" i="1"/>
  <c r="B46" i="1"/>
  <c r="N46" i="1"/>
  <c r="A47" i="1"/>
  <c r="BE47" i="1" s="1"/>
  <c r="M46" i="1"/>
  <c r="F46" i="1"/>
  <c r="E46" i="1"/>
  <c r="D46" i="1"/>
  <c r="R46" i="1"/>
  <c r="AY46" i="1"/>
  <c r="Y46" i="1"/>
  <c r="AS46" i="1"/>
  <c r="AA46" i="1"/>
  <c r="J46" i="1"/>
  <c r="W46" i="1"/>
  <c r="AD46" i="1"/>
  <c r="Z46" i="1"/>
  <c r="AI46" i="1"/>
  <c r="AN46" i="1"/>
  <c r="K46" i="1"/>
  <c r="V46" i="1"/>
  <c r="I46" i="1"/>
  <c r="U46" i="1"/>
  <c r="AZ45" i="1"/>
  <c r="BB45" i="1"/>
  <c r="BA45" i="1"/>
  <c r="AF45" i="1"/>
  <c r="AG45" i="1"/>
  <c r="AE45" i="1"/>
  <c r="AU45" i="1"/>
  <c r="AT45" i="1"/>
  <c r="AV45" i="1"/>
  <c r="AK45" i="1"/>
  <c r="AL45" i="1"/>
  <c r="AJ45" i="1"/>
  <c r="AP45" i="1"/>
  <c r="AO45" i="1"/>
  <c r="AQ45" i="1"/>
  <c r="Q64" i="5" l="1"/>
  <c r="C64" i="5"/>
  <c r="M64" i="5"/>
  <c r="D64" i="5"/>
  <c r="L64" i="5"/>
  <c r="A65" i="5"/>
  <c r="E64" i="5"/>
  <c r="P64" i="5"/>
  <c r="B64" i="5"/>
  <c r="AK64" i="5"/>
  <c r="AV64" i="5"/>
  <c r="AY64" i="5" s="1"/>
  <c r="AD64" i="5"/>
  <c r="AG64" i="5" s="1"/>
  <c r="BL64" i="5"/>
  <c r="BO64" i="5" s="1"/>
  <c r="X64" i="5"/>
  <c r="AE64" i="5"/>
  <c r="AJ64" i="5"/>
  <c r="AM64" i="5" s="1"/>
  <c r="BD64" i="5"/>
  <c r="BG64" i="5" s="1"/>
  <c r="AQ64" i="5"/>
  <c r="AP64" i="5"/>
  <c r="AS64" i="5" s="1"/>
  <c r="T64" i="5"/>
  <c r="I64" i="5"/>
  <c r="H64" i="5"/>
  <c r="U64" i="5"/>
  <c r="AW64" i="5"/>
  <c r="AZ64" i="5" s="1"/>
  <c r="Y64" i="5"/>
  <c r="BM64" i="5"/>
  <c r="BP64" i="5" s="1"/>
  <c r="BE64" i="5"/>
  <c r="BH64" i="5" s="1"/>
  <c r="AH55" i="4"/>
  <c r="Z55" i="4"/>
  <c r="T55" i="4"/>
  <c r="I56" i="4"/>
  <c r="B56" i="4"/>
  <c r="A57" i="4"/>
  <c r="C56" i="4"/>
  <c r="G56" i="4"/>
  <c r="V56" i="4"/>
  <c r="K56" i="4"/>
  <c r="P56" i="4"/>
  <c r="Y56" i="4"/>
  <c r="S56" i="4"/>
  <c r="AG56" i="4"/>
  <c r="AC56" i="4"/>
  <c r="M56" i="4"/>
  <c r="E56" i="4"/>
  <c r="W55" i="4"/>
  <c r="Q55" i="4"/>
  <c r="AD55" i="4"/>
  <c r="AT57" i="3"/>
  <c r="AU57" i="3"/>
  <c r="Y57" i="3"/>
  <c r="X57" i="3"/>
  <c r="AG57" i="3"/>
  <c r="AF57" i="3"/>
  <c r="AP57" i="3"/>
  <c r="AO57" i="3"/>
  <c r="AJ57" i="3"/>
  <c r="AK57" i="3"/>
  <c r="AC57" i="3"/>
  <c r="AB57" i="3"/>
  <c r="C58" i="3"/>
  <c r="B58" i="3"/>
  <c r="N58" i="3"/>
  <c r="D58" i="3"/>
  <c r="M58" i="3"/>
  <c r="K58" i="3"/>
  <c r="J58" i="3"/>
  <c r="E58" i="3"/>
  <c r="A59" i="3"/>
  <c r="T58" i="3"/>
  <c r="AN58" i="3"/>
  <c r="Q58" i="3"/>
  <c r="W58" i="3"/>
  <c r="AI58" i="3"/>
  <c r="H58" i="3"/>
  <c r="S58" i="3"/>
  <c r="G58" i="3"/>
  <c r="P58" i="3"/>
  <c r="AA58" i="3"/>
  <c r="AS58" i="3"/>
  <c r="AE58" i="3"/>
  <c r="BG47" i="1"/>
  <c r="BH47" i="1"/>
  <c r="BF47" i="1"/>
  <c r="A73" i="2"/>
  <c r="CS72" i="2"/>
  <c r="CV72" i="2" s="1"/>
  <c r="CR72" i="2"/>
  <c r="CU72" i="2" s="1"/>
  <c r="BU72" i="2"/>
  <c r="BX72" i="2" s="1"/>
  <c r="CF72" i="2"/>
  <c r="CI72" i="2" s="1"/>
  <c r="CG72" i="2"/>
  <c r="CJ72" i="2" s="1"/>
  <c r="BT72" i="2"/>
  <c r="BW72" i="2" s="1"/>
  <c r="BB72" i="2"/>
  <c r="BE72" i="2" s="1"/>
  <c r="BK72" i="2"/>
  <c r="BN72" i="2" s="1"/>
  <c r="BL72" i="2"/>
  <c r="BO72" i="2" s="1"/>
  <c r="BC72" i="2"/>
  <c r="BF72" i="2" s="1"/>
  <c r="AE71" i="2"/>
  <c r="Y71" i="2"/>
  <c r="S71" i="2"/>
  <c r="AK71" i="2"/>
  <c r="AJ71" i="2"/>
  <c r="L71" i="2"/>
  <c r="X71" i="2"/>
  <c r="R71" i="2"/>
  <c r="G71" i="2"/>
  <c r="F71" i="2"/>
  <c r="M71" i="2"/>
  <c r="AD71" i="2"/>
  <c r="AT71" i="2"/>
  <c r="AW71" i="2" s="1"/>
  <c r="AS71" i="2"/>
  <c r="AV71" i="2" s="1"/>
  <c r="W71" i="2"/>
  <c r="D71" i="2"/>
  <c r="C71" i="2"/>
  <c r="B71" i="2"/>
  <c r="Q71" i="2"/>
  <c r="E71" i="2"/>
  <c r="BA71" i="2"/>
  <c r="BJ71" i="2"/>
  <c r="CQ71" i="2"/>
  <c r="CE71" i="2"/>
  <c r="AC71" i="2"/>
  <c r="K71" i="2"/>
  <c r="AI71" i="2"/>
  <c r="BS71" i="2"/>
  <c r="AR71" i="2"/>
  <c r="BM70" i="2"/>
  <c r="BV70" i="2"/>
  <c r="BD70" i="2"/>
  <c r="CH70" i="2"/>
  <c r="AU70" i="2"/>
  <c r="CT70" i="2"/>
  <c r="AF46" i="1"/>
  <c r="AG46" i="1"/>
  <c r="AE46" i="1"/>
  <c r="G47" i="1"/>
  <c r="Q47" i="1"/>
  <c r="S47" i="1"/>
  <c r="E47" i="1"/>
  <c r="R47" i="1"/>
  <c r="F47" i="1"/>
  <c r="N47" i="1"/>
  <c r="O47" i="1"/>
  <c r="C47" i="1"/>
  <c r="A48" i="1"/>
  <c r="BE48" i="1" s="1"/>
  <c r="M47" i="1"/>
  <c r="B47" i="1"/>
  <c r="D47" i="1"/>
  <c r="AA47" i="1"/>
  <c r="I47" i="1"/>
  <c r="Z47" i="1"/>
  <c r="AI47" i="1"/>
  <c r="AN47" i="1"/>
  <c r="W47" i="1"/>
  <c r="AS47" i="1"/>
  <c r="AY47" i="1"/>
  <c r="Y47" i="1"/>
  <c r="U47" i="1"/>
  <c r="J47" i="1"/>
  <c r="AD47" i="1"/>
  <c r="V47" i="1"/>
  <c r="K47" i="1"/>
  <c r="AQ46" i="1"/>
  <c r="AO46" i="1"/>
  <c r="AP46" i="1"/>
  <c r="AT46" i="1"/>
  <c r="AU46" i="1"/>
  <c r="AV46" i="1"/>
  <c r="AL46" i="1"/>
  <c r="AK46" i="1"/>
  <c r="AJ46" i="1"/>
  <c r="BB46" i="1"/>
  <c r="BA46" i="1"/>
  <c r="AZ46" i="1"/>
  <c r="A66" i="5" l="1"/>
  <c r="L65" i="5"/>
  <c r="D65" i="5"/>
  <c r="M65" i="5"/>
  <c r="C65" i="5"/>
  <c r="Q65" i="5"/>
  <c r="E65" i="5"/>
  <c r="P65" i="5"/>
  <c r="B65" i="5"/>
  <c r="AE65" i="5"/>
  <c r="AK65" i="5"/>
  <c r="X65" i="5"/>
  <c r="BD65" i="5"/>
  <c r="BG65" i="5" s="1"/>
  <c r="AV65" i="5"/>
  <c r="AY65" i="5" s="1"/>
  <c r="AJ65" i="5"/>
  <c r="AM65" i="5" s="1"/>
  <c r="AD65" i="5"/>
  <c r="AG65" i="5" s="1"/>
  <c r="AP65" i="5"/>
  <c r="AS65" i="5" s="1"/>
  <c r="I65" i="5"/>
  <c r="BL65" i="5"/>
  <c r="BO65" i="5" s="1"/>
  <c r="T65" i="5"/>
  <c r="U65" i="5"/>
  <c r="AQ65" i="5"/>
  <c r="H65" i="5"/>
  <c r="BE65" i="5"/>
  <c r="BH65" i="5" s="1"/>
  <c r="AW65" i="5"/>
  <c r="AZ65" i="5" s="1"/>
  <c r="BM65" i="5"/>
  <c r="BP65" i="5" s="1"/>
  <c r="Y65" i="5"/>
  <c r="T56" i="4"/>
  <c r="A58" i="4"/>
  <c r="I57" i="4"/>
  <c r="C57" i="4"/>
  <c r="G57" i="4"/>
  <c r="B57" i="4"/>
  <c r="Y57" i="4"/>
  <c r="M57" i="4"/>
  <c r="K57" i="4"/>
  <c r="E57" i="4"/>
  <c r="V57" i="4"/>
  <c r="S57" i="4"/>
  <c r="AC57" i="4"/>
  <c r="AG57" i="4"/>
  <c r="P57" i="4"/>
  <c r="AH56" i="4"/>
  <c r="W56" i="4"/>
  <c r="Z56" i="4"/>
  <c r="Q56" i="4"/>
  <c r="AD56" i="4"/>
  <c r="AP58" i="3"/>
  <c r="AO58" i="3"/>
  <c r="Y58" i="3"/>
  <c r="X58" i="3"/>
  <c r="AF58" i="3"/>
  <c r="AG58" i="3"/>
  <c r="AU58" i="3"/>
  <c r="AT58" i="3"/>
  <c r="AB58" i="3"/>
  <c r="AC58" i="3"/>
  <c r="AK58" i="3"/>
  <c r="AJ58" i="3"/>
  <c r="N59" i="3"/>
  <c r="C59" i="3"/>
  <c r="M59" i="3"/>
  <c r="E59" i="3"/>
  <c r="K59" i="3"/>
  <c r="B59" i="3"/>
  <c r="A60" i="3"/>
  <c r="D59" i="3"/>
  <c r="J59" i="3"/>
  <c r="AS59" i="3"/>
  <c r="H59" i="3"/>
  <c r="G59" i="3"/>
  <c r="S59" i="3"/>
  <c r="T59" i="3"/>
  <c r="Q59" i="3"/>
  <c r="P59" i="3"/>
  <c r="W59" i="3"/>
  <c r="AE59" i="3"/>
  <c r="AI59" i="3"/>
  <c r="AA59" i="3"/>
  <c r="AN59" i="3"/>
  <c r="BF48" i="1"/>
  <c r="BH48" i="1"/>
  <c r="BG48" i="1"/>
  <c r="A74" i="2"/>
  <c r="CR73" i="2"/>
  <c r="CU73" i="2" s="1"/>
  <c r="CS73" i="2"/>
  <c r="CV73" i="2" s="1"/>
  <c r="CG73" i="2"/>
  <c r="CJ73" i="2" s="1"/>
  <c r="BL73" i="2"/>
  <c r="BO73" i="2" s="1"/>
  <c r="CF73" i="2"/>
  <c r="CI73" i="2" s="1"/>
  <c r="BT73" i="2"/>
  <c r="BW73" i="2" s="1"/>
  <c r="BK73" i="2"/>
  <c r="BN73" i="2" s="1"/>
  <c r="BC73" i="2"/>
  <c r="BF73" i="2" s="1"/>
  <c r="BB73" i="2"/>
  <c r="BE73" i="2" s="1"/>
  <c r="BU73" i="2"/>
  <c r="BX73" i="2" s="1"/>
  <c r="AJ72" i="2"/>
  <c r="AD72" i="2"/>
  <c r="AK72" i="2"/>
  <c r="Y72" i="2"/>
  <c r="AE72" i="2"/>
  <c r="X72" i="2"/>
  <c r="S72" i="2"/>
  <c r="G72" i="2"/>
  <c r="R72" i="2"/>
  <c r="F72" i="2"/>
  <c r="L72" i="2"/>
  <c r="M72" i="2"/>
  <c r="AT72" i="2"/>
  <c r="AW72" i="2" s="1"/>
  <c r="AS72" i="2"/>
  <c r="AV72" i="2" s="1"/>
  <c r="BV71" i="2"/>
  <c r="CH71" i="2"/>
  <c r="BD71" i="2"/>
  <c r="AU71" i="2"/>
  <c r="CT71" i="2"/>
  <c r="Q72" i="2"/>
  <c r="C72" i="2"/>
  <c r="W72" i="2"/>
  <c r="D72" i="2"/>
  <c r="E72" i="2"/>
  <c r="B72" i="2"/>
  <c r="CE72" i="2"/>
  <c r="CQ72" i="2"/>
  <c r="K72" i="2"/>
  <c r="AC72" i="2"/>
  <c r="BJ72" i="2"/>
  <c r="AR72" i="2"/>
  <c r="AI72" i="2"/>
  <c r="BS72" i="2"/>
  <c r="BA72" i="2"/>
  <c r="BM71" i="2"/>
  <c r="BB47" i="1"/>
  <c r="BA47" i="1"/>
  <c r="AZ47" i="1"/>
  <c r="AU47" i="1"/>
  <c r="AV47" i="1"/>
  <c r="AT47" i="1"/>
  <c r="AG47" i="1"/>
  <c r="AE47" i="1"/>
  <c r="AF47" i="1"/>
  <c r="AK47" i="1"/>
  <c r="AL47" i="1"/>
  <c r="AJ47" i="1"/>
  <c r="AP47" i="1"/>
  <c r="AQ47" i="1"/>
  <c r="AO47" i="1"/>
  <c r="O48" i="1"/>
  <c r="S48" i="1"/>
  <c r="C48" i="1"/>
  <c r="G48" i="1"/>
  <c r="E48" i="1"/>
  <c r="F48" i="1"/>
  <c r="A49" i="1"/>
  <c r="BE49" i="1" s="1"/>
  <c r="B48" i="1"/>
  <c r="N48" i="1"/>
  <c r="Q48" i="1"/>
  <c r="D48" i="1"/>
  <c r="M48" i="1"/>
  <c r="R48" i="1"/>
  <c r="AS48" i="1"/>
  <c r="AI48" i="1"/>
  <c r="K48" i="1"/>
  <c r="V48" i="1"/>
  <c r="AY48" i="1"/>
  <c r="J48" i="1"/>
  <c r="W48" i="1"/>
  <c r="Z48" i="1"/>
  <c r="U48" i="1"/>
  <c r="AA48" i="1"/>
  <c r="AN48" i="1"/>
  <c r="Y48" i="1"/>
  <c r="I48" i="1"/>
  <c r="AD48" i="1"/>
  <c r="L66" i="5" l="1"/>
  <c r="C66" i="5"/>
  <c r="Q66" i="5"/>
  <c r="D66" i="5"/>
  <c r="P66" i="5"/>
  <c r="B66" i="5"/>
  <c r="M66" i="5"/>
  <c r="E66" i="5"/>
  <c r="A67" i="5"/>
  <c r="AJ66" i="5"/>
  <c r="AM66" i="5" s="1"/>
  <c r="AK66" i="5"/>
  <c r="BL66" i="5"/>
  <c r="BO66" i="5" s="1"/>
  <c r="X66" i="5"/>
  <c r="AV66" i="5"/>
  <c r="AY66" i="5" s="1"/>
  <c r="AD66" i="5"/>
  <c r="AG66" i="5" s="1"/>
  <c r="U66" i="5"/>
  <c r="AQ66" i="5"/>
  <c r="BD66" i="5"/>
  <c r="BG66" i="5" s="1"/>
  <c r="AP66" i="5"/>
  <c r="AS66" i="5" s="1"/>
  <c r="T66" i="5"/>
  <c r="AE66" i="5"/>
  <c r="AW66" i="5"/>
  <c r="AZ66" i="5" s="1"/>
  <c r="H66" i="5"/>
  <c r="I66" i="5"/>
  <c r="BE66" i="5"/>
  <c r="BH66" i="5" s="1"/>
  <c r="BM66" i="5"/>
  <c r="BP66" i="5" s="1"/>
  <c r="Y66" i="5"/>
  <c r="AD57" i="4"/>
  <c r="T57" i="4"/>
  <c r="Q57" i="4"/>
  <c r="W57" i="4"/>
  <c r="A59" i="4"/>
  <c r="G58" i="4"/>
  <c r="C58" i="4"/>
  <c r="B58" i="4"/>
  <c r="I58" i="4"/>
  <c r="S58" i="4"/>
  <c r="AG58" i="4"/>
  <c r="P58" i="4"/>
  <c r="Y58" i="4"/>
  <c r="AC58" i="4"/>
  <c r="M58" i="4"/>
  <c r="K58" i="4"/>
  <c r="E58" i="4"/>
  <c r="V58" i="4"/>
  <c r="AH57" i="4"/>
  <c r="Z57" i="4"/>
  <c r="AC59" i="3"/>
  <c r="AB59" i="3"/>
  <c r="AG59" i="3"/>
  <c r="AF59" i="3"/>
  <c r="X59" i="3"/>
  <c r="Y59" i="3"/>
  <c r="AU59" i="3"/>
  <c r="AT59" i="3"/>
  <c r="AO59" i="3"/>
  <c r="AP59" i="3"/>
  <c r="K60" i="3"/>
  <c r="E60" i="3"/>
  <c r="A61" i="3"/>
  <c r="J60" i="3"/>
  <c r="D60" i="3"/>
  <c r="N60" i="3"/>
  <c r="M60" i="3"/>
  <c r="B60" i="3"/>
  <c r="C60" i="3"/>
  <c r="AE60" i="3"/>
  <c r="Q60" i="3"/>
  <c r="T60" i="3"/>
  <c r="AN60" i="3"/>
  <c r="H60" i="3"/>
  <c r="AI60" i="3"/>
  <c r="AS60" i="3"/>
  <c r="P60" i="3"/>
  <c r="AA60" i="3"/>
  <c r="S60" i="3"/>
  <c r="G60" i="3"/>
  <c r="W60" i="3"/>
  <c r="AJ59" i="3"/>
  <c r="AK59" i="3"/>
  <c r="BF49" i="1"/>
  <c r="BH49" i="1"/>
  <c r="BG49" i="1"/>
  <c r="A75" i="2"/>
  <c r="CG74" i="2"/>
  <c r="CJ74" i="2" s="1"/>
  <c r="BU74" i="2"/>
  <c r="BX74" i="2" s="1"/>
  <c r="CS74" i="2"/>
  <c r="CV74" i="2" s="1"/>
  <c r="CR74" i="2"/>
  <c r="CU74" i="2" s="1"/>
  <c r="CF74" i="2"/>
  <c r="CI74" i="2" s="1"/>
  <c r="BK74" i="2"/>
  <c r="BN74" i="2" s="1"/>
  <c r="BB74" i="2"/>
  <c r="BE74" i="2" s="1"/>
  <c r="BT74" i="2"/>
  <c r="BW74" i="2" s="1"/>
  <c r="BL74" i="2"/>
  <c r="BO74" i="2" s="1"/>
  <c r="BC74" i="2"/>
  <c r="BF74" i="2" s="1"/>
  <c r="AE73" i="2"/>
  <c r="AK73" i="2"/>
  <c r="Y73" i="2"/>
  <c r="G73" i="2"/>
  <c r="L73" i="2"/>
  <c r="AJ73" i="2"/>
  <c r="AD73" i="2"/>
  <c r="S73" i="2"/>
  <c r="R73" i="2"/>
  <c r="F73" i="2"/>
  <c r="X73" i="2"/>
  <c r="M73" i="2"/>
  <c r="AS73" i="2"/>
  <c r="AV73" i="2" s="1"/>
  <c r="AT73" i="2"/>
  <c r="AW73" i="2" s="1"/>
  <c r="CH72" i="2"/>
  <c r="BM72" i="2"/>
  <c r="AU72" i="2"/>
  <c r="BD72" i="2"/>
  <c r="E73" i="2"/>
  <c r="D73" i="2"/>
  <c r="Q73" i="2"/>
  <c r="W73" i="2"/>
  <c r="C73" i="2"/>
  <c r="B73" i="2"/>
  <c r="AR73" i="2"/>
  <c r="AI73" i="2"/>
  <c r="BA73" i="2"/>
  <c r="BJ73" i="2"/>
  <c r="BS73" i="2"/>
  <c r="CE73" i="2"/>
  <c r="CQ73" i="2"/>
  <c r="AC73" i="2"/>
  <c r="K73" i="2"/>
  <c r="CT72" i="2"/>
  <c r="BV72" i="2"/>
  <c r="AO48" i="1"/>
  <c r="AQ48" i="1"/>
  <c r="AP48" i="1"/>
  <c r="AE48" i="1"/>
  <c r="AF48" i="1"/>
  <c r="AG48" i="1"/>
  <c r="AL48" i="1"/>
  <c r="AK48" i="1"/>
  <c r="AJ48" i="1"/>
  <c r="C49" i="1"/>
  <c r="N49" i="1"/>
  <c r="S49" i="1"/>
  <c r="E49" i="1"/>
  <c r="A50" i="1"/>
  <c r="BE50" i="1" s="1"/>
  <c r="M49" i="1"/>
  <c r="B49" i="1"/>
  <c r="Q49" i="1"/>
  <c r="R49" i="1"/>
  <c r="F49" i="1"/>
  <c r="D49" i="1"/>
  <c r="G49" i="1"/>
  <c r="O49" i="1"/>
  <c r="Z49" i="1"/>
  <c r="J49" i="1"/>
  <c r="U49" i="1"/>
  <c r="AD49" i="1"/>
  <c r="AA49" i="1"/>
  <c r="Y49" i="1"/>
  <c r="AN49" i="1"/>
  <c r="W49" i="1"/>
  <c r="I49" i="1"/>
  <c r="AS49" i="1"/>
  <c r="AY49" i="1"/>
  <c r="K49" i="1"/>
  <c r="V49" i="1"/>
  <c r="AI49" i="1"/>
  <c r="AZ48" i="1"/>
  <c r="BB48" i="1"/>
  <c r="BA48" i="1"/>
  <c r="AU48" i="1"/>
  <c r="AT48" i="1"/>
  <c r="AV48" i="1"/>
  <c r="Q67" i="5" l="1"/>
  <c r="C67" i="5"/>
  <c r="L67" i="5"/>
  <c r="B67" i="5"/>
  <c r="P67" i="5"/>
  <c r="D67" i="5"/>
  <c r="M67" i="5"/>
  <c r="A68" i="5"/>
  <c r="E67" i="5"/>
  <c r="X67" i="5"/>
  <c r="AE67" i="5"/>
  <c r="AK67" i="5"/>
  <c r="BD67" i="5"/>
  <c r="BG67" i="5" s="1"/>
  <c r="AV67" i="5"/>
  <c r="AY67" i="5" s="1"/>
  <c r="AJ67" i="5"/>
  <c r="AM67" i="5" s="1"/>
  <c r="BL67" i="5"/>
  <c r="BO67" i="5" s="1"/>
  <c r="AW67" i="5"/>
  <c r="AZ67" i="5" s="1"/>
  <c r="AQ67" i="5"/>
  <c r="I67" i="5"/>
  <c r="H67" i="5"/>
  <c r="T67" i="5"/>
  <c r="AD67" i="5"/>
  <c r="AG67" i="5" s="1"/>
  <c r="AP67" i="5"/>
  <c r="AS67" i="5" s="1"/>
  <c r="U67" i="5"/>
  <c r="BM67" i="5"/>
  <c r="BP67" i="5" s="1"/>
  <c r="Y67" i="5"/>
  <c r="BE67" i="5"/>
  <c r="BH67" i="5" s="1"/>
  <c r="T58" i="4"/>
  <c r="W58" i="4"/>
  <c r="AD58" i="4"/>
  <c r="A60" i="4"/>
  <c r="I59" i="4"/>
  <c r="C59" i="4"/>
  <c r="B59" i="4"/>
  <c r="G59" i="4"/>
  <c r="E59" i="4"/>
  <c r="V59" i="4"/>
  <c r="K59" i="4"/>
  <c r="S59" i="4"/>
  <c r="AC59" i="4"/>
  <c r="Y59" i="4"/>
  <c r="M59" i="4"/>
  <c r="P59" i="4"/>
  <c r="AG59" i="4"/>
  <c r="Z58" i="4"/>
  <c r="Q58" i="4"/>
  <c r="AH58" i="4"/>
  <c r="AJ60" i="3"/>
  <c r="AK60" i="3"/>
  <c r="M61" i="3"/>
  <c r="B61" i="3"/>
  <c r="E61" i="3"/>
  <c r="N61" i="3"/>
  <c r="D61" i="3"/>
  <c r="K61" i="3"/>
  <c r="C61" i="3"/>
  <c r="J61" i="3"/>
  <c r="A62" i="3"/>
  <c r="P61" i="3"/>
  <c r="S61" i="3"/>
  <c r="AE61" i="3"/>
  <c r="W61" i="3"/>
  <c r="AA61" i="3"/>
  <c r="AS61" i="3"/>
  <c r="Q61" i="3"/>
  <c r="AN61" i="3"/>
  <c r="G61" i="3"/>
  <c r="T61" i="3"/>
  <c r="H61" i="3"/>
  <c r="AI61" i="3"/>
  <c r="AG60" i="3"/>
  <c r="AF60" i="3"/>
  <c r="AP60" i="3"/>
  <c r="AO60" i="3"/>
  <c r="AC60" i="3"/>
  <c r="AB60" i="3"/>
  <c r="X60" i="3"/>
  <c r="Y60" i="3"/>
  <c r="AT60" i="3"/>
  <c r="AU60" i="3"/>
  <c r="BF50" i="1"/>
  <c r="BH50" i="1"/>
  <c r="BG50" i="1"/>
  <c r="CR75" i="2"/>
  <c r="CU75" i="2" s="1"/>
  <c r="A76" i="2"/>
  <c r="CG75" i="2"/>
  <c r="CJ75" i="2" s="1"/>
  <c r="CS75" i="2"/>
  <c r="CV75" i="2" s="1"/>
  <c r="BT75" i="2"/>
  <c r="BW75" i="2" s="1"/>
  <c r="CF75" i="2"/>
  <c r="CI75" i="2" s="1"/>
  <c r="BL75" i="2"/>
  <c r="BO75" i="2" s="1"/>
  <c r="BB75" i="2"/>
  <c r="BE75" i="2" s="1"/>
  <c r="BU75" i="2"/>
  <c r="BX75" i="2" s="1"/>
  <c r="BK75" i="2"/>
  <c r="BN75" i="2" s="1"/>
  <c r="BC75" i="2"/>
  <c r="BF75" i="2" s="1"/>
  <c r="AJ74" i="2"/>
  <c r="AE74" i="2"/>
  <c r="S74" i="2"/>
  <c r="M74" i="2"/>
  <c r="AK74" i="2"/>
  <c r="F74" i="2"/>
  <c r="AD74" i="2"/>
  <c r="R74" i="2"/>
  <c r="L74" i="2"/>
  <c r="Y74" i="2"/>
  <c r="G74" i="2"/>
  <c r="X74" i="2"/>
  <c r="AT74" i="2"/>
  <c r="AW74" i="2" s="1"/>
  <c r="AS74" i="2"/>
  <c r="AV74" i="2" s="1"/>
  <c r="BV73" i="2"/>
  <c r="BM73" i="2"/>
  <c r="BD73" i="2"/>
  <c r="AU73" i="2"/>
  <c r="CT73" i="2"/>
  <c r="CH73" i="2"/>
  <c r="B74" i="2"/>
  <c r="Q74" i="2"/>
  <c r="E74" i="2"/>
  <c r="W74" i="2"/>
  <c r="D74" i="2"/>
  <c r="C74" i="2"/>
  <c r="CQ74" i="2"/>
  <c r="BA74" i="2"/>
  <c r="BJ74" i="2"/>
  <c r="BS74" i="2"/>
  <c r="AR74" i="2"/>
  <c r="AC74" i="2"/>
  <c r="CE74" i="2"/>
  <c r="AI74" i="2"/>
  <c r="K74" i="2"/>
  <c r="AU49" i="1"/>
  <c r="AV49" i="1"/>
  <c r="AT49" i="1"/>
  <c r="AG49" i="1"/>
  <c r="AE49" i="1"/>
  <c r="AF49" i="1"/>
  <c r="O50" i="1"/>
  <c r="S50" i="1"/>
  <c r="M50" i="1"/>
  <c r="B50" i="1"/>
  <c r="F50" i="1"/>
  <c r="D50" i="1"/>
  <c r="G50" i="1"/>
  <c r="N50" i="1"/>
  <c r="Q50" i="1"/>
  <c r="E50" i="1"/>
  <c r="R50" i="1"/>
  <c r="C50" i="1"/>
  <c r="A51" i="1"/>
  <c r="BE51" i="1" s="1"/>
  <c r="Z50" i="1"/>
  <c r="U50" i="1"/>
  <c r="AS50" i="1"/>
  <c r="AY50" i="1"/>
  <c r="J50" i="1"/>
  <c r="AA50" i="1"/>
  <c r="AI50" i="1"/>
  <c r="K50" i="1"/>
  <c r="V50" i="1"/>
  <c r="AD50" i="1"/>
  <c r="Y50" i="1"/>
  <c r="I50" i="1"/>
  <c r="W50" i="1"/>
  <c r="AN50" i="1"/>
  <c r="AL49" i="1"/>
  <c r="AJ49" i="1"/>
  <c r="AK49" i="1"/>
  <c r="BA49" i="1"/>
  <c r="AZ49" i="1"/>
  <c r="BB49" i="1"/>
  <c r="AP49" i="1"/>
  <c r="AO49" i="1"/>
  <c r="AQ49" i="1"/>
  <c r="A69" i="5" l="1"/>
  <c r="L68" i="5"/>
  <c r="D68" i="5"/>
  <c r="C68" i="5"/>
  <c r="B68" i="5"/>
  <c r="M68" i="5"/>
  <c r="Q68" i="5"/>
  <c r="E68" i="5"/>
  <c r="P68" i="5"/>
  <c r="AE68" i="5"/>
  <c r="X68" i="5"/>
  <c r="AD68" i="5"/>
  <c r="AG68" i="5" s="1"/>
  <c r="AJ68" i="5"/>
  <c r="AM68" i="5" s="1"/>
  <c r="BL68" i="5"/>
  <c r="BO68" i="5" s="1"/>
  <c r="AV68" i="5"/>
  <c r="AY68" i="5" s="1"/>
  <c r="AW68" i="5"/>
  <c r="AZ68" i="5" s="1"/>
  <c r="BD68" i="5"/>
  <c r="BG68" i="5" s="1"/>
  <c r="I68" i="5"/>
  <c r="AK68" i="5"/>
  <c r="U68" i="5"/>
  <c r="H68" i="5"/>
  <c r="AP68" i="5"/>
  <c r="AS68" i="5" s="1"/>
  <c r="AQ68" i="5"/>
  <c r="T68" i="5"/>
  <c r="BM68" i="5"/>
  <c r="BP68" i="5" s="1"/>
  <c r="BE68" i="5"/>
  <c r="BH68" i="5" s="1"/>
  <c r="Y68" i="5"/>
  <c r="W59" i="4"/>
  <c r="Z59" i="4"/>
  <c r="AH59" i="4"/>
  <c r="AD59" i="4"/>
  <c r="Q59" i="4"/>
  <c r="T59" i="4"/>
  <c r="C60" i="4"/>
  <c r="I60" i="4"/>
  <c r="B60" i="4"/>
  <c r="A61" i="4"/>
  <c r="G60" i="4"/>
  <c r="P60" i="4"/>
  <c r="Y60" i="4"/>
  <c r="AC60" i="4"/>
  <c r="S60" i="4"/>
  <c r="AG60" i="4"/>
  <c r="V60" i="4"/>
  <c r="K60" i="4"/>
  <c r="E60" i="4"/>
  <c r="M60" i="4"/>
  <c r="AB61" i="3"/>
  <c r="AC61" i="3"/>
  <c r="AF61" i="3"/>
  <c r="AG61" i="3"/>
  <c r="N62" i="3"/>
  <c r="C62" i="3"/>
  <c r="M62" i="3"/>
  <c r="E62" i="3"/>
  <c r="D62" i="3"/>
  <c r="B62" i="3"/>
  <c r="A63" i="3"/>
  <c r="K62" i="3"/>
  <c r="J62" i="3"/>
  <c r="AI62" i="3"/>
  <c r="Q62" i="3"/>
  <c r="AE62" i="3"/>
  <c r="H62" i="3"/>
  <c r="G62" i="3"/>
  <c r="AA62" i="3"/>
  <c r="AS62" i="3"/>
  <c r="T62" i="3"/>
  <c r="S62" i="3"/>
  <c r="AN62" i="3"/>
  <c r="W62" i="3"/>
  <c r="P62" i="3"/>
  <c r="AP61" i="3"/>
  <c r="AO61" i="3"/>
  <c r="Y61" i="3"/>
  <c r="X61" i="3"/>
  <c r="AK61" i="3"/>
  <c r="AJ61" i="3"/>
  <c r="AT61" i="3"/>
  <c r="AU61" i="3"/>
  <c r="BG51" i="1"/>
  <c r="BF51" i="1"/>
  <c r="BH51" i="1"/>
  <c r="CS76" i="2"/>
  <c r="CV76" i="2" s="1"/>
  <c r="CR76" i="2"/>
  <c r="CU76" i="2" s="1"/>
  <c r="BU76" i="2"/>
  <c r="BX76" i="2" s="1"/>
  <c r="BT76" i="2"/>
  <c r="BW76" i="2" s="1"/>
  <c r="A77" i="2"/>
  <c r="CG76" i="2"/>
  <c r="CJ76" i="2" s="1"/>
  <c r="CF76" i="2"/>
  <c r="CI76" i="2" s="1"/>
  <c r="BC76" i="2"/>
  <c r="BF76" i="2" s="1"/>
  <c r="BL76" i="2"/>
  <c r="BO76" i="2" s="1"/>
  <c r="BB76" i="2"/>
  <c r="BE76" i="2" s="1"/>
  <c r="BK76" i="2"/>
  <c r="BN76" i="2" s="1"/>
  <c r="AD75" i="2"/>
  <c r="AE75" i="2"/>
  <c r="AJ75" i="2"/>
  <c r="M75" i="2"/>
  <c r="G75" i="2"/>
  <c r="Y75" i="2"/>
  <c r="L75" i="2"/>
  <c r="F75" i="2"/>
  <c r="X75" i="2"/>
  <c r="AK75" i="2"/>
  <c r="S75" i="2"/>
  <c r="R75" i="2"/>
  <c r="AS75" i="2"/>
  <c r="AV75" i="2" s="1"/>
  <c r="AT75" i="2"/>
  <c r="AW75" i="2" s="1"/>
  <c r="BV74" i="2"/>
  <c r="B75" i="2"/>
  <c r="C75" i="2"/>
  <c r="W75" i="2"/>
  <c r="Q75" i="2"/>
  <c r="E75" i="2"/>
  <c r="D75" i="2"/>
  <c r="BS75" i="2"/>
  <c r="CE75" i="2"/>
  <c r="AI75" i="2"/>
  <c r="CQ75" i="2"/>
  <c r="K75" i="2"/>
  <c r="AR75" i="2"/>
  <c r="BJ75" i="2"/>
  <c r="BA75" i="2"/>
  <c r="AC75" i="2"/>
  <c r="BM74" i="2"/>
  <c r="CT74" i="2"/>
  <c r="AU74" i="2"/>
  <c r="CH74" i="2"/>
  <c r="BD74" i="2"/>
  <c r="BB50" i="1"/>
  <c r="AZ50" i="1"/>
  <c r="BA50" i="1"/>
  <c r="G51" i="1"/>
  <c r="Q51" i="1"/>
  <c r="S51" i="1"/>
  <c r="E51" i="1"/>
  <c r="N51" i="1"/>
  <c r="A52" i="1"/>
  <c r="BE52" i="1" s="1"/>
  <c r="M51" i="1"/>
  <c r="B51" i="1"/>
  <c r="D51" i="1"/>
  <c r="C51" i="1"/>
  <c r="R51" i="1"/>
  <c r="F51" i="1"/>
  <c r="O51" i="1"/>
  <c r="V51" i="1"/>
  <c r="AA51" i="1"/>
  <c r="Y51" i="1"/>
  <c r="AN51" i="1"/>
  <c r="K51" i="1"/>
  <c r="U51" i="1"/>
  <c r="AS51" i="1"/>
  <c r="AY51" i="1"/>
  <c r="W51" i="1"/>
  <c r="AI51" i="1"/>
  <c r="AD51" i="1"/>
  <c r="I51" i="1"/>
  <c r="Z51" i="1"/>
  <c r="J51" i="1"/>
  <c r="AL50" i="1"/>
  <c r="AK50" i="1"/>
  <c r="AJ50" i="1"/>
  <c r="AT50" i="1"/>
  <c r="AU50" i="1"/>
  <c r="AV50" i="1"/>
  <c r="AO50" i="1"/>
  <c r="AQ50" i="1"/>
  <c r="AP50" i="1"/>
  <c r="AF50" i="1"/>
  <c r="AE50" i="1"/>
  <c r="AG50" i="1"/>
  <c r="C69" i="5" l="1"/>
  <c r="A70" i="5"/>
  <c r="B69" i="5"/>
  <c r="E69" i="5"/>
  <c r="P69" i="5"/>
  <c r="M69" i="5"/>
  <c r="L69" i="5"/>
  <c r="Q69" i="5"/>
  <c r="D69" i="5"/>
  <c r="AJ69" i="5"/>
  <c r="AM69" i="5" s="1"/>
  <c r="AV69" i="5"/>
  <c r="AY69" i="5" s="1"/>
  <c r="AE69" i="5"/>
  <c r="AK69" i="5"/>
  <c r="BD69" i="5"/>
  <c r="BG69" i="5" s="1"/>
  <c r="X69" i="5"/>
  <c r="AD69" i="5"/>
  <c r="AG69" i="5" s="1"/>
  <c r="BL69" i="5"/>
  <c r="BO69" i="5" s="1"/>
  <c r="I69" i="5"/>
  <c r="H69" i="5"/>
  <c r="BE69" i="5"/>
  <c r="BH69" i="5" s="1"/>
  <c r="T69" i="5"/>
  <c r="U69" i="5"/>
  <c r="AQ69" i="5"/>
  <c r="AP69" i="5"/>
  <c r="AS69" i="5" s="1"/>
  <c r="AW69" i="5"/>
  <c r="AZ69" i="5" s="1"/>
  <c r="BM69" i="5"/>
  <c r="BP69" i="5" s="1"/>
  <c r="Y69" i="5"/>
  <c r="AD60" i="4"/>
  <c r="T60" i="4"/>
  <c r="Z60" i="4"/>
  <c r="A62" i="4"/>
  <c r="I61" i="4"/>
  <c r="C61" i="4"/>
  <c r="G61" i="4"/>
  <c r="B61" i="4"/>
  <c r="Y61" i="4"/>
  <c r="AC61" i="4"/>
  <c r="S61" i="4"/>
  <c r="AG61" i="4"/>
  <c r="P61" i="4"/>
  <c r="V61" i="4"/>
  <c r="M61" i="4"/>
  <c r="K61" i="4"/>
  <c r="E61" i="4"/>
  <c r="W60" i="4"/>
  <c r="Q60" i="4"/>
  <c r="AH60" i="4"/>
  <c r="AG62" i="3"/>
  <c r="AF62" i="3"/>
  <c r="K63" i="3"/>
  <c r="E63" i="3"/>
  <c r="A64" i="3"/>
  <c r="J63" i="3"/>
  <c r="D63" i="3"/>
  <c r="M63" i="3"/>
  <c r="C63" i="3"/>
  <c r="N63" i="3"/>
  <c r="B63" i="3"/>
  <c r="T63" i="3"/>
  <c r="AE63" i="3"/>
  <c r="AA63" i="3"/>
  <c r="Q63" i="3"/>
  <c r="P63" i="3"/>
  <c r="S63" i="3"/>
  <c r="AN63" i="3"/>
  <c r="AS63" i="3"/>
  <c r="G63" i="3"/>
  <c r="W63" i="3"/>
  <c r="AI63" i="3"/>
  <c r="H63" i="3"/>
  <c r="AU62" i="3"/>
  <c r="AT62" i="3"/>
  <c r="AB62" i="3"/>
  <c r="AC62" i="3"/>
  <c r="X62" i="3"/>
  <c r="Y62" i="3"/>
  <c r="AJ62" i="3"/>
  <c r="AK62" i="3"/>
  <c r="AO62" i="3"/>
  <c r="AP62" i="3"/>
  <c r="BH52" i="1"/>
  <c r="BG52" i="1"/>
  <c r="BF52" i="1"/>
  <c r="A78" i="2"/>
  <c r="CR77" i="2"/>
  <c r="CU77" i="2" s="1"/>
  <c r="BT77" i="2"/>
  <c r="BW77" i="2" s="1"/>
  <c r="CG77" i="2"/>
  <c r="CJ77" i="2" s="1"/>
  <c r="BK77" i="2"/>
  <c r="BN77" i="2" s="1"/>
  <c r="CF77" i="2"/>
  <c r="CI77" i="2" s="1"/>
  <c r="CS77" i="2"/>
  <c r="CV77" i="2" s="1"/>
  <c r="BU77" i="2"/>
  <c r="BX77" i="2" s="1"/>
  <c r="BL77" i="2"/>
  <c r="BO77" i="2" s="1"/>
  <c r="BC77" i="2"/>
  <c r="BF77" i="2" s="1"/>
  <c r="BB77" i="2"/>
  <c r="BE77" i="2" s="1"/>
  <c r="AJ76" i="2"/>
  <c r="AD76" i="2"/>
  <c r="AK76" i="2"/>
  <c r="Y76" i="2"/>
  <c r="R76" i="2"/>
  <c r="X76" i="2"/>
  <c r="M76" i="2"/>
  <c r="L76" i="2"/>
  <c r="AE76" i="2"/>
  <c r="S76" i="2"/>
  <c r="G76" i="2"/>
  <c r="F76" i="2"/>
  <c r="AS76" i="2"/>
  <c r="AV76" i="2" s="1"/>
  <c r="AT76" i="2"/>
  <c r="AW76" i="2" s="1"/>
  <c r="BD75" i="2"/>
  <c r="BM75" i="2"/>
  <c r="CH75" i="2"/>
  <c r="Q76" i="2"/>
  <c r="C76" i="2"/>
  <c r="W76" i="2"/>
  <c r="D76" i="2"/>
  <c r="B76" i="2"/>
  <c r="E76" i="2"/>
  <c r="AC76" i="2"/>
  <c r="AI76" i="2"/>
  <c r="K76" i="2"/>
  <c r="AR76" i="2"/>
  <c r="CE76" i="2"/>
  <c r="BJ76" i="2"/>
  <c r="BS76" i="2"/>
  <c r="BA76" i="2"/>
  <c r="CQ76" i="2"/>
  <c r="CT75" i="2"/>
  <c r="AU75" i="2"/>
  <c r="BV75" i="2"/>
  <c r="BB51" i="1"/>
  <c r="AZ51" i="1"/>
  <c r="BA51" i="1"/>
  <c r="AO51" i="1"/>
  <c r="AQ51" i="1"/>
  <c r="AP51" i="1"/>
  <c r="AE51" i="1"/>
  <c r="AF51" i="1"/>
  <c r="AG51" i="1"/>
  <c r="AT51" i="1"/>
  <c r="AV51" i="1"/>
  <c r="AU51" i="1"/>
  <c r="AK51" i="1"/>
  <c r="AJ51" i="1"/>
  <c r="AL51" i="1"/>
  <c r="O52" i="1"/>
  <c r="S52" i="1"/>
  <c r="C52" i="1"/>
  <c r="D52" i="1"/>
  <c r="M52" i="1"/>
  <c r="G52" i="1"/>
  <c r="N52" i="1"/>
  <c r="Q52" i="1"/>
  <c r="R52" i="1"/>
  <c r="E52" i="1"/>
  <c r="F52" i="1"/>
  <c r="A53" i="1"/>
  <c r="BE53" i="1" s="1"/>
  <c r="B52" i="1"/>
  <c r="AS52" i="1"/>
  <c r="AI52" i="1"/>
  <c r="K52" i="1"/>
  <c r="V52" i="1"/>
  <c r="AY52" i="1"/>
  <c r="J52" i="1"/>
  <c r="AD52" i="1"/>
  <c r="Y52" i="1"/>
  <c r="AA52" i="1"/>
  <c r="AN52" i="1"/>
  <c r="I52" i="1"/>
  <c r="Z52" i="1"/>
  <c r="W52" i="1"/>
  <c r="U52" i="1"/>
  <c r="Q70" i="5" l="1"/>
  <c r="C70" i="5"/>
  <c r="B70" i="5"/>
  <c r="A71" i="5"/>
  <c r="L70" i="5"/>
  <c r="E70" i="5"/>
  <c r="P70" i="5"/>
  <c r="D70" i="5"/>
  <c r="M70" i="5"/>
  <c r="AJ70" i="5"/>
  <c r="AM70" i="5" s="1"/>
  <c r="BD70" i="5"/>
  <c r="BG70" i="5" s="1"/>
  <c r="X70" i="5"/>
  <c r="AD70" i="5"/>
  <c r="AG70" i="5" s="1"/>
  <c r="BL70" i="5"/>
  <c r="BO70" i="5" s="1"/>
  <c r="AV70" i="5"/>
  <c r="AY70" i="5" s="1"/>
  <c r="U70" i="5"/>
  <c r="AP70" i="5"/>
  <c r="AS70" i="5" s="1"/>
  <c r="AQ70" i="5"/>
  <c r="AE70" i="5"/>
  <c r="AK70" i="5"/>
  <c r="I70" i="5"/>
  <c r="H70" i="5"/>
  <c r="T70" i="5"/>
  <c r="Y70" i="5"/>
  <c r="BM70" i="5"/>
  <c r="BP70" i="5" s="1"/>
  <c r="AW70" i="5"/>
  <c r="AZ70" i="5" s="1"/>
  <c r="BE70" i="5"/>
  <c r="BH70" i="5" s="1"/>
  <c r="T61" i="4"/>
  <c r="AD61" i="4"/>
  <c r="Z61" i="4"/>
  <c r="W61" i="4"/>
  <c r="Q61" i="4"/>
  <c r="AH61" i="4"/>
  <c r="I62" i="4"/>
  <c r="B62" i="4"/>
  <c r="A63" i="4"/>
  <c r="G62" i="4"/>
  <c r="C62" i="4"/>
  <c r="S62" i="4"/>
  <c r="AG62" i="4"/>
  <c r="AC62" i="4"/>
  <c r="E62" i="4"/>
  <c r="M62" i="4"/>
  <c r="K62" i="4"/>
  <c r="Y62" i="4"/>
  <c r="V62" i="4"/>
  <c r="P62" i="4"/>
  <c r="AF63" i="3"/>
  <c r="AG63" i="3"/>
  <c r="X63" i="3"/>
  <c r="Y63" i="3"/>
  <c r="AJ63" i="3"/>
  <c r="AK63" i="3"/>
  <c r="AT63" i="3"/>
  <c r="AU63" i="3"/>
  <c r="AP63" i="3"/>
  <c r="AO63" i="3"/>
  <c r="M64" i="3"/>
  <c r="B64" i="3"/>
  <c r="K64" i="3"/>
  <c r="A65" i="3"/>
  <c r="J64" i="3"/>
  <c r="C64" i="3"/>
  <c r="E64" i="3"/>
  <c r="N64" i="3"/>
  <c r="D64" i="3"/>
  <c r="Q64" i="3"/>
  <c r="P64" i="3"/>
  <c r="G64" i="3"/>
  <c r="AE64" i="3"/>
  <c r="AS64" i="3"/>
  <c r="S64" i="3"/>
  <c r="T64" i="3"/>
  <c r="H64" i="3"/>
  <c r="AI64" i="3"/>
  <c r="AN64" i="3"/>
  <c r="W64" i="3"/>
  <c r="AA64" i="3"/>
  <c r="AC63" i="3"/>
  <c r="AB63" i="3"/>
  <c r="BF53" i="1"/>
  <c r="BH53" i="1"/>
  <c r="BG53" i="1"/>
  <c r="CR78" i="2"/>
  <c r="CU78" i="2" s="1"/>
  <c r="A79" i="2"/>
  <c r="CG78" i="2"/>
  <c r="CJ78" i="2" s="1"/>
  <c r="BU78" i="2"/>
  <c r="BX78" i="2" s="1"/>
  <c r="CF78" i="2"/>
  <c r="CI78" i="2" s="1"/>
  <c r="CS78" i="2"/>
  <c r="CV78" i="2" s="1"/>
  <c r="BK78" i="2"/>
  <c r="BN78" i="2" s="1"/>
  <c r="BB78" i="2"/>
  <c r="BE78" i="2" s="1"/>
  <c r="BL78" i="2"/>
  <c r="BO78" i="2" s="1"/>
  <c r="BT78" i="2"/>
  <c r="BW78" i="2" s="1"/>
  <c r="BC78" i="2"/>
  <c r="BF78" i="2" s="1"/>
  <c r="AJ77" i="2"/>
  <c r="Y77" i="2"/>
  <c r="X77" i="2"/>
  <c r="G77" i="2"/>
  <c r="M77" i="2"/>
  <c r="L77" i="2"/>
  <c r="AK77" i="2"/>
  <c r="AE77" i="2"/>
  <c r="AD77" i="2"/>
  <c r="S77" i="2"/>
  <c r="F77" i="2"/>
  <c r="R77" i="2"/>
  <c r="AT77" i="2"/>
  <c r="AW77" i="2" s="1"/>
  <c r="AS77" i="2"/>
  <c r="AV77" i="2" s="1"/>
  <c r="CH76" i="2"/>
  <c r="CT76" i="2"/>
  <c r="AU76" i="2"/>
  <c r="E77" i="2"/>
  <c r="W77" i="2"/>
  <c r="C77" i="2"/>
  <c r="Q77" i="2"/>
  <c r="D77" i="2"/>
  <c r="B77" i="2"/>
  <c r="K77" i="2"/>
  <c r="AI77" i="2"/>
  <c r="BJ77" i="2"/>
  <c r="CE77" i="2"/>
  <c r="BA77" i="2"/>
  <c r="AC77" i="2"/>
  <c r="CQ77" i="2"/>
  <c r="BS77" i="2"/>
  <c r="AR77" i="2"/>
  <c r="BD76" i="2"/>
  <c r="BM76" i="2"/>
  <c r="BV76" i="2"/>
  <c r="AE52" i="1"/>
  <c r="AF52" i="1"/>
  <c r="AG52" i="1"/>
  <c r="C53" i="1"/>
  <c r="N53" i="1"/>
  <c r="S53" i="1"/>
  <c r="E53" i="1"/>
  <c r="A54" i="1"/>
  <c r="BE54" i="1" s="1"/>
  <c r="O53" i="1"/>
  <c r="Q53" i="1"/>
  <c r="R53" i="1"/>
  <c r="F53" i="1"/>
  <c r="D53" i="1"/>
  <c r="M53" i="1"/>
  <c r="B53" i="1"/>
  <c r="U53" i="1"/>
  <c r="G53" i="1"/>
  <c r="J53" i="1"/>
  <c r="Y53" i="1"/>
  <c r="I53" i="1"/>
  <c r="AN53" i="1"/>
  <c r="AA53" i="1"/>
  <c r="AY53" i="1"/>
  <c r="AI53" i="1"/>
  <c r="K53" i="1"/>
  <c r="V53" i="1"/>
  <c r="W53" i="1"/>
  <c r="Z53" i="1"/>
  <c r="AD53" i="1"/>
  <c r="AS53" i="1"/>
  <c r="AO52" i="1"/>
  <c r="AP52" i="1"/>
  <c r="AQ52" i="1"/>
  <c r="AL52" i="1"/>
  <c r="AK52" i="1"/>
  <c r="AJ52" i="1"/>
  <c r="BB52" i="1"/>
  <c r="BA52" i="1"/>
  <c r="AZ52" i="1"/>
  <c r="AU52" i="1"/>
  <c r="AT52" i="1"/>
  <c r="AV52" i="1"/>
  <c r="A72" i="5" l="1"/>
  <c r="L71" i="5"/>
  <c r="D71" i="5"/>
  <c r="B71" i="5"/>
  <c r="Q71" i="5"/>
  <c r="E71" i="5"/>
  <c r="P71" i="5"/>
  <c r="C71" i="5"/>
  <c r="M71" i="5"/>
  <c r="BD71" i="5"/>
  <c r="BG71" i="5" s="1"/>
  <c r="AD71" i="5"/>
  <c r="AG71" i="5" s="1"/>
  <c r="AE71" i="5"/>
  <c r="AJ71" i="5"/>
  <c r="AM71" i="5" s="1"/>
  <c r="AK71" i="5"/>
  <c r="AV71" i="5"/>
  <c r="AY71" i="5" s="1"/>
  <c r="X71" i="5"/>
  <c r="BL71" i="5"/>
  <c r="BO71" i="5" s="1"/>
  <c r="T71" i="5"/>
  <c r="U71" i="5"/>
  <c r="H71" i="5"/>
  <c r="I71" i="5"/>
  <c r="AQ71" i="5"/>
  <c r="AP71" i="5"/>
  <c r="AS71" i="5" s="1"/>
  <c r="BM71" i="5"/>
  <c r="BP71" i="5" s="1"/>
  <c r="AW71" i="5"/>
  <c r="AZ71" i="5" s="1"/>
  <c r="BE71" i="5"/>
  <c r="BH71" i="5" s="1"/>
  <c r="Y71" i="5"/>
  <c r="Z62" i="4"/>
  <c r="AD62" i="4"/>
  <c r="AH62" i="4"/>
  <c r="A64" i="4"/>
  <c r="I63" i="4"/>
  <c r="C63" i="4"/>
  <c r="G63" i="4"/>
  <c r="B63" i="4"/>
  <c r="K63" i="4"/>
  <c r="M63" i="4"/>
  <c r="P63" i="4"/>
  <c r="Y63" i="4"/>
  <c r="E63" i="4"/>
  <c r="S63" i="4"/>
  <c r="AC63" i="4"/>
  <c r="V63" i="4"/>
  <c r="AG63" i="4"/>
  <c r="T62" i="4"/>
  <c r="Q62" i="4"/>
  <c r="W62" i="4"/>
  <c r="Y64" i="3"/>
  <c r="X64" i="3"/>
  <c r="AT64" i="3"/>
  <c r="AU64" i="3"/>
  <c r="AO64" i="3"/>
  <c r="AP64" i="3"/>
  <c r="AK64" i="3"/>
  <c r="AJ64" i="3"/>
  <c r="AF64" i="3"/>
  <c r="AG64" i="3"/>
  <c r="N65" i="3"/>
  <c r="C65" i="3"/>
  <c r="K65" i="3"/>
  <c r="B65" i="3"/>
  <c r="A66" i="3"/>
  <c r="J65" i="3"/>
  <c r="M65" i="3"/>
  <c r="E65" i="3"/>
  <c r="D65" i="3"/>
  <c r="S65" i="3"/>
  <c r="G65" i="3"/>
  <c r="P65" i="3"/>
  <c r="AI65" i="3"/>
  <c r="AN65" i="3"/>
  <c r="Q65" i="3"/>
  <c r="AE65" i="3"/>
  <c r="H65" i="3"/>
  <c r="T65" i="3"/>
  <c r="W65" i="3"/>
  <c r="AS65" i="3"/>
  <c r="AA65" i="3"/>
  <c r="AC64" i="3"/>
  <c r="AB64" i="3"/>
  <c r="BG54" i="1"/>
  <c r="BF54" i="1"/>
  <c r="BH54" i="1"/>
  <c r="CR79" i="2"/>
  <c r="CU79" i="2" s="1"/>
  <c r="A80" i="2"/>
  <c r="CS79" i="2"/>
  <c r="CV79" i="2" s="1"/>
  <c r="CG79" i="2"/>
  <c r="CJ79" i="2" s="1"/>
  <c r="CF79" i="2"/>
  <c r="CI79" i="2" s="1"/>
  <c r="BU79" i="2"/>
  <c r="BX79" i="2" s="1"/>
  <c r="BT79" i="2"/>
  <c r="BW79" i="2" s="1"/>
  <c r="BC79" i="2"/>
  <c r="BF79" i="2" s="1"/>
  <c r="BB79" i="2"/>
  <c r="BE79" i="2" s="1"/>
  <c r="BL79" i="2"/>
  <c r="BO79" i="2" s="1"/>
  <c r="BK79" i="2"/>
  <c r="BN79" i="2" s="1"/>
  <c r="AD78" i="2"/>
  <c r="S78" i="2"/>
  <c r="M78" i="2"/>
  <c r="G78" i="2"/>
  <c r="R78" i="2"/>
  <c r="AK78" i="2"/>
  <c r="L78" i="2"/>
  <c r="AJ78" i="2"/>
  <c r="AE78" i="2"/>
  <c r="F78" i="2"/>
  <c r="Y78" i="2"/>
  <c r="X78" i="2"/>
  <c r="AS78" i="2"/>
  <c r="AV78" i="2" s="1"/>
  <c r="AT78" i="2"/>
  <c r="AW78" i="2" s="1"/>
  <c r="BV77" i="2"/>
  <c r="BM77" i="2"/>
  <c r="Q78" i="2"/>
  <c r="C78" i="2"/>
  <c r="B78" i="2"/>
  <c r="D78" i="2"/>
  <c r="W78" i="2"/>
  <c r="E78" i="2"/>
  <c r="BS78" i="2"/>
  <c r="AR78" i="2"/>
  <c r="AI78" i="2"/>
  <c r="CE78" i="2"/>
  <c r="CQ78" i="2"/>
  <c r="AC78" i="2"/>
  <c r="BJ78" i="2"/>
  <c r="BA78" i="2"/>
  <c r="K78" i="2"/>
  <c r="CH77" i="2"/>
  <c r="CT77" i="2"/>
  <c r="AU77" i="2"/>
  <c r="BD77" i="2"/>
  <c r="AL53" i="1"/>
  <c r="AJ53" i="1"/>
  <c r="AK53" i="1"/>
  <c r="AZ53" i="1"/>
  <c r="BB53" i="1"/>
  <c r="BA53" i="1"/>
  <c r="Z54" i="1"/>
  <c r="E54" i="1"/>
  <c r="I54" i="1"/>
  <c r="B54" i="1"/>
  <c r="R54" i="1"/>
  <c r="F54" i="1"/>
  <c r="M54" i="1"/>
  <c r="U54" i="1"/>
  <c r="Y54" i="1"/>
  <c r="D54" i="1"/>
  <c r="AY54" i="1"/>
  <c r="G54" i="1"/>
  <c r="AS54" i="1"/>
  <c r="W54" i="1"/>
  <c r="O54" i="1"/>
  <c r="S54" i="1"/>
  <c r="V54" i="1"/>
  <c r="AN54" i="1"/>
  <c r="AA54" i="1"/>
  <c r="C54" i="1"/>
  <c r="A55" i="1"/>
  <c r="BE55" i="1" s="1"/>
  <c r="N54" i="1"/>
  <c r="AI54" i="1"/>
  <c r="K54" i="1"/>
  <c r="AD54" i="1"/>
  <c r="J54" i="1"/>
  <c r="Q54" i="1"/>
  <c r="AV53" i="1"/>
  <c r="AT53" i="1"/>
  <c r="AU53" i="1"/>
  <c r="AF53" i="1"/>
  <c r="AE53" i="1"/>
  <c r="AG53" i="1"/>
  <c r="AQ53" i="1"/>
  <c r="AP53" i="1"/>
  <c r="AO53" i="1"/>
  <c r="A73" i="5" l="1"/>
  <c r="B72" i="5"/>
  <c r="Q72" i="5"/>
  <c r="D72" i="5"/>
  <c r="M72" i="5"/>
  <c r="C72" i="5"/>
  <c r="L72" i="5"/>
  <c r="E72" i="5"/>
  <c r="P72" i="5"/>
  <c r="AD72" i="5"/>
  <c r="AG72" i="5" s="1"/>
  <c r="AE72" i="5"/>
  <c r="AK72" i="5"/>
  <c r="AJ72" i="5"/>
  <c r="AM72" i="5" s="1"/>
  <c r="X72" i="5"/>
  <c r="BL72" i="5"/>
  <c r="BO72" i="5" s="1"/>
  <c r="AV72" i="5"/>
  <c r="AY72" i="5" s="1"/>
  <c r="H72" i="5"/>
  <c r="T72" i="5"/>
  <c r="AQ72" i="5"/>
  <c r="I72" i="5"/>
  <c r="AP72" i="5"/>
  <c r="AS72" i="5" s="1"/>
  <c r="BD72" i="5"/>
  <c r="BG72" i="5" s="1"/>
  <c r="U72" i="5"/>
  <c r="BM72" i="5"/>
  <c r="BP72" i="5" s="1"/>
  <c r="Y72" i="5"/>
  <c r="BE72" i="5"/>
  <c r="BH72" i="5" s="1"/>
  <c r="AW72" i="5"/>
  <c r="AZ72" i="5" s="1"/>
  <c r="AD63" i="4"/>
  <c r="T63" i="4"/>
  <c r="AH63" i="4"/>
  <c r="Z63" i="4"/>
  <c r="W63" i="4"/>
  <c r="Q63" i="4"/>
  <c r="A65" i="4"/>
  <c r="G64" i="4"/>
  <c r="C64" i="4"/>
  <c r="I64" i="4"/>
  <c r="B64" i="4"/>
  <c r="P64" i="4"/>
  <c r="E64" i="4"/>
  <c r="V64" i="4"/>
  <c r="K64" i="4"/>
  <c r="AC64" i="4"/>
  <c r="S64" i="4"/>
  <c r="AG64" i="4"/>
  <c r="M64" i="4"/>
  <c r="Y64" i="4"/>
  <c r="AU65" i="3"/>
  <c r="AT65" i="3"/>
  <c r="AO65" i="3"/>
  <c r="AP65" i="3"/>
  <c r="K66" i="3"/>
  <c r="E66" i="3"/>
  <c r="A67" i="3"/>
  <c r="J66" i="3"/>
  <c r="D66" i="3"/>
  <c r="B66" i="3"/>
  <c r="C66" i="3"/>
  <c r="N66" i="3"/>
  <c r="M66" i="3"/>
  <c r="T66" i="3"/>
  <c r="H66" i="3"/>
  <c r="G66" i="3"/>
  <c r="Q66" i="3"/>
  <c r="S66" i="3"/>
  <c r="AN66" i="3"/>
  <c r="P66" i="3"/>
  <c r="AE66" i="3"/>
  <c r="AA66" i="3"/>
  <c r="W66" i="3"/>
  <c r="AI66" i="3"/>
  <c r="AS66" i="3"/>
  <c r="X65" i="3"/>
  <c r="Y65" i="3"/>
  <c r="AK65" i="3"/>
  <c r="AJ65" i="3"/>
  <c r="AG65" i="3"/>
  <c r="AF65" i="3"/>
  <c r="AB65" i="3"/>
  <c r="AC65" i="3"/>
  <c r="BH55" i="1"/>
  <c r="BG55" i="1"/>
  <c r="BF55" i="1"/>
  <c r="A81" i="2"/>
  <c r="CS80" i="2"/>
  <c r="CV80" i="2" s="1"/>
  <c r="CF80" i="2"/>
  <c r="CI80" i="2" s="1"/>
  <c r="CR80" i="2"/>
  <c r="CU80" i="2" s="1"/>
  <c r="BT80" i="2"/>
  <c r="BW80" i="2" s="1"/>
  <c r="BL80" i="2"/>
  <c r="BO80" i="2" s="1"/>
  <c r="BC80" i="2"/>
  <c r="BF80" i="2" s="1"/>
  <c r="BK80" i="2"/>
  <c r="BN80" i="2" s="1"/>
  <c r="CG80" i="2"/>
  <c r="CJ80" i="2" s="1"/>
  <c r="BB80" i="2"/>
  <c r="BE80" i="2" s="1"/>
  <c r="BU80" i="2"/>
  <c r="BX80" i="2" s="1"/>
  <c r="AJ79" i="2"/>
  <c r="AE79" i="2"/>
  <c r="AK79" i="2"/>
  <c r="AD79" i="2"/>
  <c r="S79" i="2"/>
  <c r="R79" i="2"/>
  <c r="M79" i="2"/>
  <c r="G79" i="2"/>
  <c r="Y79" i="2"/>
  <c r="F79" i="2"/>
  <c r="X79" i="2"/>
  <c r="L79" i="2"/>
  <c r="AS79" i="2"/>
  <c r="AV79" i="2" s="1"/>
  <c r="AT79" i="2"/>
  <c r="AW79" i="2" s="1"/>
  <c r="BV78" i="2"/>
  <c r="BD78" i="2"/>
  <c r="CT78" i="2"/>
  <c r="BM78" i="2"/>
  <c r="CH78" i="2"/>
  <c r="AU78" i="2"/>
  <c r="E79" i="2"/>
  <c r="Q79" i="2"/>
  <c r="B79" i="2"/>
  <c r="D79" i="2"/>
  <c r="W79" i="2"/>
  <c r="C79" i="2"/>
  <c r="K79" i="2"/>
  <c r="CE79" i="2"/>
  <c r="CQ79" i="2"/>
  <c r="AI79" i="2"/>
  <c r="BS79" i="2"/>
  <c r="AR79" i="2"/>
  <c r="BJ79" i="2"/>
  <c r="AC79" i="2"/>
  <c r="BA79" i="2"/>
  <c r="AP54" i="1"/>
  <c r="AO54" i="1"/>
  <c r="AQ54" i="1"/>
  <c r="AF54" i="1"/>
  <c r="AG54" i="1"/>
  <c r="AE54" i="1"/>
  <c r="AN55" i="1"/>
  <c r="R55" i="1"/>
  <c r="AA55" i="1"/>
  <c r="F55" i="1"/>
  <c r="Z55" i="1"/>
  <c r="N55" i="1"/>
  <c r="AS55" i="1"/>
  <c r="K55" i="1"/>
  <c r="A56" i="1"/>
  <c r="BE56" i="1" s="1"/>
  <c r="AI55" i="1"/>
  <c r="M55" i="1"/>
  <c r="V55" i="1"/>
  <c r="B55" i="1"/>
  <c r="O55" i="1"/>
  <c r="D55" i="1"/>
  <c r="C55" i="1"/>
  <c r="Y55" i="1"/>
  <c r="AY55" i="1"/>
  <c r="AD55" i="1"/>
  <c r="G55" i="1"/>
  <c r="Q55" i="1"/>
  <c r="S55" i="1"/>
  <c r="E55" i="1"/>
  <c r="U55" i="1"/>
  <c r="W55" i="1"/>
  <c r="I55" i="1"/>
  <c r="J55" i="1"/>
  <c r="AT54" i="1"/>
  <c r="AU54" i="1"/>
  <c r="AV54" i="1"/>
  <c r="AL54" i="1"/>
  <c r="AK54" i="1"/>
  <c r="AJ54" i="1"/>
  <c r="BB54" i="1"/>
  <c r="AZ54" i="1"/>
  <c r="BA54" i="1"/>
  <c r="Q73" i="5" l="1"/>
  <c r="C73" i="5"/>
  <c r="A74" i="5"/>
  <c r="P73" i="5"/>
  <c r="M73" i="5"/>
  <c r="B73" i="5"/>
  <c r="E73" i="5"/>
  <c r="D73" i="5"/>
  <c r="L73" i="5"/>
  <c r="AV73" i="5"/>
  <c r="AY73" i="5" s="1"/>
  <c r="BL73" i="5"/>
  <c r="BO73" i="5" s="1"/>
  <c r="AE73" i="5"/>
  <c r="BD73" i="5"/>
  <c r="BG73" i="5" s="1"/>
  <c r="AJ73" i="5"/>
  <c r="AM73" i="5" s="1"/>
  <c r="X73" i="5"/>
  <c r="AD73" i="5"/>
  <c r="AG73" i="5" s="1"/>
  <c r="AK73" i="5"/>
  <c r="AW73" i="5"/>
  <c r="AZ73" i="5" s="1"/>
  <c r="I73" i="5"/>
  <c r="H73" i="5"/>
  <c r="U73" i="5"/>
  <c r="AP73" i="5"/>
  <c r="AS73" i="5" s="1"/>
  <c r="T73" i="5"/>
  <c r="AQ73" i="5"/>
  <c r="BM73" i="5"/>
  <c r="BP73" i="5" s="1"/>
  <c r="BE73" i="5"/>
  <c r="BH73" i="5" s="1"/>
  <c r="Y73" i="5"/>
  <c r="AH64" i="4"/>
  <c r="A66" i="4"/>
  <c r="I65" i="4"/>
  <c r="C65" i="4"/>
  <c r="B65" i="4"/>
  <c r="G65" i="4"/>
  <c r="K65" i="4"/>
  <c r="S65" i="4"/>
  <c r="AG65" i="4"/>
  <c r="AC65" i="4"/>
  <c r="V65" i="4"/>
  <c r="M65" i="4"/>
  <c r="P65" i="4"/>
  <c r="Y65" i="4"/>
  <c r="E65" i="4"/>
  <c r="T64" i="4"/>
  <c r="AD64" i="4"/>
  <c r="Q64" i="4"/>
  <c r="Z64" i="4"/>
  <c r="W64" i="4"/>
  <c r="AC66" i="3"/>
  <c r="AB66" i="3"/>
  <c r="AU66" i="3"/>
  <c r="AT66" i="3"/>
  <c r="M67" i="3"/>
  <c r="B67" i="3"/>
  <c r="D67" i="3"/>
  <c r="C67" i="3"/>
  <c r="A68" i="3"/>
  <c r="J67" i="3"/>
  <c r="N67" i="3"/>
  <c r="K67" i="3"/>
  <c r="E67" i="3"/>
  <c r="AE67" i="3"/>
  <c r="AS67" i="3"/>
  <c r="AA67" i="3"/>
  <c r="T67" i="3"/>
  <c r="AI67" i="3"/>
  <c r="AN67" i="3"/>
  <c r="G67" i="3"/>
  <c r="H67" i="3"/>
  <c r="Q67" i="3"/>
  <c r="P67" i="3"/>
  <c r="W67" i="3"/>
  <c r="S67" i="3"/>
  <c r="X66" i="3"/>
  <c r="Y66" i="3"/>
  <c r="AP66" i="3"/>
  <c r="AO66" i="3"/>
  <c r="AG66" i="3"/>
  <c r="AF66" i="3"/>
  <c r="AJ66" i="3"/>
  <c r="AK66" i="3"/>
  <c r="BF56" i="1"/>
  <c r="BH56" i="1"/>
  <c r="BG56" i="1"/>
  <c r="A82" i="2"/>
  <c r="CR81" i="2"/>
  <c r="CU81" i="2" s="1"/>
  <c r="BU81" i="2"/>
  <c r="BX81" i="2" s="1"/>
  <c r="CS81" i="2"/>
  <c r="CV81" i="2" s="1"/>
  <c r="CF81" i="2"/>
  <c r="CI81" i="2" s="1"/>
  <c r="BT81" i="2"/>
  <c r="BW81" i="2" s="1"/>
  <c r="BB81" i="2"/>
  <c r="BE81" i="2" s="1"/>
  <c r="CG81" i="2"/>
  <c r="CJ81" i="2" s="1"/>
  <c r="BL81" i="2"/>
  <c r="BO81" i="2" s="1"/>
  <c r="BC81" i="2"/>
  <c r="BF81" i="2" s="1"/>
  <c r="BK81" i="2"/>
  <c r="BN81" i="2" s="1"/>
  <c r="AJ80" i="2"/>
  <c r="AD80" i="2"/>
  <c r="S80" i="2"/>
  <c r="M80" i="2"/>
  <c r="G80" i="2"/>
  <c r="L80" i="2"/>
  <c r="F80" i="2"/>
  <c r="Y80" i="2"/>
  <c r="AE80" i="2"/>
  <c r="X80" i="2"/>
  <c r="R80" i="2"/>
  <c r="AK80" i="2"/>
  <c r="AS80" i="2"/>
  <c r="AV80" i="2" s="1"/>
  <c r="AT80" i="2"/>
  <c r="AW80" i="2" s="1"/>
  <c r="BD79" i="2"/>
  <c r="BV79" i="2"/>
  <c r="CT79" i="2"/>
  <c r="BM79" i="2"/>
  <c r="Q80" i="2"/>
  <c r="B80" i="2"/>
  <c r="W80" i="2"/>
  <c r="D80" i="2"/>
  <c r="E80" i="2"/>
  <c r="C80" i="2"/>
  <c r="BS80" i="2"/>
  <c r="AI80" i="2"/>
  <c r="K80" i="2"/>
  <c r="CE80" i="2"/>
  <c r="AC80" i="2"/>
  <c r="CQ80" i="2"/>
  <c r="BA80" i="2"/>
  <c r="BJ80" i="2"/>
  <c r="AR80" i="2"/>
  <c r="AU79" i="2"/>
  <c r="CH79" i="2"/>
  <c r="O56" i="1"/>
  <c r="AA56" i="1"/>
  <c r="R56" i="1"/>
  <c r="J56" i="1"/>
  <c r="N56" i="1"/>
  <c r="Q56" i="1"/>
  <c r="AI56" i="1"/>
  <c r="V56" i="1"/>
  <c r="AD56" i="1"/>
  <c r="U56" i="1"/>
  <c r="Y56" i="1"/>
  <c r="M56" i="1"/>
  <c r="S56" i="1"/>
  <c r="AS56" i="1"/>
  <c r="C56" i="1"/>
  <c r="AN56" i="1"/>
  <c r="Z56" i="1"/>
  <c r="E56" i="1"/>
  <c r="I56" i="1"/>
  <c r="F56" i="1"/>
  <c r="W56" i="1"/>
  <c r="K56" i="1"/>
  <c r="AY56" i="1"/>
  <c r="D56" i="1"/>
  <c r="A57" i="1"/>
  <c r="BE57" i="1" s="1"/>
  <c r="B56" i="1"/>
  <c r="G56" i="1"/>
  <c r="AQ55" i="1"/>
  <c r="AO55" i="1"/>
  <c r="AP55" i="1"/>
  <c r="BB55" i="1"/>
  <c r="AZ55" i="1"/>
  <c r="BA55" i="1"/>
  <c r="AL55" i="1"/>
  <c r="AJ55" i="1"/>
  <c r="AK55" i="1"/>
  <c r="AG55" i="1"/>
  <c r="AF55" i="1"/>
  <c r="AE55" i="1"/>
  <c r="AT55" i="1"/>
  <c r="AU55" i="1"/>
  <c r="AV55" i="1"/>
  <c r="M74" i="5" l="1"/>
  <c r="E74" i="5"/>
  <c r="A75" i="5"/>
  <c r="L74" i="5"/>
  <c r="D74" i="5"/>
  <c r="B74" i="5"/>
  <c r="Q74" i="5"/>
  <c r="C74" i="5"/>
  <c r="P74" i="5"/>
  <c r="X74" i="5"/>
  <c r="AK74" i="5"/>
  <c r="AE74" i="5"/>
  <c r="BD74" i="5"/>
  <c r="BG74" i="5" s="1"/>
  <c r="AJ74" i="5"/>
  <c r="AM74" i="5" s="1"/>
  <c r="AD74" i="5"/>
  <c r="AG74" i="5" s="1"/>
  <c r="AV74" i="5"/>
  <c r="AY74" i="5" s="1"/>
  <c r="BL74" i="5"/>
  <c r="BO74" i="5" s="1"/>
  <c r="AP74" i="5"/>
  <c r="AS74" i="5" s="1"/>
  <c r="H74" i="5"/>
  <c r="T74" i="5"/>
  <c r="AQ74" i="5"/>
  <c r="U74" i="5"/>
  <c r="I74" i="5"/>
  <c r="BM74" i="5"/>
  <c r="BP74" i="5" s="1"/>
  <c r="AW74" i="5"/>
  <c r="AZ74" i="5" s="1"/>
  <c r="Y74" i="5"/>
  <c r="BE74" i="5"/>
  <c r="BH74" i="5" s="1"/>
  <c r="W65" i="4"/>
  <c r="Z65" i="4"/>
  <c r="AD65" i="4"/>
  <c r="AH65" i="4"/>
  <c r="C66" i="4"/>
  <c r="I66" i="4"/>
  <c r="B66" i="4"/>
  <c r="A67" i="4"/>
  <c r="G66" i="4"/>
  <c r="K66" i="4"/>
  <c r="S66" i="4"/>
  <c r="AG66" i="4"/>
  <c r="M66" i="4"/>
  <c r="P66" i="4"/>
  <c r="AC66" i="4"/>
  <c r="E66" i="4"/>
  <c r="V66" i="4"/>
  <c r="Y66" i="4"/>
  <c r="T65" i="4"/>
  <c r="Q65" i="4"/>
  <c r="AB67" i="3"/>
  <c r="AC67" i="3"/>
  <c r="AP67" i="3"/>
  <c r="AO67" i="3"/>
  <c r="AT67" i="3"/>
  <c r="AU67" i="3"/>
  <c r="N68" i="3"/>
  <c r="C68" i="3"/>
  <c r="A69" i="3"/>
  <c r="K68" i="3"/>
  <c r="E68" i="3"/>
  <c r="D68" i="3"/>
  <c r="M68" i="3"/>
  <c r="J68" i="3"/>
  <c r="B68" i="3"/>
  <c r="G68" i="3"/>
  <c r="AE68" i="3"/>
  <c r="P68" i="3"/>
  <c r="AI68" i="3"/>
  <c r="AN68" i="3"/>
  <c r="AA68" i="3"/>
  <c r="T68" i="3"/>
  <c r="Q68" i="3"/>
  <c r="W68" i="3"/>
  <c r="S68" i="3"/>
  <c r="AS68" i="3"/>
  <c r="H68" i="3"/>
  <c r="Y67" i="3"/>
  <c r="X67" i="3"/>
  <c r="AK67" i="3"/>
  <c r="AJ67" i="3"/>
  <c r="AF67" i="3"/>
  <c r="AG67" i="3"/>
  <c r="BH57" i="1"/>
  <c r="BG57" i="1"/>
  <c r="BF57" i="1"/>
  <c r="CG82" i="2"/>
  <c r="CJ82" i="2" s="1"/>
  <c r="BU82" i="2"/>
  <c r="BX82" i="2" s="1"/>
  <c r="CS82" i="2"/>
  <c r="CV82" i="2" s="1"/>
  <c r="CR82" i="2"/>
  <c r="CU82" i="2" s="1"/>
  <c r="BT82" i="2"/>
  <c r="BW82" i="2" s="1"/>
  <c r="BK82" i="2"/>
  <c r="BN82" i="2" s="1"/>
  <c r="BB82" i="2"/>
  <c r="BE82" i="2" s="1"/>
  <c r="CF82" i="2"/>
  <c r="CI82" i="2" s="1"/>
  <c r="A83" i="2"/>
  <c r="BL82" i="2"/>
  <c r="BO82" i="2" s="1"/>
  <c r="BC82" i="2"/>
  <c r="BF82" i="2" s="1"/>
  <c r="AK81" i="2"/>
  <c r="AD81" i="2"/>
  <c r="Y81" i="2"/>
  <c r="G81" i="2"/>
  <c r="AJ81" i="2"/>
  <c r="X81" i="2"/>
  <c r="AE81" i="2"/>
  <c r="S81" i="2"/>
  <c r="R81" i="2"/>
  <c r="M81" i="2"/>
  <c r="L81" i="2"/>
  <c r="F81" i="2"/>
  <c r="AT81" i="2"/>
  <c r="AW81" i="2" s="1"/>
  <c r="AS81" i="2"/>
  <c r="AV81" i="2" s="1"/>
  <c r="AU80" i="2"/>
  <c r="BM80" i="2"/>
  <c r="Q81" i="2"/>
  <c r="B81" i="2"/>
  <c r="D81" i="2"/>
  <c r="W81" i="2"/>
  <c r="C81" i="2"/>
  <c r="E81" i="2"/>
  <c r="K81" i="2"/>
  <c r="AC81" i="2"/>
  <c r="CE81" i="2"/>
  <c r="BJ81" i="2"/>
  <c r="CQ81" i="2"/>
  <c r="BA81" i="2"/>
  <c r="AR81" i="2"/>
  <c r="BS81" i="2"/>
  <c r="AI81" i="2"/>
  <c r="CT80" i="2"/>
  <c r="BV80" i="2"/>
  <c r="BD80" i="2"/>
  <c r="CH80" i="2"/>
  <c r="AZ56" i="1"/>
  <c r="BB56" i="1"/>
  <c r="BA56" i="1"/>
  <c r="AJ56" i="1"/>
  <c r="AK56" i="1"/>
  <c r="AL56" i="1"/>
  <c r="AU56" i="1"/>
  <c r="AV56" i="1"/>
  <c r="AT56" i="1"/>
  <c r="AQ56" i="1"/>
  <c r="AP56" i="1"/>
  <c r="AO56" i="1"/>
  <c r="AY57" i="1"/>
  <c r="AD57" i="1"/>
  <c r="G57" i="1"/>
  <c r="Q57" i="1"/>
  <c r="Y57" i="1"/>
  <c r="J57" i="1"/>
  <c r="Z57" i="1"/>
  <c r="W57" i="1"/>
  <c r="AN57" i="1"/>
  <c r="R57" i="1"/>
  <c r="AA57" i="1"/>
  <c r="F57" i="1"/>
  <c r="D57" i="1"/>
  <c r="I57" i="1"/>
  <c r="A58" i="1"/>
  <c r="BE58" i="1" s="1"/>
  <c r="AI57" i="1"/>
  <c r="M57" i="1"/>
  <c r="V57" i="1"/>
  <c r="B57" i="1"/>
  <c r="U57" i="1"/>
  <c r="E57" i="1"/>
  <c r="AS57" i="1"/>
  <c r="C57" i="1"/>
  <c r="K57" i="1"/>
  <c r="N57" i="1"/>
  <c r="S57" i="1"/>
  <c r="O57" i="1"/>
  <c r="AF56" i="1"/>
  <c r="AG56" i="1"/>
  <c r="AE56" i="1"/>
  <c r="P75" i="5" l="1"/>
  <c r="B75" i="5"/>
  <c r="E75" i="5"/>
  <c r="A76" i="5"/>
  <c r="Q75" i="5"/>
  <c r="D75" i="5"/>
  <c r="C75" i="5"/>
  <c r="M75" i="5"/>
  <c r="L75" i="5"/>
  <c r="AJ75" i="5"/>
  <c r="AM75" i="5" s="1"/>
  <c r="X75" i="5"/>
  <c r="AD75" i="5"/>
  <c r="AG75" i="5" s="1"/>
  <c r="AE75" i="5"/>
  <c r="AV75" i="5"/>
  <c r="AY75" i="5" s="1"/>
  <c r="T75" i="5"/>
  <c r="U75" i="5"/>
  <c r="AK75" i="5"/>
  <c r="BL75" i="5"/>
  <c r="BO75" i="5" s="1"/>
  <c r="I75" i="5"/>
  <c r="BD75" i="5"/>
  <c r="BG75" i="5" s="1"/>
  <c r="H75" i="5"/>
  <c r="AQ75" i="5"/>
  <c r="AP75" i="5"/>
  <c r="AS75" i="5" s="1"/>
  <c r="BE75" i="5"/>
  <c r="BH75" i="5" s="1"/>
  <c r="Y75" i="5"/>
  <c r="AW75" i="5"/>
  <c r="AZ75" i="5" s="1"/>
  <c r="BM75" i="5"/>
  <c r="BP75" i="5" s="1"/>
  <c r="Q66" i="4"/>
  <c r="Z66" i="4"/>
  <c r="AH66" i="4"/>
  <c r="W66" i="4"/>
  <c r="T66" i="4"/>
  <c r="A68" i="4"/>
  <c r="I67" i="4"/>
  <c r="C67" i="4"/>
  <c r="G67" i="4"/>
  <c r="B67" i="4"/>
  <c r="M67" i="4"/>
  <c r="S67" i="4"/>
  <c r="E67" i="4"/>
  <c r="AG67" i="4"/>
  <c r="P67" i="4"/>
  <c r="K67" i="4"/>
  <c r="Y67" i="4"/>
  <c r="AC67" i="4"/>
  <c r="V67" i="4"/>
  <c r="AD66" i="4"/>
  <c r="AU68" i="3"/>
  <c r="AT68" i="3"/>
  <c r="AB68" i="3"/>
  <c r="AC68" i="3"/>
  <c r="AO68" i="3"/>
  <c r="AP68" i="3"/>
  <c r="A70" i="3"/>
  <c r="K69" i="3"/>
  <c r="E69" i="3"/>
  <c r="J69" i="3"/>
  <c r="D69" i="3"/>
  <c r="N69" i="3"/>
  <c r="M69" i="3"/>
  <c r="B69" i="3"/>
  <c r="C69" i="3"/>
  <c r="AS69" i="3"/>
  <c r="H69" i="3"/>
  <c r="AN69" i="3"/>
  <c r="T69" i="3"/>
  <c r="S69" i="3"/>
  <c r="G69" i="3"/>
  <c r="Q69" i="3"/>
  <c r="AE69" i="3"/>
  <c r="W69" i="3"/>
  <c r="AI69" i="3"/>
  <c r="AA69" i="3"/>
  <c r="P69" i="3"/>
  <c r="AJ68" i="3"/>
  <c r="AK68" i="3"/>
  <c r="AG68" i="3"/>
  <c r="AF68" i="3"/>
  <c r="Y68" i="3"/>
  <c r="X68" i="3"/>
  <c r="BG58" i="1"/>
  <c r="BF58" i="1"/>
  <c r="BH58" i="1"/>
  <c r="CR83" i="2"/>
  <c r="CU83" i="2" s="1"/>
  <c r="CS83" i="2"/>
  <c r="CV83" i="2" s="1"/>
  <c r="CG83" i="2"/>
  <c r="CJ83" i="2" s="1"/>
  <c r="A84" i="2"/>
  <c r="CF83" i="2"/>
  <c r="CI83" i="2" s="1"/>
  <c r="BU83" i="2"/>
  <c r="BX83" i="2" s="1"/>
  <c r="BK83" i="2"/>
  <c r="BN83" i="2" s="1"/>
  <c r="BT83" i="2"/>
  <c r="BW83" i="2" s="1"/>
  <c r="BL83" i="2"/>
  <c r="BO83" i="2" s="1"/>
  <c r="BC83" i="2"/>
  <c r="BF83" i="2" s="1"/>
  <c r="BB83" i="2"/>
  <c r="BE83" i="2" s="1"/>
  <c r="AE82" i="2"/>
  <c r="AD82" i="2"/>
  <c r="X82" i="2"/>
  <c r="S82" i="2"/>
  <c r="M82" i="2"/>
  <c r="AJ82" i="2"/>
  <c r="Y82" i="2"/>
  <c r="L82" i="2"/>
  <c r="AK82" i="2"/>
  <c r="G82" i="2"/>
  <c r="F82" i="2"/>
  <c r="R82" i="2"/>
  <c r="AT82" i="2"/>
  <c r="AW82" i="2" s="1"/>
  <c r="AS82" i="2"/>
  <c r="AV82" i="2" s="1"/>
  <c r="AU81" i="2"/>
  <c r="BD81" i="2"/>
  <c r="CT81" i="2"/>
  <c r="CH81" i="2"/>
  <c r="Q82" i="2"/>
  <c r="C82" i="2"/>
  <c r="E82" i="2"/>
  <c r="D82" i="2"/>
  <c r="B82" i="2"/>
  <c r="W82" i="2"/>
  <c r="CQ82" i="2"/>
  <c r="AI82" i="2"/>
  <c r="AC82" i="2"/>
  <c r="CE82" i="2"/>
  <c r="K82" i="2"/>
  <c r="AR82" i="2"/>
  <c r="BA82" i="2"/>
  <c r="BJ82" i="2"/>
  <c r="BS82" i="2"/>
  <c r="BM81" i="2"/>
  <c r="BV81" i="2"/>
  <c r="AL57" i="1"/>
  <c r="AK57" i="1"/>
  <c r="AJ57" i="1"/>
  <c r="O58" i="1"/>
  <c r="S58" i="1"/>
  <c r="V58" i="1"/>
  <c r="AN58" i="1"/>
  <c r="AA58" i="1"/>
  <c r="W58" i="1"/>
  <c r="AS58" i="1"/>
  <c r="Z58" i="1"/>
  <c r="E58" i="1"/>
  <c r="I58" i="1"/>
  <c r="B58" i="1"/>
  <c r="R58" i="1"/>
  <c r="F58" i="1"/>
  <c r="A59" i="1"/>
  <c r="BE59" i="1" s="1"/>
  <c r="Y58" i="1"/>
  <c r="G58" i="1"/>
  <c r="AI58" i="1"/>
  <c r="J58" i="1"/>
  <c r="N58" i="1"/>
  <c r="K58" i="1"/>
  <c r="AD58" i="1"/>
  <c r="Q58" i="1"/>
  <c r="C58" i="1"/>
  <c r="U58" i="1"/>
  <c r="D58" i="1"/>
  <c r="AY58" i="1"/>
  <c r="M58" i="1"/>
  <c r="AT57" i="1"/>
  <c r="AV57" i="1"/>
  <c r="AU57" i="1"/>
  <c r="AG57" i="1"/>
  <c r="AF57" i="1"/>
  <c r="AE57" i="1"/>
  <c r="AP57" i="1"/>
  <c r="AQ57" i="1"/>
  <c r="AO57" i="1"/>
  <c r="BA57" i="1"/>
  <c r="BB57" i="1"/>
  <c r="AZ57" i="1"/>
  <c r="Q76" i="5" l="1"/>
  <c r="C76" i="5"/>
  <c r="M76" i="5"/>
  <c r="B76" i="5"/>
  <c r="L76" i="5"/>
  <c r="A77" i="5"/>
  <c r="D76" i="5"/>
  <c r="P76" i="5"/>
  <c r="E76" i="5"/>
  <c r="AK76" i="5"/>
  <c r="AJ76" i="5"/>
  <c r="AM76" i="5" s="1"/>
  <c r="BD76" i="5"/>
  <c r="BG76" i="5" s="1"/>
  <c r="X76" i="5"/>
  <c r="AD76" i="5"/>
  <c r="AG76" i="5" s="1"/>
  <c r="BL76" i="5"/>
  <c r="BO76" i="5" s="1"/>
  <c r="AE76" i="5"/>
  <c r="I76" i="5"/>
  <c r="U76" i="5"/>
  <c r="AV76" i="5"/>
  <c r="AY76" i="5" s="1"/>
  <c r="AW76" i="5"/>
  <c r="AZ76" i="5" s="1"/>
  <c r="AP76" i="5"/>
  <c r="AS76" i="5" s="1"/>
  <c r="H76" i="5"/>
  <c r="T76" i="5"/>
  <c r="BM76" i="5"/>
  <c r="BP76" i="5" s="1"/>
  <c r="AQ76" i="5"/>
  <c r="BE76" i="5"/>
  <c r="BH76" i="5" s="1"/>
  <c r="Y76" i="5"/>
  <c r="AD67" i="4"/>
  <c r="AH67" i="4"/>
  <c r="Z67" i="4"/>
  <c r="A69" i="4"/>
  <c r="I68" i="4"/>
  <c r="C68" i="4"/>
  <c r="B68" i="4"/>
  <c r="G68" i="4"/>
  <c r="K68" i="4"/>
  <c r="AC68" i="4"/>
  <c r="M68" i="4"/>
  <c r="E68" i="4"/>
  <c r="V68" i="4"/>
  <c r="Y68" i="4"/>
  <c r="S68" i="4"/>
  <c r="AG68" i="4"/>
  <c r="P68" i="4"/>
  <c r="T67" i="4"/>
  <c r="W67" i="4"/>
  <c r="Q67" i="4"/>
  <c r="AU69" i="3"/>
  <c r="AT69" i="3"/>
  <c r="AK69" i="3"/>
  <c r="AJ69" i="3"/>
  <c r="AB69" i="3"/>
  <c r="AC69" i="3"/>
  <c r="Y69" i="3"/>
  <c r="X69" i="3"/>
  <c r="AO69" i="3"/>
  <c r="AP69" i="3"/>
  <c r="A71" i="3"/>
  <c r="J70" i="3"/>
  <c r="D70" i="3"/>
  <c r="N70" i="3"/>
  <c r="M70" i="3"/>
  <c r="C70" i="3"/>
  <c r="K70" i="3"/>
  <c r="B70" i="3"/>
  <c r="E70" i="3"/>
  <c r="AS70" i="3"/>
  <c r="H70" i="3"/>
  <c r="P70" i="3"/>
  <c r="T70" i="3"/>
  <c r="Q70" i="3"/>
  <c r="AN70" i="3"/>
  <c r="AE70" i="3"/>
  <c r="AA70" i="3"/>
  <c r="S70" i="3"/>
  <c r="G70" i="3"/>
  <c r="W70" i="3"/>
  <c r="AI70" i="3"/>
  <c r="AG69" i="3"/>
  <c r="AF69" i="3"/>
  <c r="BH59" i="1"/>
  <c r="BG59" i="1"/>
  <c r="BF59" i="1"/>
  <c r="CS84" i="2"/>
  <c r="CV84" i="2" s="1"/>
  <c r="CR84" i="2"/>
  <c r="CU84" i="2" s="1"/>
  <c r="CG84" i="2"/>
  <c r="CJ84" i="2" s="1"/>
  <c r="CF84" i="2"/>
  <c r="CI84" i="2" s="1"/>
  <c r="A85" i="2"/>
  <c r="BT84" i="2"/>
  <c r="BW84" i="2" s="1"/>
  <c r="BL84" i="2"/>
  <c r="BO84" i="2" s="1"/>
  <c r="BK84" i="2"/>
  <c r="BN84" i="2" s="1"/>
  <c r="BU84" i="2"/>
  <c r="BX84" i="2" s="1"/>
  <c r="BC84" i="2"/>
  <c r="BF84" i="2" s="1"/>
  <c r="BB84" i="2"/>
  <c r="BE84" i="2" s="1"/>
  <c r="AJ83" i="2"/>
  <c r="F83" i="2"/>
  <c r="AE83" i="2"/>
  <c r="X83" i="2"/>
  <c r="AK83" i="2"/>
  <c r="AD83" i="2"/>
  <c r="S83" i="2"/>
  <c r="M83" i="2"/>
  <c r="L83" i="2"/>
  <c r="G83" i="2"/>
  <c r="Y83" i="2"/>
  <c r="R83" i="2"/>
  <c r="AT83" i="2"/>
  <c r="AW83" i="2" s="1"/>
  <c r="AS83" i="2"/>
  <c r="AV83" i="2" s="1"/>
  <c r="CH82" i="2"/>
  <c r="E83" i="2"/>
  <c r="B83" i="2"/>
  <c r="Q83" i="2"/>
  <c r="D83" i="2"/>
  <c r="W83" i="2"/>
  <c r="C83" i="2"/>
  <c r="BS83" i="2"/>
  <c r="K83" i="2"/>
  <c r="CQ83" i="2"/>
  <c r="BJ83" i="2"/>
  <c r="AC83" i="2"/>
  <c r="AR83" i="2"/>
  <c r="AI83" i="2"/>
  <c r="CE83" i="2"/>
  <c r="BA83" i="2"/>
  <c r="BM82" i="2"/>
  <c r="BD82" i="2"/>
  <c r="BV82" i="2"/>
  <c r="CT82" i="2"/>
  <c r="AU82" i="2"/>
  <c r="AK58" i="1"/>
  <c r="AJ58" i="1"/>
  <c r="AL58" i="1"/>
  <c r="AF58" i="1"/>
  <c r="AE58" i="1"/>
  <c r="AG58" i="1"/>
  <c r="AO58" i="1"/>
  <c r="AQ58" i="1"/>
  <c r="AP58" i="1"/>
  <c r="AU58" i="1"/>
  <c r="AT58" i="1"/>
  <c r="AV58" i="1"/>
  <c r="AZ58" i="1"/>
  <c r="BB58" i="1"/>
  <c r="BA58" i="1"/>
  <c r="N59" i="1"/>
  <c r="V59" i="1"/>
  <c r="A60" i="1"/>
  <c r="BE60" i="1" s="1"/>
  <c r="M59" i="1"/>
  <c r="J59" i="1"/>
  <c r="Q59" i="1"/>
  <c r="AN59" i="1"/>
  <c r="I59" i="1"/>
  <c r="AI59" i="1"/>
  <c r="F59" i="1"/>
  <c r="R59" i="1"/>
  <c r="D59" i="1"/>
  <c r="S59" i="1"/>
  <c r="U59" i="1"/>
  <c r="AS59" i="1"/>
  <c r="O59" i="1"/>
  <c r="AD59" i="1"/>
  <c r="K59" i="1"/>
  <c r="Y59" i="1"/>
  <c r="AY59" i="1"/>
  <c r="G59" i="1"/>
  <c r="AA59" i="1"/>
  <c r="B59" i="1"/>
  <c r="E59" i="1"/>
  <c r="Z59" i="1"/>
  <c r="C59" i="1"/>
  <c r="W59" i="1"/>
  <c r="M77" i="5" l="1"/>
  <c r="E77" i="5"/>
  <c r="A78" i="5"/>
  <c r="L77" i="5"/>
  <c r="D77" i="5"/>
  <c r="Q77" i="5"/>
  <c r="P77" i="5"/>
  <c r="C77" i="5"/>
  <c r="B77" i="5"/>
  <c r="AK77" i="5"/>
  <c r="AE77" i="5"/>
  <c r="AD77" i="5"/>
  <c r="AG77" i="5" s="1"/>
  <c r="AJ77" i="5"/>
  <c r="AM77" i="5" s="1"/>
  <c r="X77" i="5"/>
  <c r="BD77" i="5"/>
  <c r="BG77" i="5" s="1"/>
  <c r="BL77" i="5"/>
  <c r="BO77" i="5" s="1"/>
  <c r="H77" i="5"/>
  <c r="U77" i="5"/>
  <c r="AQ77" i="5"/>
  <c r="AP77" i="5"/>
  <c r="AS77" i="5" s="1"/>
  <c r="AV77" i="5"/>
  <c r="AY77" i="5" s="1"/>
  <c r="T77" i="5"/>
  <c r="I77" i="5"/>
  <c r="BE77" i="5"/>
  <c r="BH77" i="5" s="1"/>
  <c r="Y77" i="5"/>
  <c r="BM77" i="5"/>
  <c r="BP77" i="5" s="1"/>
  <c r="AW77" i="5"/>
  <c r="AZ77" i="5" s="1"/>
  <c r="AD68" i="4"/>
  <c r="W68" i="4"/>
  <c r="A70" i="4"/>
  <c r="I69" i="4"/>
  <c r="C69" i="4"/>
  <c r="B69" i="4"/>
  <c r="G69" i="4"/>
  <c r="E69" i="4"/>
  <c r="V69" i="4"/>
  <c r="AG69" i="4"/>
  <c r="P69" i="4"/>
  <c r="K69" i="4"/>
  <c r="Y69" i="4"/>
  <c r="AC69" i="4"/>
  <c r="M69" i="4"/>
  <c r="S69" i="4"/>
  <c r="T68" i="4"/>
  <c r="Z68" i="4"/>
  <c r="Q68" i="4"/>
  <c r="AH68" i="4"/>
  <c r="Y70" i="3"/>
  <c r="X70" i="3"/>
  <c r="AP70" i="3"/>
  <c r="AO70" i="3"/>
  <c r="K71" i="3"/>
  <c r="D71" i="3"/>
  <c r="A72" i="3"/>
  <c r="J71" i="3"/>
  <c r="M71" i="3"/>
  <c r="C71" i="3"/>
  <c r="B71" i="3"/>
  <c r="N71" i="3"/>
  <c r="E71" i="3"/>
  <c r="S71" i="3"/>
  <c r="Q71" i="3"/>
  <c r="P71" i="3"/>
  <c r="AA71" i="3"/>
  <c r="AN71" i="3"/>
  <c r="AS71" i="3"/>
  <c r="G71" i="3"/>
  <c r="AE71" i="3"/>
  <c r="W71" i="3"/>
  <c r="AI71" i="3"/>
  <c r="T71" i="3"/>
  <c r="H71" i="3"/>
  <c r="AC70" i="3"/>
  <c r="AB70" i="3"/>
  <c r="AT70" i="3"/>
  <c r="AU70" i="3"/>
  <c r="AK70" i="3"/>
  <c r="AJ70" i="3"/>
  <c r="AG70" i="3"/>
  <c r="AF70" i="3"/>
  <c r="BH60" i="1"/>
  <c r="BF60" i="1"/>
  <c r="BG60" i="1"/>
  <c r="A86" i="2"/>
  <c r="CR85" i="2"/>
  <c r="CU85" i="2" s="1"/>
  <c r="CS85" i="2"/>
  <c r="CV85" i="2" s="1"/>
  <c r="CF85" i="2"/>
  <c r="CI85" i="2" s="1"/>
  <c r="BT85" i="2"/>
  <c r="BW85" i="2" s="1"/>
  <c r="BC85" i="2"/>
  <c r="BF85" i="2" s="1"/>
  <c r="CG85" i="2"/>
  <c r="CJ85" i="2" s="1"/>
  <c r="BL85" i="2"/>
  <c r="BO85" i="2" s="1"/>
  <c r="BU85" i="2"/>
  <c r="BX85" i="2" s="1"/>
  <c r="BK85" i="2"/>
  <c r="BN85" i="2" s="1"/>
  <c r="BB85" i="2"/>
  <c r="BE85" i="2" s="1"/>
  <c r="AJ84" i="2"/>
  <c r="AD84" i="2"/>
  <c r="AK84" i="2"/>
  <c r="S84" i="2"/>
  <c r="R84" i="2"/>
  <c r="M84" i="2"/>
  <c r="L84" i="2"/>
  <c r="G84" i="2"/>
  <c r="F84" i="2"/>
  <c r="AE84" i="2"/>
  <c r="Y84" i="2"/>
  <c r="X84" i="2"/>
  <c r="AS84" i="2"/>
  <c r="AV84" i="2" s="1"/>
  <c r="AT84" i="2"/>
  <c r="AW84" i="2" s="1"/>
  <c r="BD83" i="2"/>
  <c r="AU83" i="2"/>
  <c r="CT83" i="2"/>
  <c r="BM83" i="2"/>
  <c r="CH83" i="2"/>
  <c r="B84" i="2"/>
  <c r="Q84" i="2"/>
  <c r="E84" i="2"/>
  <c r="D84" i="2"/>
  <c r="C84" i="2"/>
  <c r="W84" i="2"/>
  <c r="AI84" i="2"/>
  <c r="CQ84" i="2"/>
  <c r="BS84" i="2"/>
  <c r="BJ84" i="2"/>
  <c r="AC84" i="2"/>
  <c r="AR84" i="2"/>
  <c r="CE84" i="2"/>
  <c r="BA84" i="2"/>
  <c r="K84" i="2"/>
  <c r="BV83" i="2"/>
  <c r="AE59" i="1"/>
  <c r="AG59" i="1"/>
  <c r="AF59" i="1"/>
  <c r="AJ59" i="1"/>
  <c r="AK59" i="1"/>
  <c r="AL59" i="1"/>
  <c r="BA59" i="1"/>
  <c r="BB59" i="1"/>
  <c r="AZ59" i="1"/>
  <c r="AU59" i="1"/>
  <c r="AT59" i="1"/>
  <c r="AV59" i="1"/>
  <c r="AO59" i="1"/>
  <c r="AP59" i="1"/>
  <c r="AQ59" i="1"/>
  <c r="V60" i="1"/>
  <c r="B60" i="1"/>
  <c r="I60" i="1"/>
  <c r="U60" i="1"/>
  <c r="Y60" i="1"/>
  <c r="E60" i="1"/>
  <c r="M60" i="1"/>
  <c r="A61" i="1"/>
  <c r="BE61" i="1" s="1"/>
  <c r="K60" i="1"/>
  <c r="AY60" i="1"/>
  <c r="G60" i="1"/>
  <c r="D60" i="1"/>
  <c r="F60" i="1"/>
  <c r="AD60" i="1"/>
  <c r="AN60" i="1"/>
  <c r="Q60" i="1"/>
  <c r="AS60" i="1"/>
  <c r="C60" i="1"/>
  <c r="N60" i="1"/>
  <c r="J60" i="1"/>
  <c r="R60" i="1"/>
  <c r="W60" i="1"/>
  <c r="AI60" i="1"/>
  <c r="AA60" i="1"/>
  <c r="Z60" i="1"/>
  <c r="O60" i="1"/>
  <c r="S60" i="1"/>
  <c r="P78" i="5" l="1"/>
  <c r="B78" i="5"/>
  <c r="M78" i="5"/>
  <c r="L78" i="5"/>
  <c r="C78" i="5"/>
  <c r="A79" i="5"/>
  <c r="E78" i="5"/>
  <c r="Q78" i="5"/>
  <c r="D78" i="5"/>
  <c r="AD78" i="5"/>
  <c r="AG78" i="5" s="1"/>
  <c r="AK78" i="5"/>
  <c r="AJ78" i="5"/>
  <c r="AM78" i="5" s="1"/>
  <c r="AE78" i="5"/>
  <c r="BL78" i="5"/>
  <c r="BO78" i="5" s="1"/>
  <c r="X78" i="5"/>
  <c r="BD78" i="5"/>
  <c r="BG78" i="5" s="1"/>
  <c r="H78" i="5"/>
  <c r="AV78" i="5"/>
  <c r="AY78" i="5" s="1"/>
  <c r="AQ78" i="5"/>
  <c r="AP78" i="5"/>
  <c r="AS78" i="5" s="1"/>
  <c r="I78" i="5"/>
  <c r="U78" i="5"/>
  <c r="T78" i="5"/>
  <c r="BM78" i="5"/>
  <c r="BP78" i="5" s="1"/>
  <c r="Y78" i="5"/>
  <c r="BE78" i="5"/>
  <c r="BH78" i="5" s="1"/>
  <c r="AW78" i="5"/>
  <c r="AZ78" i="5" s="1"/>
  <c r="T69" i="4"/>
  <c r="Q69" i="4"/>
  <c r="AD69" i="4"/>
  <c r="AH69" i="4"/>
  <c r="A71" i="4"/>
  <c r="I70" i="4"/>
  <c r="C70" i="4"/>
  <c r="G70" i="4"/>
  <c r="B70" i="4"/>
  <c r="Y70" i="4"/>
  <c r="V70" i="4"/>
  <c r="S70" i="4"/>
  <c r="AG70" i="4"/>
  <c r="E70" i="4"/>
  <c r="M70" i="4"/>
  <c r="P70" i="4"/>
  <c r="K70" i="4"/>
  <c r="AC70" i="4"/>
  <c r="Z69" i="4"/>
  <c r="W69" i="4"/>
  <c r="AK71" i="3"/>
  <c r="AJ71" i="3"/>
  <c r="Y71" i="3"/>
  <c r="X71" i="3"/>
  <c r="AP71" i="3"/>
  <c r="AO71" i="3"/>
  <c r="AC71" i="3"/>
  <c r="AB71" i="3"/>
  <c r="N72" i="3"/>
  <c r="C72" i="3"/>
  <c r="B72" i="3"/>
  <c r="E72" i="3"/>
  <c r="J72" i="3"/>
  <c r="M72" i="3"/>
  <c r="D72" i="3"/>
  <c r="K72" i="3"/>
  <c r="A73" i="3"/>
  <c r="AN72" i="3"/>
  <c r="H72" i="3"/>
  <c r="Q72" i="3"/>
  <c r="W72" i="3"/>
  <c r="AA72" i="3"/>
  <c r="AI72" i="3"/>
  <c r="G72" i="3"/>
  <c r="S72" i="3"/>
  <c r="AS72" i="3"/>
  <c r="AE72" i="3"/>
  <c r="P72" i="3"/>
  <c r="T72" i="3"/>
  <c r="AG71" i="3"/>
  <c r="AF71" i="3"/>
  <c r="AT71" i="3"/>
  <c r="AU71" i="3"/>
  <c r="BF61" i="1"/>
  <c r="BH61" i="1"/>
  <c r="BG61" i="1"/>
  <c r="A87" i="2"/>
  <c r="CS86" i="2"/>
  <c r="CV86" i="2" s="1"/>
  <c r="CG86" i="2"/>
  <c r="CJ86" i="2" s="1"/>
  <c r="BU86" i="2"/>
  <c r="BX86" i="2" s="1"/>
  <c r="BT86" i="2"/>
  <c r="BW86" i="2" s="1"/>
  <c r="CF86" i="2"/>
  <c r="CI86" i="2" s="1"/>
  <c r="BK86" i="2"/>
  <c r="BN86" i="2" s="1"/>
  <c r="BB86" i="2"/>
  <c r="BE86" i="2" s="1"/>
  <c r="CR86" i="2"/>
  <c r="CU86" i="2" s="1"/>
  <c r="BC86" i="2"/>
  <c r="BF86" i="2" s="1"/>
  <c r="BL86" i="2"/>
  <c r="BO86" i="2" s="1"/>
  <c r="AD85" i="2"/>
  <c r="AK85" i="2"/>
  <c r="Y85" i="2"/>
  <c r="G85" i="2"/>
  <c r="R85" i="2"/>
  <c r="AJ85" i="2"/>
  <c r="M85" i="2"/>
  <c r="L85" i="2"/>
  <c r="F85" i="2"/>
  <c r="X85" i="2"/>
  <c r="S85" i="2"/>
  <c r="AE85" i="2"/>
  <c r="AS85" i="2"/>
  <c r="AV85" i="2" s="1"/>
  <c r="AT85" i="2"/>
  <c r="AW85" i="2" s="1"/>
  <c r="W85" i="2"/>
  <c r="D85" i="2"/>
  <c r="Q85" i="2"/>
  <c r="C85" i="2"/>
  <c r="E85" i="2"/>
  <c r="B85" i="2"/>
  <c r="AC85" i="2"/>
  <c r="CE85" i="2"/>
  <c r="BA85" i="2"/>
  <c r="BJ85" i="2"/>
  <c r="AI85" i="2"/>
  <c r="AR85" i="2"/>
  <c r="K85" i="2"/>
  <c r="CQ85" i="2"/>
  <c r="BS85" i="2"/>
  <c r="CH84" i="2"/>
  <c r="AU84" i="2"/>
  <c r="BM84" i="2"/>
  <c r="BV84" i="2"/>
  <c r="CT84" i="2"/>
  <c r="BD84" i="2"/>
  <c r="AV60" i="1"/>
  <c r="AU60" i="1"/>
  <c r="AT60" i="1"/>
  <c r="I61" i="1"/>
  <c r="Q61" i="1"/>
  <c r="AD61" i="1"/>
  <c r="B61" i="1"/>
  <c r="AI61" i="1"/>
  <c r="E61" i="1"/>
  <c r="Y61" i="1"/>
  <c r="D61" i="1"/>
  <c r="J61" i="1"/>
  <c r="V61" i="1"/>
  <c r="AN61" i="1"/>
  <c r="U61" i="1"/>
  <c r="AA61" i="1"/>
  <c r="N61" i="1"/>
  <c r="AY61" i="1"/>
  <c r="G61" i="1"/>
  <c r="R61" i="1"/>
  <c r="S61" i="1"/>
  <c r="AS61" i="1"/>
  <c r="C61" i="1"/>
  <c r="O61" i="1"/>
  <c r="Z61" i="1"/>
  <c r="F61" i="1"/>
  <c r="M61" i="1"/>
  <c r="W61" i="1"/>
  <c r="K61" i="1"/>
  <c r="A62" i="1"/>
  <c r="BE62" i="1" s="1"/>
  <c r="AL60" i="1"/>
  <c r="AK60" i="1"/>
  <c r="AJ60" i="1"/>
  <c r="AP60" i="1"/>
  <c r="AO60" i="1"/>
  <c r="AQ60" i="1"/>
  <c r="AF60" i="1"/>
  <c r="AG60" i="1"/>
  <c r="AE60" i="1"/>
  <c r="AZ60" i="1"/>
  <c r="BA60" i="1"/>
  <c r="BB60" i="1"/>
  <c r="Q79" i="5" l="1"/>
  <c r="C79" i="5"/>
  <c r="P79" i="5"/>
  <c r="B79" i="5"/>
  <c r="M79" i="5"/>
  <c r="E79" i="5"/>
  <c r="A80" i="5"/>
  <c r="L79" i="5"/>
  <c r="D79" i="5"/>
  <c r="AK79" i="5"/>
  <c r="AE79" i="5"/>
  <c r="AJ79" i="5"/>
  <c r="AM79" i="5" s="1"/>
  <c r="BD79" i="5"/>
  <c r="BG79" i="5" s="1"/>
  <c r="BL79" i="5"/>
  <c r="BO79" i="5" s="1"/>
  <c r="H79" i="5"/>
  <c r="U79" i="5"/>
  <c r="X79" i="5"/>
  <c r="AV79" i="5"/>
  <c r="AY79" i="5" s="1"/>
  <c r="AQ79" i="5"/>
  <c r="BE79" i="5"/>
  <c r="BH79" i="5" s="1"/>
  <c r="I79" i="5"/>
  <c r="AP79" i="5"/>
  <c r="AS79" i="5" s="1"/>
  <c r="AD79" i="5"/>
  <c r="AG79" i="5" s="1"/>
  <c r="T79" i="5"/>
  <c r="BM79" i="5"/>
  <c r="BP79" i="5" s="1"/>
  <c r="Y79" i="5"/>
  <c r="AW79" i="5"/>
  <c r="AZ79" i="5" s="1"/>
  <c r="W70" i="4"/>
  <c r="Z70" i="4"/>
  <c r="AD70" i="4"/>
  <c r="AH70" i="4"/>
  <c r="A72" i="4"/>
  <c r="I71" i="4"/>
  <c r="C71" i="4"/>
  <c r="B71" i="4"/>
  <c r="G71" i="4"/>
  <c r="V71" i="4"/>
  <c r="AC71" i="4"/>
  <c r="S71" i="4"/>
  <c r="E71" i="4"/>
  <c r="Y71" i="4"/>
  <c r="K71" i="4"/>
  <c r="M71" i="4"/>
  <c r="AG71" i="4"/>
  <c r="P71" i="4"/>
  <c r="Q70" i="4"/>
  <c r="T70" i="4"/>
  <c r="A74" i="3"/>
  <c r="J73" i="3"/>
  <c r="D73" i="3"/>
  <c r="M73" i="3"/>
  <c r="E73" i="3"/>
  <c r="N73" i="3"/>
  <c r="C73" i="3"/>
  <c r="K73" i="3"/>
  <c r="B73" i="3"/>
  <c r="S73" i="3"/>
  <c r="AA73" i="3"/>
  <c r="AS73" i="3"/>
  <c r="H73" i="3"/>
  <c r="T73" i="3"/>
  <c r="AN73" i="3"/>
  <c r="Q73" i="3"/>
  <c r="AI73" i="3"/>
  <c r="G73" i="3"/>
  <c r="P73" i="3"/>
  <c r="W73" i="3"/>
  <c r="AE73" i="3"/>
  <c r="AK72" i="3"/>
  <c r="AJ72" i="3"/>
  <c r="AG72" i="3"/>
  <c r="AF72" i="3"/>
  <c r="AC72" i="3"/>
  <c r="AB72" i="3"/>
  <c r="AP72" i="3"/>
  <c r="AO72" i="3"/>
  <c r="AU72" i="3"/>
  <c r="AT72" i="3"/>
  <c r="X72" i="3"/>
  <c r="Y72" i="3"/>
  <c r="BF62" i="1"/>
  <c r="BG62" i="1"/>
  <c r="BH62" i="1"/>
  <c r="CR87" i="2"/>
  <c r="CU87" i="2" s="1"/>
  <c r="A88" i="2"/>
  <c r="CG87" i="2"/>
  <c r="CJ87" i="2" s="1"/>
  <c r="CF87" i="2"/>
  <c r="CI87" i="2" s="1"/>
  <c r="BU87" i="2"/>
  <c r="BX87" i="2" s="1"/>
  <c r="BT87" i="2"/>
  <c r="BW87" i="2" s="1"/>
  <c r="CS87" i="2"/>
  <c r="CV87" i="2" s="1"/>
  <c r="BL87" i="2"/>
  <c r="BO87" i="2" s="1"/>
  <c r="BK87" i="2"/>
  <c r="BN87" i="2" s="1"/>
  <c r="BB87" i="2"/>
  <c r="BE87" i="2" s="1"/>
  <c r="BC87" i="2"/>
  <c r="BF87" i="2" s="1"/>
  <c r="AJ86" i="2"/>
  <c r="AE86" i="2"/>
  <c r="Y86" i="2"/>
  <c r="S86" i="2"/>
  <c r="M86" i="2"/>
  <c r="F86" i="2"/>
  <c r="L86" i="2"/>
  <c r="G86" i="2"/>
  <c r="X86" i="2"/>
  <c r="AK86" i="2"/>
  <c r="AD86" i="2"/>
  <c r="R86" i="2"/>
  <c r="AT86" i="2"/>
  <c r="AW86" i="2" s="1"/>
  <c r="AS86" i="2"/>
  <c r="AV86" i="2" s="1"/>
  <c r="CH85" i="2"/>
  <c r="BV85" i="2"/>
  <c r="AU85" i="2"/>
  <c r="CT85" i="2"/>
  <c r="BM85" i="2"/>
  <c r="BD85" i="2"/>
  <c r="Q86" i="2"/>
  <c r="C86" i="2"/>
  <c r="W86" i="2"/>
  <c r="D86" i="2"/>
  <c r="B86" i="2"/>
  <c r="E86" i="2"/>
  <c r="CE86" i="2"/>
  <c r="CQ86" i="2"/>
  <c r="K86" i="2"/>
  <c r="BA86" i="2"/>
  <c r="AR86" i="2"/>
  <c r="BJ86" i="2"/>
  <c r="AI86" i="2"/>
  <c r="AC86" i="2"/>
  <c r="BS86" i="2"/>
  <c r="AJ61" i="1"/>
  <c r="AL61" i="1"/>
  <c r="AK61" i="1"/>
  <c r="AA62" i="1"/>
  <c r="F62" i="1"/>
  <c r="R62" i="1"/>
  <c r="W62" i="1"/>
  <c r="A63" i="1"/>
  <c r="BE63" i="1" s="1"/>
  <c r="U62" i="1"/>
  <c r="E62" i="1"/>
  <c r="Y62" i="1"/>
  <c r="AY62" i="1"/>
  <c r="V62" i="1"/>
  <c r="B62" i="1"/>
  <c r="J62" i="1"/>
  <c r="O62" i="1"/>
  <c r="Z62" i="1"/>
  <c r="G62" i="1"/>
  <c r="AD62" i="1"/>
  <c r="K62" i="1"/>
  <c r="AS62" i="1"/>
  <c r="S62" i="1"/>
  <c r="Q62" i="1"/>
  <c r="AN62" i="1"/>
  <c r="D62" i="1"/>
  <c r="I62" i="1"/>
  <c r="M62" i="1"/>
  <c r="AI62" i="1"/>
  <c r="N62" i="1"/>
  <c r="C62" i="1"/>
  <c r="AV61" i="1"/>
  <c r="AU61" i="1"/>
  <c r="AT61" i="1"/>
  <c r="BB61" i="1"/>
  <c r="BA61" i="1"/>
  <c r="AZ61" i="1"/>
  <c r="AO61" i="1"/>
  <c r="AQ61" i="1"/>
  <c r="AP61" i="1"/>
  <c r="AF61" i="1"/>
  <c r="AG61" i="1"/>
  <c r="AE61" i="1"/>
  <c r="M80" i="5" l="1"/>
  <c r="E80" i="5"/>
  <c r="A81" i="5"/>
  <c r="L80" i="5"/>
  <c r="D80" i="5"/>
  <c r="P80" i="5"/>
  <c r="C80" i="5"/>
  <c r="B80" i="5"/>
  <c r="Q80" i="5"/>
  <c r="BD80" i="5"/>
  <c r="BG80" i="5" s="1"/>
  <c r="AD80" i="5"/>
  <c r="AG80" i="5" s="1"/>
  <c r="AJ80" i="5"/>
  <c r="AM80" i="5" s="1"/>
  <c r="AV80" i="5"/>
  <c r="AY80" i="5" s="1"/>
  <c r="X80" i="5"/>
  <c r="AK80" i="5"/>
  <c r="BL80" i="5"/>
  <c r="BO80" i="5" s="1"/>
  <c r="U80" i="5"/>
  <c r="T80" i="5"/>
  <c r="AE80" i="5"/>
  <c r="AW80" i="5"/>
  <c r="AZ80" i="5" s="1"/>
  <c r="H80" i="5"/>
  <c r="I80" i="5"/>
  <c r="AQ80" i="5"/>
  <c r="AP80" i="5"/>
  <c r="AS80" i="5" s="1"/>
  <c r="BM80" i="5"/>
  <c r="BP80" i="5" s="1"/>
  <c r="BE80" i="5"/>
  <c r="BH80" i="5" s="1"/>
  <c r="Y80" i="5"/>
  <c r="Z71" i="4"/>
  <c r="W71" i="4"/>
  <c r="Q71" i="4"/>
  <c r="T71" i="4"/>
  <c r="AH71" i="4"/>
  <c r="A73" i="4"/>
  <c r="I72" i="4"/>
  <c r="C72" i="4"/>
  <c r="G72" i="4"/>
  <c r="B72" i="4"/>
  <c r="Y72" i="4"/>
  <c r="V72" i="4"/>
  <c r="M72" i="4"/>
  <c r="S72" i="4"/>
  <c r="AG72" i="4"/>
  <c r="P72" i="4"/>
  <c r="K72" i="4"/>
  <c r="AC72" i="4"/>
  <c r="E72" i="4"/>
  <c r="AD71" i="4"/>
  <c r="AJ73" i="3"/>
  <c r="AK73" i="3"/>
  <c r="AG73" i="3"/>
  <c r="AF73" i="3"/>
  <c r="AC73" i="3"/>
  <c r="AB73" i="3"/>
  <c r="Y73" i="3"/>
  <c r="X73" i="3"/>
  <c r="AU73" i="3"/>
  <c r="AT73" i="3"/>
  <c r="AP73" i="3"/>
  <c r="AO73" i="3"/>
  <c r="A75" i="3"/>
  <c r="J74" i="3"/>
  <c r="C74" i="3"/>
  <c r="M74" i="3"/>
  <c r="B74" i="3"/>
  <c r="K74" i="3"/>
  <c r="N74" i="3"/>
  <c r="D74" i="3"/>
  <c r="E74" i="3"/>
  <c r="AN74" i="3"/>
  <c r="AI74" i="3"/>
  <c r="AS74" i="3"/>
  <c r="G74" i="3"/>
  <c r="P74" i="3"/>
  <c r="AA74" i="3"/>
  <c r="H74" i="3"/>
  <c r="W74" i="3"/>
  <c r="S74" i="3"/>
  <c r="AE74" i="3"/>
  <c r="Q74" i="3"/>
  <c r="T74" i="3"/>
  <c r="BH63" i="1"/>
  <c r="BG63" i="1"/>
  <c r="BF63" i="1"/>
  <c r="A89" i="2"/>
  <c r="CS88" i="2"/>
  <c r="CV88" i="2" s="1"/>
  <c r="CG88" i="2"/>
  <c r="CJ88" i="2" s="1"/>
  <c r="CF88" i="2"/>
  <c r="CI88" i="2" s="1"/>
  <c r="BU88" i="2"/>
  <c r="BX88" i="2" s="1"/>
  <c r="BT88" i="2"/>
  <c r="BW88" i="2" s="1"/>
  <c r="BK88" i="2"/>
  <c r="BN88" i="2" s="1"/>
  <c r="CR88" i="2"/>
  <c r="CU88" i="2" s="1"/>
  <c r="BL88" i="2"/>
  <c r="BO88" i="2" s="1"/>
  <c r="BC88" i="2"/>
  <c r="BF88" i="2" s="1"/>
  <c r="BB88" i="2"/>
  <c r="BE88" i="2" s="1"/>
  <c r="AD87" i="2"/>
  <c r="AE87" i="2"/>
  <c r="Y87" i="2"/>
  <c r="L87" i="2"/>
  <c r="G87" i="2"/>
  <c r="X87" i="2"/>
  <c r="M87" i="2"/>
  <c r="F87" i="2"/>
  <c r="S87" i="2"/>
  <c r="R87" i="2"/>
  <c r="AK87" i="2"/>
  <c r="AJ87" i="2"/>
  <c r="AS87" i="2"/>
  <c r="AV87" i="2" s="1"/>
  <c r="AT87" i="2"/>
  <c r="AW87" i="2" s="1"/>
  <c r="BM86" i="2"/>
  <c r="BD86" i="2"/>
  <c r="AU86" i="2"/>
  <c r="BV86" i="2"/>
  <c r="E87" i="2"/>
  <c r="B87" i="2"/>
  <c r="W87" i="2"/>
  <c r="Q87" i="2"/>
  <c r="D87" i="2"/>
  <c r="C87" i="2"/>
  <c r="BJ87" i="2"/>
  <c r="CE87" i="2"/>
  <c r="CQ87" i="2"/>
  <c r="AI87" i="2"/>
  <c r="BA87" i="2"/>
  <c r="BS87" i="2"/>
  <c r="AR87" i="2"/>
  <c r="K87" i="2"/>
  <c r="AC87" i="2"/>
  <c r="CH86" i="2"/>
  <c r="CT86" i="2"/>
  <c r="AL62" i="1"/>
  <c r="AK62" i="1"/>
  <c r="AJ62" i="1"/>
  <c r="AO62" i="1"/>
  <c r="AP62" i="1"/>
  <c r="AQ62" i="1"/>
  <c r="AZ62" i="1"/>
  <c r="BB62" i="1"/>
  <c r="BA62" i="1"/>
  <c r="S63" i="1"/>
  <c r="J63" i="1"/>
  <c r="N63" i="1"/>
  <c r="Z63" i="1"/>
  <c r="AS63" i="1"/>
  <c r="C63" i="1"/>
  <c r="AY63" i="1"/>
  <c r="U63" i="1"/>
  <c r="B63" i="1"/>
  <c r="D63" i="1"/>
  <c r="K63" i="1"/>
  <c r="G63" i="1"/>
  <c r="AD63" i="1"/>
  <c r="AI63" i="1"/>
  <c r="O63" i="1"/>
  <c r="I63" i="1"/>
  <c r="R63" i="1"/>
  <c r="W63" i="1"/>
  <c r="A64" i="1"/>
  <c r="BE64" i="1" s="1"/>
  <c r="V63" i="1"/>
  <c r="F63" i="1"/>
  <c r="Y63" i="1"/>
  <c r="Q63" i="1"/>
  <c r="AA63" i="1"/>
  <c r="AN63" i="1"/>
  <c r="E63" i="1"/>
  <c r="M63" i="1"/>
  <c r="AG62" i="1"/>
  <c r="AE62" i="1"/>
  <c r="AF62" i="1"/>
  <c r="AV62" i="1"/>
  <c r="AT62" i="1"/>
  <c r="AU62" i="1"/>
  <c r="P81" i="5" l="1"/>
  <c r="B81" i="5"/>
  <c r="E81" i="5"/>
  <c r="A82" i="5"/>
  <c r="D81" i="5"/>
  <c r="M81" i="5"/>
  <c r="Q81" i="5"/>
  <c r="L81" i="5"/>
  <c r="C81" i="5"/>
  <c r="X81" i="5"/>
  <c r="AK81" i="5"/>
  <c r="AV81" i="5"/>
  <c r="AY81" i="5" s="1"/>
  <c r="BD81" i="5"/>
  <c r="BG81" i="5" s="1"/>
  <c r="AE81" i="5"/>
  <c r="BL81" i="5"/>
  <c r="BO81" i="5" s="1"/>
  <c r="AJ81" i="5"/>
  <c r="AM81" i="5" s="1"/>
  <c r="AD81" i="5"/>
  <c r="AG81" i="5" s="1"/>
  <c r="H81" i="5"/>
  <c r="U81" i="5"/>
  <c r="I81" i="5"/>
  <c r="AQ81" i="5"/>
  <c r="T81" i="5"/>
  <c r="AP81" i="5"/>
  <c r="AS81" i="5" s="1"/>
  <c r="BE81" i="5"/>
  <c r="BH81" i="5" s="1"/>
  <c r="BM81" i="5"/>
  <c r="BP81" i="5" s="1"/>
  <c r="Y81" i="5"/>
  <c r="AW81" i="5"/>
  <c r="AZ81" i="5" s="1"/>
  <c r="AD72" i="4"/>
  <c r="AH72" i="4"/>
  <c r="T72" i="4"/>
  <c r="A74" i="4"/>
  <c r="I73" i="4"/>
  <c r="C73" i="4"/>
  <c r="B73" i="4"/>
  <c r="G73" i="4"/>
  <c r="AC73" i="4"/>
  <c r="AG73" i="4"/>
  <c r="S73" i="4"/>
  <c r="P73" i="4"/>
  <c r="Y73" i="4"/>
  <c r="K73" i="4"/>
  <c r="M73" i="4"/>
  <c r="V73" i="4"/>
  <c r="E73" i="4"/>
  <c r="Q72" i="4"/>
  <c r="W72" i="4"/>
  <c r="Z72" i="4"/>
  <c r="AG74" i="3"/>
  <c r="AF74" i="3"/>
  <c r="Y74" i="3"/>
  <c r="X74" i="3"/>
  <c r="AK74" i="3"/>
  <c r="AJ74" i="3"/>
  <c r="N75" i="3"/>
  <c r="C75" i="3"/>
  <c r="M75" i="3"/>
  <c r="J75" i="3"/>
  <c r="K75" i="3"/>
  <c r="B75" i="3"/>
  <c r="E75" i="3"/>
  <c r="D75" i="3"/>
  <c r="A76" i="3"/>
  <c r="AA75" i="3"/>
  <c r="G75" i="3"/>
  <c r="W75" i="3"/>
  <c r="AI75" i="3"/>
  <c r="AN75" i="3"/>
  <c r="AS75" i="3"/>
  <c r="H75" i="3"/>
  <c r="Q75" i="3"/>
  <c r="AE75" i="3"/>
  <c r="P75" i="3"/>
  <c r="S75" i="3"/>
  <c r="T75" i="3"/>
  <c r="AB74" i="3"/>
  <c r="AC74" i="3"/>
  <c r="AO74" i="3"/>
  <c r="AP74" i="3"/>
  <c r="AU74" i="3"/>
  <c r="AT74" i="3"/>
  <c r="BH64" i="1"/>
  <c r="BG64" i="1"/>
  <c r="BF64" i="1"/>
  <c r="A90" i="2"/>
  <c r="CR89" i="2"/>
  <c r="CU89" i="2" s="1"/>
  <c r="CF89" i="2"/>
  <c r="CI89" i="2" s="1"/>
  <c r="CG89" i="2"/>
  <c r="CJ89" i="2" s="1"/>
  <c r="BU89" i="2"/>
  <c r="BX89" i="2" s="1"/>
  <c r="CS89" i="2"/>
  <c r="CV89" i="2" s="1"/>
  <c r="BT89" i="2"/>
  <c r="BW89" i="2" s="1"/>
  <c r="BL89" i="2"/>
  <c r="BO89" i="2" s="1"/>
  <c r="BC89" i="2"/>
  <c r="BF89" i="2" s="1"/>
  <c r="BB89" i="2"/>
  <c r="BE89" i="2" s="1"/>
  <c r="BK89" i="2"/>
  <c r="BN89" i="2" s="1"/>
  <c r="AJ88" i="2"/>
  <c r="AD88" i="2"/>
  <c r="AK88" i="2"/>
  <c r="Y88" i="2"/>
  <c r="X88" i="2"/>
  <c r="S88" i="2"/>
  <c r="R88" i="2"/>
  <c r="AE88" i="2"/>
  <c r="M88" i="2"/>
  <c r="G88" i="2"/>
  <c r="L88" i="2"/>
  <c r="F88" i="2"/>
  <c r="AS88" i="2"/>
  <c r="AV88" i="2" s="1"/>
  <c r="AT88" i="2"/>
  <c r="AW88" i="2" s="1"/>
  <c r="CH87" i="2"/>
  <c r="BV87" i="2"/>
  <c r="BM87" i="2"/>
  <c r="CT87" i="2"/>
  <c r="AU87" i="2"/>
  <c r="BD87" i="2"/>
  <c r="E88" i="2"/>
  <c r="W88" i="2"/>
  <c r="D88" i="2"/>
  <c r="B88" i="2"/>
  <c r="C88" i="2"/>
  <c r="Q88" i="2"/>
  <c r="AC88" i="2"/>
  <c r="CQ88" i="2"/>
  <c r="AI88" i="2"/>
  <c r="K88" i="2"/>
  <c r="BJ88" i="2"/>
  <c r="AR88" i="2"/>
  <c r="CE88" i="2"/>
  <c r="BS88" i="2"/>
  <c r="BA88" i="2"/>
  <c r="AA64" i="1"/>
  <c r="F64" i="1"/>
  <c r="O64" i="1"/>
  <c r="E64" i="1"/>
  <c r="W64" i="1"/>
  <c r="R64" i="1"/>
  <c r="G64" i="1"/>
  <c r="N64" i="1"/>
  <c r="AN64" i="1"/>
  <c r="V64" i="1"/>
  <c r="B64" i="1"/>
  <c r="J64" i="1"/>
  <c r="A65" i="1"/>
  <c r="BE65" i="1" s="1"/>
  <c r="M64" i="1"/>
  <c r="I64" i="1"/>
  <c r="S64" i="1"/>
  <c r="K64" i="1"/>
  <c r="AI64" i="1"/>
  <c r="AD64" i="1"/>
  <c r="Q64" i="1"/>
  <c r="Z64" i="1"/>
  <c r="Y64" i="1"/>
  <c r="AS64" i="1"/>
  <c r="D64" i="1"/>
  <c r="AY64" i="1"/>
  <c r="C64" i="1"/>
  <c r="U64" i="1"/>
  <c r="AJ63" i="1"/>
  <c r="AL63" i="1"/>
  <c r="AK63" i="1"/>
  <c r="BA63" i="1"/>
  <c r="BB63" i="1"/>
  <c r="AZ63" i="1"/>
  <c r="AP63" i="1"/>
  <c r="AQ63" i="1"/>
  <c r="AO63" i="1"/>
  <c r="AG63" i="1"/>
  <c r="AF63" i="1"/>
  <c r="AE63" i="1"/>
  <c r="AT63" i="1"/>
  <c r="AU63" i="1"/>
  <c r="AV63" i="1"/>
  <c r="Q82" i="5" l="1"/>
  <c r="C82" i="5"/>
  <c r="P82" i="5"/>
  <c r="E82" i="5"/>
  <c r="A83" i="5"/>
  <c r="D82" i="5"/>
  <c r="B82" i="5"/>
  <c r="M82" i="5"/>
  <c r="L82" i="5"/>
  <c r="AD82" i="5"/>
  <c r="AG82" i="5" s="1"/>
  <c r="AK82" i="5"/>
  <c r="AV82" i="5"/>
  <c r="AY82" i="5" s="1"/>
  <c r="X82" i="5"/>
  <c r="BD82" i="5"/>
  <c r="BG82" i="5" s="1"/>
  <c r="AE82" i="5"/>
  <c r="AJ82" i="5"/>
  <c r="AM82" i="5" s="1"/>
  <c r="BL82" i="5"/>
  <c r="BO82" i="5" s="1"/>
  <c r="T82" i="5"/>
  <c r="AP82" i="5"/>
  <c r="AS82" i="5" s="1"/>
  <c r="I82" i="5"/>
  <c r="U82" i="5"/>
  <c r="H82" i="5"/>
  <c r="AQ82" i="5"/>
  <c r="BM82" i="5"/>
  <c r="BP82" i="5" s="1"/>
  <c r="BE82" i="5"/>
  <c r="BH82" i="5" s="1"/>
  <c r="AW82" i="5"/>
  <c r="AZ82" i="5" s="1"/>
  <c r="Y82" i="5"/>
  <c r="AH73" i="4"/>
  <c r="AD73" i="4"/>
  <c r="Z73" i="4"/>
  <c r="W73" i="4"/>
  <c r="Q73" i="4"/>
  <c r="T73" i="4"/>
  <c r="A75" i="4"/>
  <c r="I74" i="4"/>
  <c r="C74" i="4"/>
  <c r="B74" i="4"/>
  <c r="G74" i="4"/>
  <c r="S74" i="4"/>
  <c r="AG74" i="4"/>
  <c r="M74" i="4"/>
  <c r="P74" i="4"/>
  <c r="E74" i="4"/>
  <c r="V74" i="4"/>
  <c r="AC74" i="4"/>
  <c r="Y74" i="4"/>
  <c r="K74" i="4"/>
  <c r="AU75" i="3"/>
  <c r="AT75" i="3"/>
  <c r="AC75" i="3"/>
  <c r="AB75" i="3"/>
  <c r="AP75" i="3"/>
  <c r="AO75" i="3"/>
  <c r="A77" i="3"/>
  <c r="J76" i="3"/>
  <c r="D76" i="3"/>
  <c r="E76" i="3"/>
  <c r="K76" i="3"/>
  <c r="C76" i="3"/>
  <c r="N76" i="3"/>
  <c r="B76" i="3"/>
  <c r="M76" i="3"/>
  <c r="Q76" i="3"/>
  <c r="AA76" i="3"/>
  <c r="H76" i="3"/>
  <c r="W76" i="3"/>
  <c r="AI76" i="3"/>
  <c r="AE76" i="3"/>
  <c r="AN76" i="3"/>
  <c r="P76" i="3"/>
  <c r="AS76" i="3"/>
  <c r="G76" i="3"/>
  <c r="S76" i="3"/>
  <c r="T76" i="3"/>
  <c r="AK75" i="3"/>
  <c r="AJ75" i="3"/>
  <c r="AG75" i="3"/>
  <c r="AF75" i="3"/>
  <c r="X75" i="3"/>
  <c r="Y75" i="3"/>
  <c r="BH65" i="1"/>
  <c r="BF65" i="1"/>
  <c r="BG65" i="1"/>
  <c r="CS90" i="2"/>
  <c r="CV90" i="2" s="1"/>
  <c r="A91" i="2"/>
  <c r="CG90" i="2"/>
  <c r="CJ90" i="2" s="1"/>
  <c r="BU90" i="2"/>
  <c r="BX90" i="2" s="1"/>
  <c r="BT90" i="2"/>
  <c r="BW90" i="2" s="1"/>
  <c r="CR90" i="2"/>
  <c r="CU90" i="2" s="1"/>
  <c r="BK90" i="2"/>
  <c r="BN90" i="2" s="1"/>
  <c r="BB90" i="2"/>
  <c r="BE90" i="2" s="1"/>
  <c r="CF90" i="2"/>
  <c r="CI90" i="2" s="1"/>
  <c r="BC90" i="2"/>
  <c r="BF90" i="2" s="1"/>
  <c r="BL90" i="2"/>
  <c r="BO90" i="2" s="1"/>
  <c r="AK89" i="2"/>
  <c r="Y89" i="2"/>
  <c r="AD89" i="2"/>
  <c r="G89" i="2"/>
  <c r="AJ89" i="2"/>
  <c r="S89" i="2"/>
  <c r="R89" i="2"/>
  <c r="M89" i="2"/>
  <c r="X89" i="2"/>
  <c r="AE89" i="2"/>
  <c r="F89" i="2"/>
  <c r="L89" i="2"/>
  <c r="AS89" i="2"/>
  <c r="AV89" i="2" s="1"/>
  <c r="AT89" i="2"/>
  <c r="AW89" i="2" s="1"/>
  <c r="BD88" i="2"/>
  <c r="B89" i="2"/>
  <c r="Q89" i="2"/>
  <c r="D89" i="2"/>
  <c r="C89" i="2"/>
  <c r="W89" i="2"/>
  <c r="E89" i="2"/>
  <c r="AR89" i="2"/>
  <c r="CQ89" i="2"/>
  <c r="AI89" i="2"/>
  <c r="AC89" i="2"/>
  <c r="BS89" i="2"/>
  <c r="BA89" i="2"/>
  <c r="BJ89" i="2"/>
  <c r="CE89" i="2"/>
  <c r="K89" i="2"/>
  <c r="BV88" i="2"/>
  <c r="CT88" i="2"/>
  <c r="BM88" i="2"/>
  <c r="CH88" i="2"/>
  <c r="AU88" i="2"/>
  <c r="AT64" i="1"/>
  <c r="AU64" i="1"/>
  <c r="AV64" i="1"/>
  <c r="AF64" i="1"/>
  <c r="AE64" i="1"/>
  <c r="AG64" i="1"/>
  <c r="BA64" i="1"/>
  <c r="BB64" i="1"/>
  <c r="AZ64" i="1"/>
  <c r="AJ64" i="1"/>
  <c r="AL64" i="1"/>
  <c r="AK64" i="1"/>
  <c r="Y65" i="1"/>
  <c r="D65" i="1"/>
  <c r="AN65" i="1"/>
  <c r="R65" i="1"/>
  <c r="V65" i="1"/>
  <c r="J65" i="1"/>
  <c r="O65" i="1"/>
  <c r="M65" i="1"/>
  <c r="Z65" i="1"/>
  <c r="AS65" i="1"/>
  <c r="C65" i="1"/>
  <c r="U65" i="1"/>
  <c r="S65" i="1"/>
  <c r="A66" i="1"/>
  <c r="BE66" i="1" s="1"/>
  <c r="AI65" i="1"/>
  <c r="K65" i="1"/>
  <c r="F65" i="1"/>
  <c r="I65" i="1"/>
  <c r="W65" i="1"/>
  <c r="Q65" i="1"/>
  <c r="N65" i="1"/>
  <c r="AY65" i="1"/>
  <c r="AD65" i="1"/>
  <c r="G65" i="1"/>
  <c r="B65" i="1"/>
  <c r="E65" i="1"/>
  <c r="AA65" i="1"/>
  <c r="AQ64" i="1"/>
  <c r="AP64" i="1"/>
  <c r="AO64" i="1"/>
  <c r="M83" i="5" l="1"/>
  <c r="E83" i="5"/>
  <c r="A84" i="5"/>
  <c r="L83" i="5"/>
  <c r="D83" i="5"/>
  <c r="B83" i="5"/>
  <c r="P83" i="5"/>
  <c r="Q83" i="5"/>
  <c r="C83" i="5"/>
  <c r="AE83" i="5"/>
  <c r="X83" i="5"/>
  <c r="AK83" i="5"/>
  <c r="BD83" i="5"/>
  <c r="BG83" i="5" s="1"/>
  <c r="AV83" i="5"/>
  <c r="AY83" i="5" s="1"/>
  <c r="BL83" i="5"/>
  <c r="BO83" i="5" s="1"/>
  <c r="AD83" i="5"/>
  <c r="AG83" i="5" s="1"/>
  <c r="AW83" i="5"/>
  <c r="AZ83" i="5" s="1"/>
  <c r="AJ83" i="5"/>
  <c r="AM83" i="5" s="1"/>
  <c r="I83" i="5"/>
  <c r="H83" i="5"/>
  <c r="AP83" i="5"/>
  <c r="AS83" i="5" s="1"/>
  <c r="AQ83" i="5"/>
  <c r="T83" i="5"/>
  <c r="U83" i="5"/>
  <c r="BM83" i="5"/>
  <c r="BP83" i="5" s="1"/>
  <c r="BE83" i="5"/>
  <c r="BH83" i="5" s="1"/>
  <c r="Y83" i="5"/>
  <c r="AD74" i="4"/>
  <c r="AH74" i="4"/>
  <c r="W74" i="4"/>
  <c r="T74" i="4"/>
  <c r="Z74" i="4"/>
  <c r="Q74" i="4"/>
  <c r="A76" i="4"/>
  <c r="I75" i="4"/>
  <c r="C75" i="4"/>
  <c r="G75" i="4"/>
  <c r="B75" i="4"/>
  <c r="S75" i="4"/>
  <c r="P75" i="4"/>
  <c r="Y75" i="4"/>
  <c r="M75" i="4"/>
  <c r="AG75" i="4"/>
  <c r="K75" i="4"/>
  <c r="AC75" i="4"/>
  <c r="V75" i="4"/>
  <c r="E75" i="4"/>
  <c r="AG76" i="3"/>
  <c r="AF76" i="3"/>
  <c r="AK76" i="3"/>
  <c r="AJ76" i="3"/>
  <c r="Y76" i="3"/>
  <c r="X76" i="3"/>
  <c r="AU76" i="3"/>
  <c r="AT76" i="3"/>
  <c r="C77" i="3"/>
  <c r="B77" i="3"/>
  <c r="N77" i="3"/>
  <c r="D77" i="3"/>
  <c r="A78" i="3"/>
  <c r="M77" i="3"/>
  <c r="E77" i="3"/>
  <c r="K77" i="3"/>
  <c r="J77" i="3"/>
  <c r="AI77" i="3"/>
  <c r="AS77" i="3"/>
  <c r="H77" i="3"/>
  <c r="W77" i="3"/>
  <c r="AA77" i="3"/>
  <c r="G77" i="3"/>
  <c r="AN77" i="3"/>
  <c r="P77" i="3"/>
  <c r="T77" i="3"/>
  <c r="S77" i="3"/>
  <c r="Q77" i="3"/>
  <c r="AE77" i="3"/>
  <c r="AP76" i="3"/>
  <c r="AO76" i="3"/>
  <c r="AC76" i="3"/>
  <c r="AB76" i="3"/>
  <c r="BF66" i="1"/>
  <c r="BH66" i="1"/>
  <c r="BG66" i="1"/>
  <c r="CR91" i="2"/>
  <c r="CU91" i="2" s="1"/>
  <c r="CS91" i="2"/>
  <c r="CV91" i="2" s="1"/>
  <c r="A92" i="2"/>
  <c r="BT91" i="2"/>
  <c r="BW91" i="2" s="1"/>
  <c r="BU91" i="2"/>
  <c r="BX91" i="2" s="1"/>
  <c r="BK91" i="2"/>
  <c r="BN91" i="2" s="1"/>
  <c r="BC91" i="2"/>
  <c r="BF91" i="2" s="1"/>
  <c r="BB91" i="2"/>
  <c r="BE91" i="2" s="1"/>
  <c r="CG91" i="2"/>
  <c r="CJ91" i="2" s="1"/>
  <c r="CF91" i="2"/>
  <c r="CI91" i="2" s="1"/>
  <c r="BL91" i="2"/>
  <c r="BO91" i="2" s="1"/>
  <c r="AK90" i="2"/>
  <c r="AD90" i="2"/>
  <c r="AJ90" i="2"/>
  <c r="S90" i="2"/>
  <c r="M90" i="2"/>
  <c r="R90" i="2"/>
  <c r="L90" i="2"/>
  <c r="G90" i="2"/>
  <c r="AE90" i="2"/>
  <c r="Y90" i="2"/>
  <c r="X90" i="2"/>
  <c r="F90" i="2"/>
  <c r="AS90" i="2"/>
  <c r="AV90" i="2" s="1"/>
  <c r="AT90" i="2"/>
  <c r="AW90" i="2" s="1"/>
  <c r="BV89" i="2"/>
  <c r="CH89" i="2"/>
  <c r="Q90" i="2"/>
  <c r="C90" i="2"/>
  <c r="W90" i="2"/>
  <c r="D90" i="2"/>
  <c r="B90" i="2"/>
  <c r="E90" i="2"/>
  <c r="BJ90" i="2"/>
  <c r="AC90" i="2"/>
  <c r="BA90" i="2"/>
  <c r="AI90" i="2"/>
  <c r="AR90" i="2"/>
  <c r="BS90" i="2"/>
  <c r="K90" i="2"/>
  <c r="CE90" i="2"/>
  <c r="CQ90" i="2"/>
  <c r="BM89" i="2"/>
  <c r="CT89" i="2"/>
  <c r="BD89" i="2"/>
  <c r="AU89" i="2"/>
  <c r="AK65" i="1"/>
  <c r="AL65" i="1"/>
  <c r="AJ65" i="1"/>
  <c r="AQ65" i="1"/>
  <c r="AP65" i="1"/>
  <c r="AO65" i="1"/>
  <c r="AE65" i="1"/>
  <c r="AF65" i="1"/>
  <c r="AG65" i="1"/>
  <c r="BB65" i="1"/>
  <c r="BA65" i="1"/>
  <c r="AZ65" i="1"/>
  <c r="K66" i="1"/>
  <c r="U66" i="1"/>
  <c r="S66" i="1"/>
  <c r="AD66" i="1"/>
  <c r="AI66" i="1"/>
  <c r="AS66" i="1"/>
  <c r="B66" i="1"/>
  <c r="J66" i="1"/>
  <c r="G66" i="1"/>
  <c r="C66" i="1"/>
  <c r="E66" i="1"/>
  <c r="A67" i="1"/>
  <c r="BE67" i="1" s="1"/>
  <c r="AA66" i="1"/>
  <c r="F66" i="1"/>
  <c r="O66" i="1"/>
  <c r="I66" i="1"/>
  <c r="R66" i="1"/>
  <c r="M66" i="1"/>
  <c r="W66" i="1"/>
  <c r="V66" i="1"/>
  <c r="AY66" i="1"/>
  <c r="Y66" i="1"/>
  <c r="Q66" i="1"/>
  <c r="AN66" i="1"/>
  <c r="N66" i="1"/>
  <c r="Z66" i="1"/>
  <c r="D66" i="1"/>
  <c r="AT65" i="1"/>
  <c r="AV65" i="1"/>
  <c r="AU65" i="1"/>
  <c r="P84" i="5" l="1"/>
  <c r="B84" i="5"/>
  <c r="E84" i="5"/>
  <c r="A85" i="5"/>
  <c r="Q84" i="5"/>
  <c r="D84" i="5"/>
  <c r="M84" i="5"/>
  <c r="L84" i="5"/>
  <c r="C84" i="5"/>
  <c r="X84" i="5"/>
  <c r="BL84" i="5"/>
  <c r="BO84" i="5" s="1"/>
  <c r="AK84" i="5"/>
  <c r="H84" i="5"/>
  <c r="AV84" i="5"/>
  <c r="AY84" i="5" s="1"/>
  <c r="AD84" i="5"/>
  <c r="AG84" i="5" s="1"/>
  <c r="AE84" i="5"/>
  <c r="AP84" i="5"/>
  <c r="AS84" i="5" s="1"/>
  <c r="AJ84" i="5"/>
  <c r="AM84" i="5" s="1"/>
  <c r="I84" i="5"/>
  <c r="BD84" i="5"/>
  <c r="BG84" i="5" s="1"/>
  <c r="AQ84" i="5"/>
  <c r="AW84" i="5"/>
  <c r="AZ84" i="5" s="1"/>
  <c r="T84" i="5"/>
  <c r="U84" i="5"/>
  <c r="BE84" i="5"/>
  <c r="BH84" i="5" s="1"/>
  <c r="BM84" i="5"/>
  <c r="BP84" i="5" s="1"/>
  <c r="Y84" i="5"/>
  <c r="Q75" i="4"/>
  <c r="T75" i="4"/>
  <c r="AH75" i="4"/>
  <c r="W75" i="4"/>
  <c r="AD75" i="4"/>
  <c r="Z75" i="4"/>
  <c r="A77" i="4"/>
  <c r="I76" i="4"/>
  <c r="C76" i="4"/>
  <c r="G76" i="4"/>
  <c r="B76" i="4"/>
  <c r="M76" i="4"/>
  <c r="P76" i="4"/>
  <c r="E76" i="4"/>
  <c r="K76" i="4"/>
  <c r="Y76" i="4"/>
  <c r="V76" i="4"/>
  <c r="AC76" i="4"/>
  <c r="S76" i="4"/>
  <c r="AG76" i="4"/>
  <c r="Y77" i="3"/>
  <c r="X77" i="3"/>
  <c r="AO77" i="3"/>
  <c r="AP77" i="3"/>
  <c r="AU77" i="3"/>
  <c r="AT77" i="3"/>
  <c r="AF77" i="3"/>
  <c r="AG77" i="3"/>
  <c r="AK77" i="3"/>
  <c r="AJ77" i="3"/>
  <c r="N78" i="3"/>
  <c r="C78" i="3"/>
  <c r="M78" i="3"/>
  <c r="E78" i="3"/>
  <c r="K78" i="3"/>
  <c r="B78" i="3"/>
  <c r="J78" i="3"/>
  <c r="A79" i="3"/>
  <c r="D78" i="3"/>
  <c r="AS78" i="3"/>
  <c r="G78" i="3"/>
  <c r="P78" i="3"/>
  <c r="AE78" i="3"/>
  <c r="T78" i="3"/>
  <c r="AI78" i="3"/>
  <c r="Q78" i="3"/>
  <c r="AA78" i="3"/>
  <c r="S78" i="3"/>
  <c r="H78" i="3"/>
  <c r="W78" i="3"/>
  <c r="AN78" i="3"/>
  <c r="AB77" i="3"/>
  <c r="AC77" i="3"/>
  <c r="BH67" i="1"/>
  <c r="BG67" i="1"/>
  <c r="BF67" i="1"/>
  <c r="CS92" i="2"/>
  <c r="CV92" i="2" s="1"/>
  <c r="A93" i="2"/>
  <c r="CR92" i="2"/>
  <c r="CU92" i="2" s="1"/>
  <c r="CG92" i="2"/>
  <c r="CJ92" i="2" s="1"/>
  <c r="BU92" i="2"/>
  <c r="BX92" i="2" s="1"/>
  <c r="CF92" i="2"/>
  <c r="CI92" i="2" s="1"/>
  <c r="BT92" i="2"/>
  <c r="BW92" i="2" s="1"/>
  <c r="BK92" i="2"/>
  <c r="BN92" i="2" s="1"/>
  <c r="BL92" i="2"/>
  <c r="BO92" i="2" s="1"/>
  <c r="BB92" i="2"/>
  <c r="BE92" i="2" s="1"/>
  <c r="BC92" i="2"/>
  <c r="BF92" i="2" s="1"/>
  <c r="AE91" i="2"/>
  <c r="AK91" i="2"/>
  <c r="X91" i="2"/>
  <c r="M91" i="2"/>
  <c r="L91" i="2"/>
  <c r="F91" i="2"/>
  <c r="AD91" i="2"/>
  <c r="R91" i="2"/>
  <c r="AJ91" i="2"/>
  <c r="G91" i="2"/>
  <c r="S91" i="2"/>
  <c r="Y91" i="2"/>
  <c r="AS91" i="2"/>
  <c r="AV91" i="2" s="1"/>
  <c r="AT91" i="2"/>
  <c r="AW91" i="2" s="1"/>
  <c r="BM90" i="2"/>
  <c r="AU90" i="2"/>
  <c r="E91" i="2"/>
  <c r="W91" i="2"/>
  <c r="C91" i="2"/>
  <c r="B91" i="2"/>
  <c r="Q91" i="2"/>
  <c r="D91" i="2"/>
  <c r="AR91" i="2"/>
  <c r="AI91" i="2"/>
  <c r="BJ91" i="2"/>
  <c r="CE91" i="2"/>
  <c r="CQ91" i="2"/>
  <c r="BS91" i="2"/>
  <c r="BA91" i="2"/>
  <c r="AC91" i="2"/>
  <c r="K91" i="2"/>
  <c r="BV90" i="2"/>
  <c r="CT90" i="2"/>
  <c r="BD90" i="2"/>
  <c r="CH90" i="2"/>
  <c r="AO66" i="1"/>
  <c r="AQ66" i="1"/>
  <c r="AP66" i="1"/>
  <c r="S67" i="1"/>
  <c r="A68" i="1"/>
  <c r="BE68" i="1" s="1"/>
  <c r="AI67" i="1"/>
  <c r="M67" i="1"/>
  <c r="Q67" i="1"/>
  <c r="E67" i="1"/>
  <c r="V67" i="1"/>
  <c r="N67" i="1"/>
  <c r="AY67" i="1"/>
  <c r="AD67" i="1"/>
  <c r="G67" i="1"/>
  <c r="F67" i="1"/>
  <c r="U67" i="1"/>
  <c r="B67" i="1"/>
  <c r="I67" i="1"/>
  <c r="AS67" i="1"/>
  <c r="W67" i="1"/>
  <c r="C67" i="1"/>
  <c r="Z67" i="1"/>
  <c r="K67" i="1"/>
  <c r="D67" i="1"/>
  <c r="AN67" i="1"/>
  <c r="AA67" i="1"/>
  <c r="Y67" i="1"/>
  <c r="R67" i="1"/>
  <c r="O67" i="1"/>
  <c r="J67" i="1"/>
  <c r="AF66" i="1"/>
  <c r="AE66" i="1"/>
  <c r="AG66" i="1"/>
  <c r="AV66" i="1"/>
  <c r="AU66" i="1"/>
  <c r="AT66" i="1"/>
  <c r="BB66" i="1"/>
  <c r="BA66" i="1"/>
  <c r="AZ66" i="1"/>
  <c r="AL66" i="1"/>
  <c r="AK66" i="1"/>
  <c r="AJ66" i="1"/>
  <c r="Q85" i="5" l="1"/>
  <c r="C85" i="5"/>
  <c r="A86" i="5"/>
  <c r="M85" i="5"/>
  <c r="B85" i="5"/>
  <c r="L85" i="5"/>
  <c r="E85" i="5"/>
  <c r="P85" i="5"/>
  <c r="D85" i="5"/>
  <c r="AJ85" i="5"/>
  <c r="AM85" i="5" s="1"/>
  <c r="BD85" i="5"/>
  <c r="BG85" i="5" s="1"/>
  <c r="AV85" i="5"/>
  <c r="AY85" i="5" s="1"/>
  <c r="X85" i="5"/>
  <c r="AE85" i="5"/>
  <c r="H85" i="5"/>
  <c r="AQ85" i="5"/>
  <c r="U85" i="5"/>
  <c r="I85" i="5"/>
  <c r="AD85" i="5"/>
  <c r="AG85" i="5" s="1"/>
  <c r="AP85" i="5"/>
  <c r="AS85" i="5" s="1"/>
  <c r="AK85" i="5"/>
  <c r="BL85" i="5"/>
  <c r="BO85" i="5" s="1"/>
  <c r="T85" i="5"/>
  <c r="Y85" i="5"/>
  <c r="BE85" i="5"/>
  <c r="BH85" i="5" s="1"/>
  <c r="AW85" i="5"/>
  <c r="AZ85" i="5" s="1"/>
  <c r="BM85" i="5"/>
  <c r="BP85" i="5" s="1"/>
  <c r="T76" i="4"/>
  <c r="W76" i="4"/>
  <c r="Z76" i="4"/>
  <c r="Q76" i="4"/>
  <c r="AH76" i="4"/>
  <c r="AD76" i="4"/>
  <c r="A78" i="4"/>
  <c r="I77" i="4"/>
  <c r="C77" i="4"/>
  <c r="B77" i="4"/>
  <c r="G77" i="4"/>
  <c r="AG77" i="4"/>
  <c r="M77" i="4"/>
  <c r="K77" i="4"/>
  <c r="Y77" i="4"/>
  <c r="AC77" i="4"/>
  <c r="V77" i="4"/>
  <c r="E77" i="4"/>
  <c r="S77" i="4"/>
  <c r="P77" i="4"/>
  <c r="X78" i="3"/>
  <c r="Y78" i="3"/>
  <c r="AJ78" i="3"/>
  <c r="AK78" i="3"/>
  <c r="AU78" i="3"/>
  <c r="AT78" i="3"/>
  <c r="AG78" i="3"/>
  <c r="AF78" i="3"/>
  <c r="AP78" i="3"/>
  <c r="AO78" i="3"/>
  <c r="AC78" i="3"/>
  <c r="AB78" i="3"/>
  <c r="A80" i="3"/>
  <c r="J79" i="3"/>
  <c r="D79" i="3"/>
  <c r="K79" i="3"/>
  <c r="C79" i="3"/>
  <c r="B79" i="3"/>
  <c r="M79" i="3"/>
  <c r="N79" i="3"/>
  <c r="E79" i="3"/>
  <c r="AS79" i="3"/>
  <c r="P79" i="3"/>
  <c r="W79" i="3"/>
  <c r="AI79" i="3"/>
  <c r="T79" i="3"/>
  <c r="S79" i="3"/>
  <c r="H79" i="3"/>
  <c r="AN79" i="3"/>
  <c r="Q79" i="3"/>
  <c r="AA79" i="3"/>
  <c r="G79" i="3"/>
  <c r="AE79" i="3"/>
  <c r="BF68" i="1"/>
  <c r="BH68" i="1"/>
  <c r="BG68" i="1"/>
  <c r="A94" i="2"/>
  <c r="CR93" i="2"/>
  <c r="CU93" i="2" s="1"/>
  <c r="CG93" i="2"/>
  <c r="CJ93" i="2" s="1"/>
  <c r="CS93" i="2"/>
  <c r="CV93" i="2" s="1"/>
  <c r="CF93" i="2"/>
  <c r="CI93" i="2" s="1"/>
  <c r="BT93" i="2"/>
  <c r="BW93" i="2" s="1"/>
  <c r="BK93" i="2"/>
  <c r="BN93" i="2" s="1"/>
  <c r="BU93" i="2"/>
  <c r="BX93" i="2" s="1"/>
  <c r="BB93" i="2"/>
  <c r="BE93" i="2" s="1"/>
  <c r="BL93" i="2"/>
  <c r="BO93" i="2" s="1"/>
  <c r="BC93" i="2"/>
  <c r="BF93" i="2" s="1"/>
  <c r="AJ92" i="2"/>
  <c r="AD92" i="2"/>
  <c r="Y92" i="2"/>
  <c r="F92" i="2"/>
  <c r="AE92" i="2"/>
  <c r="AK92" i="2"/>
  <c r="G92" i="2"/>
  <c r="M92" i="2"/>
  <c r="S92" i="2"/>
  <c r="R92" i="2"/>
  <c r="X92" i="2"/>
  <c r="L92" i="2"/>
  <c r="AT92" i="2"/>
  <c r="AW92" i="2" s="1"/>
  <c r="AS92" i="2"/>
  <c r="AV92" i="2" s="1"/>
  <c r="AU91" i="2"/>
  <c r="BM91" i="2"/>
  <c r="BV91" i="2"/>
  <c r="CT91" i="2"/>
  <c r="CH91" i="2"/>
  <c r="BD91" i="2"/>
  <c r="E92" i="2"/>
  <c r="D92" i="2"/>
  <c r="C92" i="2"/>
  <c r="W92" i="2"/>
  <c r="Q92" i="2"/>
  <c r="B92" i="2"/>
  <c r="BJ92" i="2"/>
  <c r="CQ92" i="2"/>
  <c r="AR92" i="2"/>
  <c r="CE92" i="2"/>
  <c r="BS92" i="2"/>
  <c r="AC92" i="2"/>
  <c r="AI92" i="2"/>
  <c r="K92" i="2"/>
  <c r="BA92" i="2"/>
  <c r="BB67" i="1"/>
  <c r="BA67" i="1"/>
  <c r="AZ67" i="1"/>
  <c r="AU67" i="1"/>
  <c r="AT67" i="1"/>
  <c r="AV67" i="1"/>
  <c r="AK67" i="1"/>
  <c r="AJ67" i="1"/>
  <c r="AL67" i="1"/>
  <c r="AO67" i="1"/>
  <c r="AP67" i="1"/>
  <c r="AQ67" i="1"/>
  <c r="AE67" i="1"/>
  <c r="AG67" i="1"/>
  <c r="AF67" i="1"/>
  <c r="K68" i="1"/>
  <c r="U68" i="1"/>
  <c r="C68" i="1"/>
  <c r="S68" i="1"/>
  <c r="AA68" i="1"/>
  <c r="F68" i="1"/>
  <c r="O68" i="1"/>
  <c r="N68" i="1"/>
  <c r="AI68" i="1"/>
  <c r="AY68" i="1"/>
  <c r="AN68" i="1"/>
  <c r="E68" i="1"/>
  <c r="M68" i="1"/>
  <c r="I68" i="1"/>
  <c r="AS68" i="1"/>
  <c r="V68" i="1"/>
  <c r="B68" i="1"/>
  <c r="J68" i="1"/>
  <c r="D68" i="1"/>
  <c r="W68" i="1"/>
  <c r="AD68" i="1"/>
  <c r="R68" i="1"/>
  <c r="Q68" i="1"/>
  <c r="Z68" i="1"/>
  <c r="A69" i="1"/>
  <c r="BE69" i="1" s="1"/>
  <c r="G68" i="1"/>
  <c r="Y68" i="1"/>
  <c r="M86" i="5" l="1"/>
  <c r="E86" i="5"/>
  <c r="A87" i="5"/>
  <c r="L86" i="5"/>
  <c r="D86" i="5"/>
  <c r="C86" i="5"/>
  <c r="Q86" i="5"/>
  <c r="P86" i="5"/>
  <c r="B86" i="5"/>
  <c r="AE86" i="5"/>
  <c r="AD86" i="5"/>
  <c r="AG86" i="5" s="1"/>
  <c r="AK86" i="5"/>
  <c r="AJ86" i="5"/>
  <c r="AM86" i="5" s="1"/>
  <c r="X86" i="5"/>
  <c r="AV86" i="5"/>
  <c r="AY86" i="5" s="1"/>
  <c r="BL86" i="5"/>
  <c r="BO86" i="5" s="1"/>
  <c r="AQ86" i="5"/>
  <c r="I86" i="5"/>
  <c r="U86" i="5"/>
  <c r="AP86" i="5"/>
  <c r="AS86" i="5" s="1"/>
  <c r="BD86" i="5"/>
  <c r="BG86" i="5" s="1"/>
  <c r="H86" i="5"/>
  <c r="T86" i="5"/>
  <c r="BM86" i="5"/>
  <c r="BP86" i="5" s="1"/>
  <c r="BE86" i="5"/>
  <c r="BH86" i="5" s="1"/>
  <c r="AW86" i="5"/>
  <c r="AZ86" i="5" s="1"/>
  <c r="Y86" i="5"/>
  <c r="AH77" i="4"/>
  <c r="T77" i="4"/>
  <c r="W77" i="4"/>
  <c r="AD77" i="4"/>
  <c r="Q77" i="4"/>
  <c r="Z77" i="4"/>
  <c r="A79" i="4"/>
  <c r="I78" i="4"/>
  <c r="C78" i="4"/>
  <c r="G78" i="4"/>
  <c r="B78" i="4"/>
  <c r="K78" i="4"/>
  <c r="M78" i="4"/>
  <c r="AC78" i="4"/>
  <c r="Y78" i="4"/>
  <c r="V78" i="4"/>
  <c r="E78" i="4"/>
  <c r="P78" i="4"/>
  <c r="S78" i="4"/>
  <c r="AG78" i="4"/>
  <c r="AK79" i="3"/>
  <c r="AJ79" i="3"/>
  <c r="AP79" i="3"/>
  <c r="AO79" i="3"/>
  <c r="AG79" i="3"/>
  <c r="AF79" i="3"/>
  <c r="AC79" i="3"/>
  <c r="AB79" i="3"/>
  <c r="AT79" i="3"/>
  <c r="AU79" i="3"/>
  <c r="Y79" i="3"/>
  <c r="X79" i="3"/>
  <c r="B80" i="3"/>
  <c r="N80" i="3"/>
  <c r="E80" i="3"/>
  <c r="D80" i="3"/>
  <c r="M80" i="3"/>
  <c r="A81" i="3"/>
  <c r="K80" i="3"/>
  <c r="J80" i="3"/>
  <c r="C80" i="3"/>
  <c r="W80" i="3"/>
  <c r="AA80" i="3"/>
  <c r="AE80" i="3"/>
  <c r="S80" i="3"/>
  <c r="T80" i="3"/>
  <c r="AI80" i="3"/>
  <c r="AN80" i="3"/>
  <c r="AS80" i="3"/>
  <c r="H80" i="3"/>
  <c r="Q80" i="3"/>
  <c r="P80" i="3"/>
  <c r="G80" i="3"/>
  <c r="BH69" i="1"/>
  <c r="BG69" i="1"/>
  <c r="BF69" i="1"/>
  <c r="A95" i="2"/>
  <c r="CR94" i="2"/>
  <c r="CU94" i="2" s="1"/>
  <c r="CG94" i="2"/>
  <c r="CJ94" i="2" s="1"/>
  <c r="BU94" i="2"/>
  <c r="BX94" i="2" s="1"/>
  <c r="CS94" i="2"/>
  <c r="CV94" i="2" s="1"/>
  <c r="BK94" i="2"/>
  <c r="BN94" i="2" s="1"/>
  <c r="BB94" i="2"/>
  <c r="BE94" i="2" s="1"/>
  <c r="CF94" i="2"/>
  <c r="CI94" i="2" s="1"/>
  <c r="BL94" i="2"/>
  <c r="BO94" i="2" s="1"/>
  <c r="BC94" i="2"/>
  <c r="BF94" i="2" s="1"/>
  <c r="BT94" i="2"/>
  <c r="BW94" i="2" s="1"/>
  <c r="AD93" i="2"/>
  <c r="Y93" i="2"/>
  <c r="G93" i="2"/>
  <c r="AK93" i="2"/>
  <c r="AJ93" i="2"/>
  <c r="X93" i="2"/>
  <c r="S93" i="2"/>
  <c r="M93" i="2"/>
  <c r="F93" i="2"/>
  <c r="AE93" i="2"/>
  <c r="L93" i="2"/>
  <c r="R93" i="2"/>
  <c r="AT93" i="2"/>
  <c r="AW93" i="2" s="1"/>
  <c r="AS93" i="2"/>
  <c r="AV93" i="2" s="1"/>
  <c r="BV92" i="2"/>
  <c r="BD92" i="2"/>
  <c r="B93" i="2"/>
  <c r="Q93" i="2"/>
  <c r="E93" i="2"/>
  <c r="W93" i="2"/>
  <c r="C93" i="2"/>
  <c r="D93" i="2"/>
  <c r="AI93" i="2"/>
  <c r="BA93" i="2"/>
  <c r="BS93" i="2"/>
  <c r="CE93" i="2"/>
  <c r="AR93" i="2"/>
  <c r="K93" i="2"/>
  <c r="AC93" i="2"/>
  <c r="CQ93" i="2"/>
  <c r="BJ93" i="2"/>
  <c r="CT92" i="2"/>
  <c r="CH92" i="2"/>
  <c r="AU92" i="2"/>
  <c r="BM92" i="2"/>
  <c r="AU68" i="1"/>
  <c r="AT68" i="1"/>
  <c r="AV68" i="1"/>
  <c r="AQ68" i="1"/>
  <c r="AP68" i="1"/>
  <c r="AO68" i="1"/>
  <c r="AS69" i="1"/>
  <c r="C69" i="1"/>
  <c r="Y69" i="1"/>
  <c r="D69" i="1"/>
  <c r="AN69" i="1"/>
  <c r="R69" i="1"/>
  <c r="V69" i="1"/>
  <c r="J69" i="1"/>
  <c r="Z69" i="1"/>
  <c r="S69" i="1"/>
  <c r="A70" i="1"/>
  <c r="BE70" i="1" s="1"/>
  <c r="AI69" i="1"/>
  <c r="M69" i="1"/>
  <c r="K69" i="1"/>
  <c r="O69" i="1"/>
  <c r="E69" i="1"/>
  <c r="N69" i="1"/>
  <c r="AY69" i="1"/>
  <c r="AD69" i="1"/>
  <c r="G69" i="1"/>
  <c r="B69" i="1"/>
  <c r="AA69" i="1"/>
  <c r="Q69" i="1"/>
  <c r="W69" i="1"/>
  <c r="F69" i="1"/>
  <c r="I69" i="1"/>
  <c r="U69" i="1"/>
  <c r="AG68" i="1"/>
  <c r="AF68" i="1"/>
  <c r="AE68" i="1"/>
  <c r="AK68" i="1"/>
  <c r="AJ68" i="1"/>
  <c r="AL68" i="1"/>
  <c r="BB68" i="1"/>
  <c r="BA68" i="1"/>
  <c r="AZ68" i="1"/>
  <c r="P87" i="5" l="1"/>
  <c r="B87" i="5"/>
  <c r="A88" i="5"/>
  <c r="Q87" i="5"/>
  <c r="D87" i="5"/>
  <c r="E87" i="5"/>
  <c r="M87" i="5"/>
  <c r="C87" i="5"/>
  <c r="L87" i="5"/>
  <c r="AE87" i="5"/>
  <c r="AV87" i="5"/>
  <c r="AY87" i="5" s="1"/>
  <c r="BL87" i="5"/>
  <c r="BO87" i="5" s="1"/>
  <c r="BD87" i="5"/>
  <c r="BG87" i="5" s="1"/>
  <c r="AQ87" i="5"/>
  <c r="X87" i="5"/>
  <c r="H87" i="5"/>
  <c r="U87" i="5"/>
  <c r="AJ87" i="5"/>
  <c r="AM87" i="5" s="1"/>
  <c r="AD87" i="5"/>
  <c r="AG87" i="5" s="1"/>
  <c r="AK87" i="5"/>
  <c r="I87" i="5"/>
  <c r="AP87" i="5"/>
  <c r="AS87" i="5" s="1"/>
  <c r="T87" i="5"/>
  <c r="BM87" i="5"/>
  <c r="BP87" i="5" s="1"/>
  <c r="Y87" i="5"/>
  <c r="BE87" i="5"/>
  <c r="BH87" i="5" s="1"/>
  <c r="AW87" i="5"/>
  <c r="AZ87" i="5" s="1"/>
  <c r="T78" i="4"/>
  <c r="W78" i="4"/>
  <c r="AH78" i="4"/>
  <c r="Z78" i="4"/>
  <c r="Q78" i="4"/>
  <c r="AD78" i="4"/>
  <c r="A80" i="4"/>
  <c r="I79" i="4"/>
  <c r="C79" i="4"/>
  <c r="B79" i="4"/>
  <c r="G79" i="4"/>
  <c r="M79" i="4"/>
  <c r="K79" i="4"/>
  <c r="E79" i="4"/>
  <c r="AC79" i="4"/>
  <c r="V79" i="4"/>
  <c r="S79" i="4"/>
  <c r="P79" i="4"/>
  <c r="AG79" i="4"/>
  <c r="Y79" i="4"/>
  <c r="AU80" i="3"/>
  <c r="AT80" i="3"/>
  <c r="AO80" i="3"/>
  <c r="AP80" i="3"/>
  <c r="AC80" i="3"/>
  <c r="AB80" i="3"/>
  <c r="N81" i="3"/>
  <c r="C81" i="3"/>
  <c r="E81" i="3"/>
  <c r="K81" i="3"/>
  <c r="D81" i="3"/>
  <c r="A82" i="3"/>
  <c r="M81" i="3"/>
  <c r="B81" i="3"/>
  <c r="J81" i="3"/>
  <c r="AE81" i="3"/>
  <c r="T81" i="3"/>
  <c r="S81" i="3"/>
  <c r="G81" i="3"/>
  <c r="Q81" i="3"/>
  <c r="AS81" i="3"/>
  <c r="H81" i="3"/>
  <c r="W81" i="3"/>
  <c r="P81" i="3"/>
  <c r="AA81" i="3"/>
  <c r="AI81" i="3"/>
  <c r="AN81" i="3"/>
  <c r="Y80" i="3"/>
  <c r="X80" i="3"/>
  <c r="AF80" i="3"/>
  <c r="AG80" i="3"/>
  <c r="AK80" i="3"/>
  <c r="AJ80" i="3"/>
  <c r="BG70" i="1"/>
  <c r="BF70" i="1"/>
  <c r="BH70" i="1"/>
  <c r="CR95" i="2"/>
  <c r="CU95" i="2" s="1"/>
  <c r="A96" i="2"/>
  <c r="BU95" i="2"/>
  <c r="BX95" i="2" s="1"/>
  <c r="CG95" i="2"/>
  <c r="CJ95" i="2" s="1"/>
  <c r="CF95" i="2"/>
  <c r="CI95" i="2" s="1"/>
  <c r="BB95" i="2"/>
  <c r="BE95" i="2" s="1"/>
  <c r="CS95" i="2"/>
  <c r="CV95" i="2" s="1"/>
  <c r="BT95" i="2"/>
  <c r="BW95" i="2" s="1"/>
  <c r="BL95" i="2"/>
  <c r="BO95" i="2" s="1"/>
  <c r="BK95" i="2"/>
  <c r="BN95" i="2" s="1"/>
  <c r="BC95" i="2"/>
  <c r="BF95" i="2" s="1"/>
  <c r="AK94" i="2"/>
  <c r="S94" i="2"/>
  <c r="M94" i="2"/>
  <c r="AE94" i="2"/>
  <c r="R94" i="2"/>
  <c r="AJ94" i="2"/>
  <c r="Y94" i="2"/>
  <c r="X94" i="2"/>
  <c r="L94" i="2"/>
  <c r="F94" i="2"/>
  <c r="AD94" i="2"/>
  <c r="G94" i="2"/>
  <c r="AS94" i="2"/>
  <c r="AV94" i="2" s="1"/>
  <c r="AT94" i="2"/>
  <c r="AW94" i="2" s="1"/>
  <c r="BV93" i="2"/>
  <c r="AU93" i="2"/>
  <c r="CT93" i="2"/>
  <c r="D94" i="2"/>
  <c r="E94" i="2"/>
  <c r="C94" i="2"/>
  <c r="B94" i="2"/>
  <c r="Q94" i="2"/>
  <c r="W94" i="2"/>
  <c r="AI94" i="2"/>
  <c r="BS94" i="2"/>
  <c r="CE94" i="2"/>
  <c r="CQ94" i="2"/>
  <c r="BJ94" i="2"/>
  <c r="AC94" i="2"/>
  <c r="BA94" i="2"/>
  <c r="AR94" i="2"/>
  <c r="K94" i="2"/>
  <c r="BD93" i="2"/>
  <c r="BM93" i="2"/>
  <c r="CH93" i="2"/>
  <c r="AO69" i="1"/>
  <c r="AQ69" i="1"/>
  <c r="AP69" i="1"/>
  <c r="AU69" i="1"/>
  <c r="AT69" i="1"/>
  <c r="AV69" i="1"/>
  <c r="AZ69" i="1"/>
  <c r="BB69" i="1"/>
  <c r="BA69" i="1"/>
  <c r="AK69" i="1"/>
  <c r="AL69" i="1"/>
  <c r="AJ69" i="1"/>
  <c r="AE69" i="1"/>
  <c r="AG69" i="1"/>
  <c r="AF69" i="1"/>
  <c r="Q70" i="1"/>
  <c r="Z70" i="1"/>
  <c r="E70" i="1"/>
  <c r="AN70" i="1"/>
  <c r="AS70" i="1"/>
  <c r="A71" i="1"/>
  <c r="BE71" i="1" s="1"/>
  <c r="D70" i="1"/>
  <c r="K70" i="1"/>
  <c r="S70" i="1"/>
  <c r="AD70" i="1"/>
  <c r="AI70" i="1"/>
  <c r="R70" i="1"/>
  <c r="M70" i="1"/>
  <c r="U70" i="1"/>
  <c r="W70" i="1"/>
  <c r="V70" i="1"/>
  <c r="AY70" i="1"/>
  <c r="Y70" i="1"/>
  <c r="AA70" i="1"/>
  <c r="F70" i="1"/>
  <c r="O70" i="1"/>
  <c r="I70" i="1"/>
  <c r="C70" i="1"/>
  <c r="B70" i="1"/>
  <c r="J70" i="1"/>
  <c r="G70" i="1"/>
  <c r="N70" i="1"/>
  <c r="A89" i="5" l="1"/>
  <c r="Q88" i="5"/>
  <c r="C88" i="5"/>
  <c r="L88" i="5"/>
  <c r="B88" i="5"/>
  <c r="M88" i="5"/>
  <c r="D88" i="5"/>
  <c r="E88" i="5"/>
  <c r="P88" i="5"/>
  <c r="AJ88" i="5"/>
  <c r="AM88" i="5" s="1"/>
  <c r="AK88" i="5"/>
  <c r="BD88" i="5"/>
  <c r="BG88" i="5" s="1"/>
  <c r="AE88" i="5"/>
  <c r="X88" i="5"/>
  <c r="AD88" i="5"/>
  <c r="AG88" i="5" s="1"/>
  <c r="AV88" i="5"/>
  <c r="AY88" i="5" s="1"/>
  <c r="BL88" i="5"/>
  <c r="BO88" i="5" s="1"/>
  <c r="T88" i="5"/>
  <c r="AQ88" i="5"/>
  <c r="I88" i="5"/>
  <c r="H88" i="5"/>
  <c r="U88" i="5"/>
  <c r="AP88" i="5"/>
  <c r="AS88" i="5" s="1"/>
  <c r="BM88" i="5"/>
  <c r="BP88" i="5" s="1"/>
  <c r="Y88" i="5"/>
  <c r="AW88" i="5"/>
  <c r="AZ88" i="5" s="1"/>
  <c r="BE88" i="5"/>
  <c r="BH88" i="5" s="1"/>
  <c r="Q79" i="4"/>
  <c r="T79" i="4"/>
  <c r="Z79" i="4"/>
  <c r="AD79" i="4"/>
  <c r="W79" i="4"/>
  <c r="AH79" i="4"/>
  <c r="A81" i="4"/>
  <c r="I80" i="4"/>
  <c r="C80" i="4"/>
  <c r="B80" i="4"/>
  <c r="G80" i="4"/>
  <c r="K80" i="4"/>
  <c r="M80" i="4"/>
  <c r="AC80" i="4"/>
  <c r="P80" i="4"/>
  <c r="S80" i="4"/>
  <c r="AG80" i="4"/>
  <c r="E80" i="4"/>
  <c r="Y80" i="4"/>
  <c r="V80" i="4"/>
  <c r="AG81" i="3"/>
  <c r="AF81" i="3"/>
  <c r="AK81" i="3"/>
  <c r="AJ81" i="3"/>
  <c r="AU81" i="3"/>
  <c r="AT81" i="3"/>
  <c r="AB81" i="3"/>
  <c r="AC81" i="3"/>
  <c r="A83" i="3"/>
  <c r="J82" i="3"/>
  <c r="D82" i="3"/>
  <c r="C82" i="3"/>
  <c r="B82" i="3"/>
  <c r="K82" i="3"/>
  <c r="M82" i="3"/>
  <c r="N82" i="3"/>
  <c r="E82" i="3"/>
  <c r="AI82" i="3"/>
  <c r="Q82" i="3"/>
  <c r="T82" i="3"/>
  <c r="S82" i="3"/>
  <c r="W82" i="3"/>
  <c r="H82" i="3"/>
  <c r="AN82" i="3"/>
  <c r="AS82" i="3"/>
  <c r="P82" i="3"/>
  <c r="AA82" i="3"/>
  <c r="AE82" i="3"/>
  <c r="G82" i="3"/>
  <c r="AP81" i="3"/>
  <c r="AO81" i="3"/>
  <c r="Y81" i="3"/>
  <c r="X81" i="3"/>
  <c r="BG71" i="1"/>
  <c r="BF71" i="1"/>
  <c r="BH71" i="1"/>
  <c r="A97" i="2"/>
  <c r="CS96" i="2"/>
  <c r="CV96" i="2" s="1"/>
  <c r="BT96" i="2"/>
  <c r="BW96" i="2" s="1"/>
  <c r="CF96" i="2"/>
  <c r="CI96" i="2" s="1"/>
  <c r="CR96" i="2"/>
  <c r="CU96" i="2" s="1"/>
  <c r="CG96" i="2"/>
  <c r="CJ96" i="2" s="1"/>
  <c r="BU96" i="2"/>
  <c r="BX96" i="2" s="1"/>
  <c r="BL96" i="2"/>
  <c r="BO96" i="2" s="1"/>
  <c r="BK96" i="2"/>
  <c r="BN96" i="2" s="1"/>
  <c r="BC96" i="2"/>
  <c r="BF96" i="2" s="1"/>
  <c r="BB96" i="2"/>
  <c r="BE96" i="2" s="1"/>
  <c r="AJ95" i="2"/>
  <c r="AD95" i="2"/>
  <c r="AE95" i="2"/>
  <c r="Y95" i="2"/>
  <c r="S95" i="2"/>
  <c r="R95" i="2"/>
  <c r="M95" i="2"/>
  <c r="G95" i="2"/>
  <c r="L95" i="2"/>
  <c r="AK95" i="2"/>
  <c r="X95" i="2"/>
  <c r="F95" i="2"/>
  <c r="AT95" i="2"/>
  <c r="AW95" i="2" s="1"/>
  <c r="AS95" i="2"/>
  <c r="AV95" i="2" s="1"/>
  <c r="BD94" i="2"/>
  <c r="W95" i="2"/>
  <c r="Q95" i="2"/>
  <c r="E95" i="2"/>
  <c r="C95" i="2"/>
  <c r="B95" i="2"/>
  <c r="D95" i="2"/>
  <c r="K95" i="2"/>
  <c r="BS95" i="2"/>
  <c r="AI95" i="2"/>
  <c r="BA95" i="2"/>
  <c r="CQ95" i="2"/>
  <c r="BJ95" i="2"/>
  <c r="AC95" i="2"/>
  <c r="AR95" i="2"/>
  <c r="CE95" i="2"/>
  <c r="BM94" i="2"/>
  <c r="CT94" i="2"/>
  <c r="BV94" i="2"/>
  <c r="AU94" i="2"/>
  <c r="CH94" i="2"/>
  <c r="AV70" i="1"/>
  <c r="AU70" i="1"/>
  <c r="AT70" i="1"/>
  <c r="AQ70" i="1"/>
  <c r="AO70" i="1"/>
  <c r="AP70" i="1"/>
  <c r="BA70" i="1"/>
  <c r="BB70" i="1"/>
  <c r="AZ70" i="1"/>
  <c r="AJ70" i="1"/>
  <c r="AL70" i="1"/>
  <c r="AK70" i="1"/>
  <c r="AG70" i="1"/>
  <c r="AF70" i="1"/>
  <c r="AE70" i="1"/>
  <c r="N71" i="1"/>
  <c r="AY71" i="1"/>
  <c r="AD71" i="1"/>
  <c r="G71" i="1"/>
  <c r="F71" i="1"/>
  <c r="J71" i="1"/>
  <c r="K71" i="1"/>
  <c r="A72" i="1"/>
  <c r="BE72" i="1" s="1"/>
  <c r="Q71" i="1"/>
  <c r="I71" i="1"/>
  <c r="AS71" i="1"/>
  <c r="W71" i="1"/>
  <c r="C71" i="1"/>
  <c r="Z71" i="1"/>
  <c r="V71" i="1"/>
  <c r="D71" i="1"/>
  <c r="AN71" i="1"/>
  <c r="R71" i="1"/>
  <c r="AA71" i="1"/>
  <c r="B71" i="1"/>
  <c r="AI71" i="1"/>
  <c r="E71" i="1"/>
  <c r="Y71" i="1"/>
  <c r="O71" i="1"/>
  <c r="S71" i="1"/>
  <c r="M71" i="1"/>
  <c r="U71" i="1"/>
  <c r="A90" i="5" l="1"/>
  <c r="L89" i="5"/>
  <c r="D89" i="5"/>
  <c r="B89" i="5"/>
  <c r="Q89" i="5"/>
  <c r="M89" i="5"/>
  <c r="P89" i="5"/>
  <c r="E89" i="5"/>
  <c r="C89" i="5"/>
  <c r="X89" i="5"/>
  <c r="AV89" i="5"/>
  <c r="AY89" i="5" s="1"/>
  <c r="BD89" i="5"/>
  <c r="BG89" i="5" s="1"/>
  <c r="AK89" i="5"/>
  <c r="AD89" i="5"/>
  <c r="AG89" i="5" s="1"/>
  <c r="AJ89" i="5"/>
  <c r="AM89" i="5" s="1"/>
  <c r="AE89" i="5"/>
  <c r="AQ89" i="5"/>
  <c r="I89" i="5"/>
  <c r="H89" i="5"/>
  <c r="U89" i="5"/>
  <c r="BE89" i="5"/>
  <c r="BH89" i="5" s="1"/>
  <c r="BL89" i="5"/>
  <c r="BO89" i="5" s="1"/>
  <c r="T89" i="5"/>
  <c r="AP89" i="5"/>
  <c r="AS89" i="5" s="1"/>
  <c r="AW89" i="5"/>
  <c r="AZ89" i="5" s="1"/>
  <c r="Y89" i="5"/>
  <c r="BM89" i="5"/>
  <c r="BP89" i="5" s="1"/>
  <c r="T80" i="4"/>
  <c r="AH80" i="4"/>
  <c r="W80" i="4"/>
  <c r="Q80" i="4"/>
  <c r="Z80" i="4"/>
  <c r="AD80" i="4"/>
  <c r="A82" i="4"/>
  <c r="I81" i="4"/>
  <c r="C81" i="4"/>
  <c r="G81" i="4"/>
  <c r="B81" i="4"/>
  <c r="K81" i="4"/>
  <c r="M81" i="4"/>
  <c r="E81" i="4"/>
  <c r="V81" i="4"/>
  <c r="AC81" i="4"/>
  <c r="S81" i="4"/>
  <c r="P81" i="4"/>
  <c r="AG81" i="4"/>
  <c r="Y81" i="4"/>
  <c r="AC82" i="3"/>
  <c r="AB82" i="3"/>
  <c r="N83" i="3"/>
  <c r="M83" i="3"/>
  <c r="E83" i="3"/>
  <c r="J83" i="3"/>
  <c r="B83" i="3"/>
  <c r="K83" i="3"/>
  <c r="D83" i="3"/>
  <c r="A84" i="3"/>
  <c r="C83" i="3"/>
  <c r="S83" i="3"/>
  <c r="AI83" i="3"/>
  <c r="H83" i="3"/>
  <c r="AE83" i="3"/>
  <c r="T83" i="3"/>
  <c r="AN83" i="3"/>
  <c r="AA83" i="3"/>
  <c r="AS83" i="3"/>
  <c r="G83" i="3"/>
  <c r="P83" i="3"/>
  <c r="W83" i="3"/>
  <c r="Q83" i="3"/>
  <c r="AU82" i="3"/>
  <c r="AT82" i="3"/>
  <c r="AP82" i="3"/>
  <c r="AO82" i="3"/>
  <c r="AF82" i="3"/>
  <c r="AG82" i="3"/>
  <c r="Y82" i="3"/>
  <c r="X82" i="3"/>
  <c r="AJ82" i="3"/>
  <c r="AK82" i="3"/>
  <c r="BF72" i="1"/>
  <c r="BH72" i="1"/>
  <c r="BG72" i="1"/>
  <c r="A98" i="2"/>
  <c r="CR97" i="2"/>
  <c r="CU97" i="2" s="1"/>
  <c r="CS97" i="2"/>
  <c r="CV97" i="2" s="1"/>
  <c r="CG97" i="2"/>
  <c r="CJ97" i="2" s="1"/>
  <c r="CF97" i="2"/>
  <c r="CI97" i="2" s="1"/>
  <c r="BT97" i="2"/>
  <c r="BW97" i="2" s="1"/>
  <c r="BU97" i="2"/>
  <c r="BX97" i="2" s="1"/>
  <c r="BL97" i="2"/>
  <c r="BO97" i="2" s="1"/>
  <c r="BB97" i="2"/>
  <c r="BE97" i="2" s="1"/>
  <c r="BK97" i="2"/>
  <c r="BN97" i="2" s="1"/>
  <c r="BC97" i="2"/>
  <c r="BF97" i="2" s="1"/>
  <c r="AJ96" i="2"/>
  <c r="AD96" i="2"/>
  <c r="AE96" i="2"/>
  <c r="L96" i="2"/>
  <c r="G96" i="2"/>
  <c r="AK96" i="2"/>
  <c r="M96" i="2"/>
  <c r="F96" i="2"/>
  <c r="S96" i="2"/>
  <c r="Y96" i="2"/>
  <c r="R96" i="2"/>
  <c r="X96" i="2"/>
  <c r="AS96" i="2"/>
  <c r="AV96" i="2" s="1"/>
  <c r="AT96" i="2"/>
  <c r="AW96" i="2" s="1"/>
  <c r="BM95" i="2"/>
  <c r="Q96" i="2"/>
  <c r="E96" i="2"/>
  <c r="D96" i="2"/>
  <c r="W96" i="2"/>
  <c r="B96" i="2"/>
  <c r="C96" i="2"/>
  <c r="BJ96" i="2"/>
  <c r="CE96" i="2"/>
  <c r="AI96" i="2"/>
  <c r="BA96" i="2"/>
  <c r="AC96" i="2"/>
  <c r="AR96" i="2"/>
  <c r="K96" i="2"/>
  <c r="CQ96" i="2"/>
  <c r="BS96" i="2"/>
  <c r="CT95" i="2"/>
  <c r="BD95" i="2"/>
  <c r="AU95" i="2"/>
  <c r="BV95" i="2"/>
  <c r="CH95" i="2"/>
  <c r="AL71" i="1"/>
  <c r="AK71" i="1"/>
  <c r="AJ71" i="1"/>
  <c r="AO71" i="1"/>
  <c r="AQ71" i="1"/>
  <c r="AP71" i="1"/>
  <c r="Q72" i="1"/>
  <c r="Z72" i="1"/>
  <c r="E72" i="1"/>
  <c r="A73" i="1"/>
  <c r="BE73" i="1" s="1"/>
  <c r="M72" i="1"/>
  <c r="I72" i="1"/>
  <c r="S72" i="1"/>
  <c r="AD72" i="1"/>
  <c r="B72" i="1"/>
  <c r="J72" i="1"/>
  <c r="W72" i="1"/>
  <c r="G72" i="1"/>
  <c r="K72" i="1"/>
  <c r="U72" i="1"/>
  <c r="Y72" i="1"/>
  <c r="AS72" i="1"/>
  <c r="C72" i="1"/>
  <c r="AY72" i="1"/>
  <c r="AA72" i="1"/>
  <c r="F72" i="1"/>
  <c r="O72" i="1"/>
  <c r="N72" i="1"/>
  <c r="AI72" i="1"/>
  <c r="AN72" i="1"/>
  <c r="V72" i="1"/>
  <c r="D72" i="1"/>
  <c r="R72" i="1"/>
  <c r="AU71" i="1"/>
  <c r="AT71" i="1"/>
  <c r="AV71" i="1"/>
  <c r="AE71" i="1"/>
  <c r="AF71" i="1"/>
  <c r="AG71" i="1"/>
  <c r="AZ71" i="1"/>
  <c r="BA71" i="1"/>
  <c r="BB71" i="1"/>
  <c r="A91" i="5" l="1"/>
  <c r="B90" i="5"/>
  <c r="Q90" i="5"/>
  <c r="D90" i="5"/>
  <c r="E90" i="5"/>
  <c r="P90" i="5"/>
  <c r="C90" i="5"/>
  <c r="M90" i="5"/>
  <c r="L90" i="5"/>
  <c r="AJ90" i="5"/>
  <c r="AM90" i="5" s="1"/>
  <c r="AV90" i="5"/>
  <c r="AY90" i="5" s="1"/>
  <c r="AE90" i="5"/>
  <c r="AK90" i="5"/>
  <c r="AD90" i="5"/>
  <c r="AG90" i="5" s="1"/>
  <c r="BL90" i="5"/>
  <c r="BO90" i="5" s="1"/>
  <c r="X90" i="5"/>
  <c r="BD90" i="5"/>
  <c r="BG90" i="5" s="1"/>
  <c r="I90" i="5"/>
  <c r="H90" i="5"/>
  <c r="U90" i="5"/>
  <c r="AQ90" i="5"/>
  <c r="AW90" i="5"/>
  <c r="AZ90" i="5" s="1"/>
  <c r="T90" i="5"/>
  <c r="AP90" i="5"/>
  <c r="AS90" i="5" s="1"/>
  <c r="BM90" i="5"/>
  <c r="BP90" i="5" s="1"/>
  <c r="Y90" i="5"/>
  <c r="BE90" i="5"/>
  <c r="BH90" i="5" s="1"/>
  <c r="Q81" i="4"/>
  <c r="T81" i="4"/>
  <c r="Z81" i="4"/>
  <c r="AD81" i="4"/>
  <c r="W81" i="4"/>
  <c r="AH81" i="4"/>
  <c r="A83" i="4"/>
  <c r="I82" i="4"/>
  <c r="C82" i="4"/>
  <c r="G82" i="4"/>
  <c r="B82" i="4"/>
  <c r="AG82" i="4"/>
  <c r="Y82" i="4"/>
  <c r="V82" i="4"/>
  <c r="S82" i="4"/>
  <c r="P82" i="4"/>
  <c r="E82" i="4"/>
  <c r="AC82" i="4"/>
  <c r="K82" i="4"/>
  <c r="M82" i="4"/>
  <c r="Y83" i="3"/>
  <c r="X83" i="3"/>
  <c r="AF83" i="3"/>
  <c r="AG83" i="3"/>
  <c r="AT83" i="3"/>
  <c r="AU83" i="3"/>
  <c r="AC83" i="3"/>
  <c r="AB83" i="3"/>
  <c r="AP83" i="3"/>
  <c r="AO83" i="3"/>
  <c r="AK83" i="3"/>
  <c r="AJ83" i="3"/>
  <c r="N84" i="3"/>
  <c r="C84" i="3"/>
  <c r="K84" i="3"/>
  <c r="D84" i="3"/>
  <c r="A85" i="3"/>
  <c r="J84" i="3"/>
  <c r="E84" i="3"/>
  <c r="B84" i="3"/>
  <c r="M84" i="3"/>
  <c r="T84" i="3"/>
  <c r="S84" i="3"/>
  <c r="AS84" i="3"/>
  <c r="G84" i="3"/>
  <c r="H84" i="3"/>
  <c r="AI84" i="3"/>
  <c r="AN84" i="3"/>
  <c r="W84" i="3"/>
  <c r="AA84" i="3"/>
  <c r="Q84" i="3"/>
  <c r="AE84" i="3"/>
  <c r="P84" i="3"/>
  <c r="BF73" i="1"/>
  <c r="BH73" i="1"/>
  <c r="BG73" i="1"/>
  <c r="CS98" i="2"/>
  <c r="CV98" i="2" s="1"/>
  <c r="CG98" i="2"/>
  <c r="CJ98" i="2" s="1"/>
  <c r="BU98" i="2"/>
  <c r="BX98" i="2" s="1"/>
  <c r="CF98" i="2"/>
  <c r="CI98" i="2" s="1"/>
  <c r="CR98" i="2"/>
  <c r="CU98" i="2" s="1"/>
  <c r="A99" i="2"/>
  <c r="BT98" i="2"/>
  <c r="BW98" i="2" s="1"/>
  <c r="BK98" i="2"/>
  <c r="BN98" i="2" s="1"/>
  <c r="BB98" i="2"/>
  <c r="BE98" i="2" s="1"/>
  <c r="BL98" i="2"/>
  <c r="BO98" i="2" s="1"/>
  <c r="BC98" i="2"/>
  <c r="BF98" i="2" s="1"/>
  <c r="AK97" i="2"/>
  <c r="Y97" i="2"/>
  <c r="AJ97" i="2"/>
  <c r="G97" i="2"/>
  <c r="AD97" i="2"/>
  <c r="S97" i="2"/>
  <c r="R97" i="2"/>
  <c r="X97" i="2"/>
  <c r="AE97" i="2"/>
  <c r="F97" i="2"/>
  <c r="M97" i="2"/>
  <c r="L97" i="2"/>
  <c r="AT97" i="2"/>
  <c r="AW97" i="2" s="1"/>
  <c r="AS97" i="2"/>
  <c r="AV97" i="2" s="1"/>
  <c r="BD96" i="2"/>
  <c r="BV96" i="2"/>
  <c r="B97" i="2"/>
  <c r="C97" i="2"/>
  <c r="W97" i="2"/>
  <c r="E97" i="2"/>
  <c r="D97" i="2"/>
  <c r="Q97" i="2"/>
  <c r="AR97" i="2"/>
  <c r="CQ97" i="2"/>
  <c r="BA97" i="2"/>
  <c r="AI97" i="2"/>
  <c r="BS97" i="2"/>
  <c r="K97" i="2"/>
  <c r="BJ97" i="2"/>
  <c r="CE97" i="2"/>
  <c r="AC97" i="2"/>
  <c r="CH96" i="2"/>
  <c r="CT96" i="2"/>
  <c r="AU96" i="2"/>
  <c r="BM96" i="2"/>
  <c r="BB72" i="1"/>
  <c r="BA72" i="1"/>
  <c r="AZ72" i="1"/>
  <c r="AO72" i="1"/>
  <c r="AQ72" i="1"/>
  <c r="AP72" i="1"/>
  <c r="AT72" i="1"/>
  <c r="AU72" i="1"/>
  <c r="AV72" i="1"/>
  <c r="AF72" i="1"/>
  <c r="AE72" i="1"/>
  <c r="AG72" i="1"/>
  <c r="I73" i="1"/>
  <c r="AS73" i="1"/>
  <c r="W73" i="1"/>
  <c r="C73" i="1"/>
  <c r="U73" i="1"/>
  <c r="Q73" i="1"/>
  <c r="V73" i="1"/>
  <c r="O73" i="1"/>
  <c r="AY73" i="1"/>
  <c r="G73" i="1"/>
  <c r="Y73" i="1"/>
  <c r="D73" i="1"/>
  <c r="AN73" i="1"/>
  <c r="R73" i="1"/>
  <c r="J73" i="1"/>
  <c r="N73" i="1"/>
  <c r="AD73" i="1"/>
  <c r="B73" i="1"/>
  <c r="F73" i="1"/>
  <c r="S73" i="1"/>
  <c r="A74" i="1"/>
  <c r="BE74" i="1" s="1"/>
  <c r="AI73" i="1"/>
  <c r="M73" i="1"/>
  <c r="K73" i="1"/>
  <c r="Z73" i="1"/>
  <c r="AA73" i="1"/>
  <c r="E73" i="1"/>
  <c r="AL72" i="1"/>
  <c r="AK72" i="1"/>
  <c r="AJ72" i="1"/>
  <c r="Q91" i="5" l="1"/>
  <c r="C91" i="5"/>
  <c r="A92" i="5"/>
  <c r="P91" i="5"/>
  <c r="M91" i="5"/>
  <c r="B91" i="5"/>
  <c r="L91" i="5"/>
  <c r="E91" i="5"/>
  <c r="D91" i="5"/>
  <c r="AK91" i="5"/>
  <c r="AV91" i="5"/>
  <c r="AY91" i="5" s="1"/>
  <c r="AE91" i="5"/>
  <c r="BD91" i="5"/>
  <c r="BG91" i="5" s="1"/>
  <c r="AD91" i="5"/>
  <c r="AG91" i="5" s="1"/>
  <c r="X91" i="5"/>
  <c r="H91" i="5"/>
  <c r="AJ91" i="5"/>
  <c r="AM91" i="5" s="1"/>
  <c r="U91" i="5"/>
  <c r="AQ91" i="5"/>
  <c r="T91" i="5"/>
  <c r="AP91" i="5"/>
  <c r="AS91" i="5" s="1"/>
  <c r="BL91" i="5"/>
  <c r="BO91" i="5" s="1"/>
  <c r="I91" i="5"/>
  <c r="BM91" i="5"/>
  <c r="BP91" i="5" s="1"/>
  <c r="Y91" i="5"/>
  <c r="AW91" i="5"/>
  <c r="AZ91" i="5" s="1"/>
  <c r="BE91" i="5"/>
  <c r="BH91" i="5" s="1"/>
  <c r="Z82" i="4"/>
  <c r="AD82" i="4"/>
  <c r="AH82" i="4"/>
  <c r="Q82" i="4"/>
  <c r="T82" i="4"/>
  <c r="W82" i="4"/>
  <c r="A84" i="4"/>
  <c r="I83" i="4"/>
  <c r="C83" i="4"/>
  <c r="B83" i="4"/>
  <c r="G83" i="4"/>
  <c r="V83" i="4"/>
  <c r="M83" i="4"/>
  <c r="AC83" i="4"/>
  <c r="S83" i="4"/>
  <c r="P83" i="4"/>
  <c r="AG83" i="4"/>
  <c r="E83" i="4"/>
  <c r="Y83" i="4"/>
  <c r="K83" i="4"/>
  <c r="AK84" i="3"/>
  <c r="AJ84" i="3"/>
  <c r="Y84" i="3"/>
  <c r="X84" i="3"/>
  <c r="AP84" i="3"/>
  <c r="AO84" i="3"/>
  <c r="A86" i="3"/>
  <c r="J85" i="3"/>
  <c r="D85" i="3"/>
  <c r="B85" i="3"/>
  <c r="N85" i="3"/>
  <c r="M85" i="3"/>
  <c r="C85" i="3"/>
  <c r="E85" i="3"/>
  <c r="K85" i="3"/>
  <c r="AA85" i="3"/>
  <c r="G85" i="3"/>
  <c r="T85" i="3"/>
  <c r="S85" i="3"/>
  <c r="H85" i="3"/>
  <c r="P85" i="3"/>
  <c r="AI85" i="3"/>
  <c r="AS85" i="3"/>
  <c r="Q85" i="3"/>
  <c r="AE85" i="3"/>
  <c r="W85" i="3"/>
  <c r="AN85" i="3"/>
  <c r="AU84" i="3"/>
  <c r="AT84" i="3"/>
  <c r="AG84" i="3"/>
  <c r="AF84" i="3"/>
  <c r="AC84" i="3"/>
  <c r="AB84" i="3"/>
  <c r="BG74" i="1"/>
  <c r="BF74" i="1"/>
  <c r="BH74" i="1"/>
  <c r="CR99" i="2"/>
  <c r="CU99" i="2" s="1"/>
  <c r="A100" i="2"/>
  <c r="CS99" i="2"/>
  <c r="CV99" i="2" s="1"/>
  <c r="BT99" i="2"/>
  <c r="BW99" i="2" s="1"/>
  <c r="CF99" i="2"/>
  <c r="CI99" i="2" s="1"/>
  <c r="BC99" i="2"/>
  <c r="BF99" i="2" s="1"/>
  <c r="BU99" i="2"/>
  <c r="BX99" i="2" s="1"/>
  <c r="CG99" i="2"/>
  <c r="CJ99" i="2" s="1"/>
  <c r="BL99" i="2"/>
  <c r="BO99" i="2" s="1"/>
  <c r="BB99" i="2"/>
  <c r="BE99" i="2" s="1"/>
  <c r="BK99" i="2"/>
  <c r="BN99" i="2" s="1"/>
  <c r="AE98" i="2"/>
  <c r="S98" i="2"/>
  <c r="M98" i="2"/>
  <c r="AJ98" i="2"/>
  <c r="X98" i="2"/>
  <c r="AK98" i="2"/>
  <c r="Y98" i="2"/>
  <c r="G98" i="2"/>
  <c r="AD98" i="2"/>
  <c r="F98" i="2"/>
  <c r="L98" i="2"/>
  <c r="R98" i="2"/>
  <c r="AT98" i="2"/>
  <c r="AW98" i="2" s="1"/>
  <c r="AS98" i="2"/>
  <c r="AV98" i="2" s="1"/>
  <c r="BM97" i="2"/>
  <c r="CT97" i="2"/>
  <c r="AU97" i="2"/>
  <c r="BV97" i="2"/>
  <c r="BD97" i="2"/>
  <c r="CH97" i="2"/>
  <c r="D98" i="2"/>
  <c r="C98" i="2"/>
  <c r="W98" i="2"/>
  <c r="B98" i="2"/>
  <c r="Q98" i="2"/>
  <c r="E98" i="2"/>
  <c r="BA98" i="2"/>
  <c r="K98" i="2"/>
  <c r="AR98" i="2"/>
  <c r="BJ98" i="2"/>
  <c r="CE98" i="2"/>
  <c r="CQ98" i="2"/>
  <c r="AC98" i="2"/>
  <c r="BS98" i="2"/>
  <c r="AI98" i="2"/>
  <c r="AK73" i="1"/>
  <c r="AJ73" i="1"/>
  <c r="AL73" i="1"/>
  <c r="AV73" i="1"/>
  <c r="AT73" i="1"/>
  <c r="AU73" i="1"/>
  <c r="K74" i="1"/>
  <c r="U74" i="1"/>
  <c r="S74" i="1"/>
  <c r="AD74" i="1"/>
  <c r="AI74" i="1"/>
  <c r="AS74" i="1"/>
  <c r="AY74" i="1"/>
  <c r="Y74" i="1"/>
  <c r="Q74" i="1"/>
  <c r="E74" i="1"/>
  <c r="A75" i="1"/>
  <c r="BE75" i="1" s="1"/>
  <c r="N74" i="1"/>
  <c r="AA74" i="1"/>
  <c r="F74" i="1"/>
  <c r="O74" i="1"/>
  <c r="I74" i="1"/>
  <c r="R74" i="1"/>
  <c r="M74" i="1"/>
  <c r="W74" i="1"/>
  <c r="V74" i="1"/>
  <c r="B74" i="1"/>
  <c r="J74" i="1"/>
  <c r="G74" i="1"/>
  <c r="C74" i="1"/>
  <c r="AN74" i="1"/>
  <c r="Z74" i="1"/>
  <c r="D74" i="1"/>
  <c r="AE73" i="1"/>
  <c r="AG73" i="1"/>
  <c r="AF73" i="1"/>
  <c r="AP73" i="1"/>
  <c r="AO73" i="1"/>
  <c r="AQ73" i="1"/>
  <c r="BB73" i="1"/>
  <c r="BA73" i="1"/>
  <c r="AZ73" i="1"/>
  <c r="A93" i="5" l="1"/>
  <c r="L92" i="5"/>
  <c r="D92" i="5"/>
  <c r="Q92" i="5"/>
  <c r="P92" i="5"/>
  <c r="E92" i="5"/>
  <c r="C92" i="5"/>
  <c r="M92" i="5"/>
  <c r="B92" i="5"/>
  <c r="AJ92" i="5"/>
  <c r="AM92" i="5" s="1"/>
  <c r="X92" i="5"/>
  <c r="AV92" i="5"/>
  <c r="AY92" i="5" s="1"/>
  <c r="BD92" i="5"/>
  <c r="BG92" i="5" s="1"/>
  <c r="AD92" i="5"/>
  <c r="AG92" i="5" s="1"/>
  <c r="BL92" i="5"/>
  <c r="BO92" i="5" s="1"/>
  <c r="AE92" i="5"/>
  <c r="AK92" i="5"/>
  <c r="I92" i="5"/>
  <c r="T92" i="5"/>
  <c r="U92" i="5"/>
  <c r="AP92" i="5"/>
  <c r="AS92" i="5" s="1"/>
  <c r="H92" i="5"/>
  <c r="AQ92" i="5"/>
  <c r="BE92" i="5"/>
  <c r="BH92" i="5" s="1"/>
  <c r="BM92" i="5"/>
  <c r="BP92" i="5" s="1"/>
  <c r="AW92" i="5"/>
  <c r="AZ92" i="5" s="1"/>
  <c r="Y92" i="5"/>
  <c r="Q83" i="4"/>
  <c r="T83" i="4"/>
  <c r="AH83" i="4"/>
  <c r="W83" i="4"/>
  <c r="Z83" i="4"/>
  <c r="AD83" i="4"/>
  <c r="A85" i="4"/>
  <c r="I84" i="4"/>
  <c r="C84" i="4"/>
  <c r="G84" i="4"/>
  <c r="B84" i="4"/>
  <c r="M84" i="4"/>
  <c r="Y84" i="4"/>
  <c r="V84" i="4"/>
  <c r="S84" i="4"/>
  <c r="AG84" i="4"/>
  <c r="AC84" i="4"/>
  <c r="K84" i="4"/>
  <c r="E84" i="4"/>
  <c r="P84" i="4"/>
  <c r="X85" i="3"/>
  <c r="Y85" i="3"/>
  <c r="AG85" i="3"/>
  <c r="AF85" i="3"/>
  <c r="AC85" i="3"/>
  <c r="AB85" i="3"/>
  <c r="M86" i="3"/>
  <c r="E86" i="3"/>
  <c r="K86" i="3"/>
  <c r="D86" i="3"/>
  <c r="J86" i="3"/>
  <c r="B86" i="3"/>
  <c r="N86" i="3"/>
  <c r="C86" i="3"/>
  <c r="A87" i="3"/>
  <c r="T86" i="3"/>
  <c r="S86" i="3"/>
  <c r="AN86" i="3"/>
  <c r="G86" i="3"/>
  <c r="P86" i="3"/>
  <c r="AE86" i="3"/>
  <c r="AI86" i="3"/>
  <c r="Q86" i="3"/>
  <c r="AA86" i="3"/>
  <c r="H86" i="3"/>
  <c r="AS86" i="3"/>
  <c r="W86" i="3"/>
  <c r="AU85" i="3"/>
  <c r="AT85" i="3"/>
  <c r="AP85" i="3"/>
  <c r="AO85" i="3"/>
  <c r="AK85" i="3"/>
  <c r="AJ85" i="3"/>
  <c r="BH75" i="1"/>
  <c r="BG75" i="1"/>
  <c r="BF75" i="1"/>
  <c r="CS100" i="2"/>
  <c r="CV100" i="2" s="1"/>
  <c r="BT100" i="2"/>
  <c r="BW100" i="2" s="1"/>
  <c r="A101" i="2"/>
  <c r="CG100" i="2"/>
  <c r="CJ100" i="2" s="1"/>
  <c r="CR100" i="2"/>
  <c r="CU100" i="2" s="1"/>
  <c r="CF100" i="2"/>
  <c r="CI100" i="2" s="1"/>
  <c r="BU100" i="2"/>
  <c r="BX100" i="2" s="1"/>
  <c r="BL100" i="2"/>
  <c r="BO100" i="2" s="1"/>
  <c r="BC100" i="2"/>
  <c r="BF100" i="2" s="1"/>
  <c r="BK100" i="2"/>
  <c r="BN100" i="2" s="1"/>
  <c r="BB100" i="2"/>
  <c r="BE100" i="2" s="1"/>
  <c r="AK99" i="2"/>
  <c r="R99" i="2"/>
  <c r="AE99" i="2"/>
  <c r="Y99" i="2"/>
  <c r="AD99" i="2"/>
  <c r="X99" i="2"/>
  <c r="S99" i="2"/>
  <c r="G99" i="2"/>
  <c r="F99" i="2"/>
  <c r="M99" i="2"/>
  <c r="AJ99" i="2"/>
  <c r="L99" i="2"/>
  <c r="AS99" i="2"/>
  <c r="AV99" i="2" s="1"/>
  <c r="AT99" i="2"/>
  <c r="AW99" i="2" s="1"/>
  <c r="CT98" i="2"/>
  <c r="CH98" i="2"/>
  <c r="BV98" i="2"/>
  <c r="AU98" i="2"/>
  <c r="BM98" i="2"/>
  <c r="BD98" i="2"/>
  <c r="W99" i="2"/>
  <c r="D99" i="2"/>
  <c r="E99" i="2"/>
  <c r="C99" i="2"/>
  <c r="B99" i="2"/>
  <c r="Q99" i="2"/>
  <c r="AI99" i="2"/>
  <c r="CQ99" i="2"/>
  <c r="BS99" i="2"/>
  <c r="BJ99" i="2"/>
  <c r="AR99" i="2"/>
  <c r="CE99" i="2"/>
  <c r="K99" i="2"/>
  <c r="AC99" i="2"/>
  <c r="BA99" i="2"/>
  <c r="AT74" i="1"/>
  <c r="AV74" i="1"/>
  <c r="AU74" i="1"/>
  <c r="AO74" i="1"/>
  <c r="AQ74" i="1"/>
  <c r="AP74" i="1"/>
  <c r="AL74" i="1"/>
  <c r="AK74" i="1"/>
  <c r="AJ74" i="1"/>
  <c r="AG74" i="1"/>
  <c r="AF74" i="1"/>
  <c r="AE74" i="1"/>
  <c r="V75" i="1"/>
  <c r="N75" i="1"/>
  <c r="AN75" i="1"/>
  <c r="G75" i="1"/>
  <c r="A76" i="1"/>
  <c r="BE76" i="1" s="1"/>
  <c r="Y75" i="1"/>
  <c r="AS75" i="1"/>
  <c r="Z75" i="1"/>
  <c r="AD75" i="1"/>
  <c r="AI75" i="1"/>
  <c r="B75" i="1"/>
  <c r="U75" i="1"/>
  <c r="R75" i="1"/>
  <c r="O75" i="1"/>
  <c r="I75" i="1"/>
  <c r="C75" i="1"/>
  <c r="W75" i="1"/>
  <c r="D75" i="1"/>
  <c r="Q75" i="1"/>
  <c r="K75" i="1"/>
  <c r="S75" i="1"/>
  <c r="AY75" i="1"/>
  <c r="F75" i="1"/>
  <c r="J75" i="1"/>
  <c r="AA75" i="1"/>
  <c r="M75" i="1"/>
  <c r="E75" i="1"/>
  <c r="BA74" i="1"/>
  <c r="BB74" i="1"/>
  <c r="AZ74" i="1"/>
  <c r="Q93" i="5" l="1"/>
  <c r="P93" i="5"/>
  <c r="E93" i="5"/>
  <c r="A94" i="5"/>
  <c r="M93" i="5"/>
  <c r="B93" i="5"/>
  <c r="L93" i="5"/>
  <c r="D93" i="5"/>
  <c r="C93" i="5"/>
  <c r="X93" i="5"/>
  <c r="AE93" i="5"/>
  <c r="AJ93" i="5"/>
  <c r="AM93" i="5" s="1"/>
  <c r="BD93" i="5"/>
  <c r="BG93" i="5" s="1"/>
  <c r="AD93" i="5"/>
  <c r="AG93" i="5" s="1"/>
  <c r="BL93" i="5"/>
  <c r="BO93" i="5" s="1"/>
  <c r="AK93" i="5"/>
  <c r="U93" i="5"/>
  <c r="AV93" i="5"/>
  <c r="AY93" i="5" s="1"/>
  <c r="AQ93" i="5"/>
  <c r="H93" i="5"/>
  <c r="AP93" i="5"/>
  <c r="AS93" i="5" s="1"/>
  <c r="T93" i="5"/>
  <c r="I93" i="5"/>
  <c r="BM93" i="5"/>
  <c r="BP93" i="5" s="1"/>
  <c r="Y93" i="5"/>
  <c r="BE93" i="5"/>
  <c r="BH93" i="5" s="1"/>
  <c r="AW93" i="5"/>
  <c r="AZ93" i="5" s="1"/>
  <c r="W84" i="4"/>
  <c r="Z84" i="4"/>
  <c r="AD84" i="4"/>
  <c r="Q84" i="4"/>
  <c r="AH84" i="4"/>
  <c r="T84" i="4"/>
  <c r="A86" i="4"/>
  <c r="I85" i="4"/>
  <c r="C85" i="4"/>
  <c r="B85" i="4"/>
  <c r="G85" i="4"/>
  <c r="AC85" i="4"/>
  <c r="S85" i="4"/>
  <c r="P85" i="4"/>
  <c r="Y85" i="4"/>
  <c r="AG85" i="4"/>
  <c r="V85" i="4"/>
  <c r="E85" i="4"/>
  <c r="K85" i="4"/>
  <c r="M85" i="4"/>
  <c r="AU86" i="3"/>
  <c r="AT86" i="3"/>
  <c r="AB86" i="3"/>
  <c r="AC86" i="3"/>
  <c r="AK86" i="3"/>
  <c r="AJ86" i="3"/>
  <c r="AP86" i="3"/>
  <c r="AO86" i="3"/>
  <c r="N87" i="3"/>
  <c r="C87" i="3"/>
  <c r="A88" i="3"/>
  <c r="J87" i="3"/>
  <c r="B87" i="3"/>
  <c r="K87" i="3"/>
  <c r="E87" i="3"/>
  <c r="M87" i="3"/>
  <c r="D87" i="3"/>
  <c r="G87" i="3"/>
  <c r="W87" i="3"/>
  <c r="AN87" i="3"/>
  <c r="H87" i="3"/>
  <c r="AI87" i="3"/>
  <c r="AS87" i="3"/>
  <c r="T87" i="3"/>
  <c r="S87" i="3"/>
  <c r="P87" i="3"/>
  <c r="AE87" i="3"/>
  <c r="AA87" i="3"/>
  <c r="Q87" i="3"/>
  <c r="AG86" i="3"/>
  <c r="AF86" i="3"/>
  <c r="Y86" i="3"/>
  <c r="X86" i="3"/>
  <c r="BF76" i="1"/>
  <c r="BH76" i="1"/>
  <c r="BG76" i="1"/>
  <c r="A102" i="2"/>
  <c r="CR101" i="2"/>
  <c r="CU101" i="2" s="1"/>
  <c r="CS101" i="2"/>
  <c r="CV101" i="2" s="1"/>
  <c r="CG101" i="2"/>
  <c r="CJ101" i="2" s="1"/>
  <c r="BK101" i="2"/>
  <c r="BN101" i="2" s="1"/>
  <c r="BT101" i="2"/>
  <c r="BW101" i="2" s="1"/>
  <c r="CF101" i="2"/>
  <c r="CI101" i="2" s="1"/>
  <c r="BU101" i="2"/>
  <c r="BX101" i="2" s="1"/>
  <c r="BL101" i="2"/>
  <c r="BO101" i="2" s="1"/>
  <c r="BC101" i="2"/>
  <c r="BF101" i="2" s="1"/>
  <c r="BB101" i="2"/>
  <c r="BE101" i="2" s="1"/>
  <c r="AJ100" i="2"/>
  <c r="AD100" i="2"/>
  <c r="AK100" i="2"/>
  <c r="AE100" i="2"/>
  <c r="X100" i="2"/>
  <c r="M100" i="2"/>
  <c r="Y100" i="2"/>
  <c r="S100" i="2"/>
  <c r="R100" i="2"/>
  <c r="G100" i="2"/>
  <c r="L100" i="2"/>
  <c r="F100" i="2"/>
  <c r="AT100" i="2"/>
  <c r="AW100" i="2" s="1"/>
  <c r="AS100" i="2"/>
  <c r="AV100" i="2" s="1"/>
  <c r="W100" i="2"/>
  <c r="D100" i="2"/>
  <c r="Q100" i="2"/>
  <c r="B100" i="2"/>
  <c r="E100" i="2"/>
  <c r="C100" i="2"/>
  <c r="AC100" i="2"/>
  <c r="CQ100" i="2"/>
  <c r="BA100" i="2"/>
  <c r="BS100" i="2"/>
  <c r="CE100" i="2"/>
  <c r="K100" i="2"/>
  <c r="BJ100" i="2"/>
  <c r="AI100" i="2"/>
  <c r="AR100" i="2"/>
  <c r="BM99" i="2"/>
  <c r="BV99" i="2"/>
  <c r="CT99" i="2"/>
  <c r="BD99" i="2"/>
  <c r="CH99" i="2"/>
  <c r="AU99" i="2"/>
  <c r="AV75" i="1"/>
  <c r="AU75" i="1"/>
  <c r="AT75" i="1"/>
  <c r="AO75" i="1"/>
  <c r="AQ75" i="1"/>
  <c r="AP75" i="1"/>
  <c r="BA75" i="1"/>
  <c r="AZ75" i="1"/>
  <c r="BB75" i="1"/>
  <c r="AJ75" i="1"/>
  <c r="AL75" i="1"/>
  <c r="AK75" i="1"/>
  <c r="AG75" i="1"/>
  <c r="AF75" i="1"/>
  <c r="AE75" i="1"/>
  <c r="R76" i="1"/>
  <c r="U76" i="1"/>
  <c r="Y76" i="1"/>
  <c r="O76" i="1"/>
  <c r="S76" i="1"/>
  <c r="A77" i="1"/>
  <c r="BE77" i="1" s="1"/>
  <c r="AI76" i="1"/>
  <c r="M76" i="1"/>
  <c r="Q76" i="1"/>
  <c r="E76" i="1"/>
  <c r="K76" i="1"/>
  <c r="N76" i="1"/>
  <c r="AY76" i="1"/>
  <c r="AD76" i="1"/>
  <c r="G76" i="1"/>
  <c r="F76" i="1"/>
  <c r="V76" i="1"/>
  <c r="J76" i="1"/>
  <c r="I76" i="1"/>
  <c r="AS76" i="1"/>
  <c r="W76" i="1"/>
  <c r="C76" i="1"/>
  <c r="Z76" i="1"/>
  <c r="B76" i="1"/>
  <c r="D76" i="1"/>
  <c r="AN76" i="1"/>
  <c r="AA76" i="1"/>
  <c r="Q94" i="5" l="1"/>
  <c r="C94" i="5"/>
  <c r="P94" i="5"/>
  <c r="E94" i="5"/>
  <c r="L94" i="5"/>
  <c r="A95" i="5"/>
  <c r="D94" i="5"/>
  <c r="B94" i="5"/>
  <c r="M94" i="5"/>
  <c r="AD94" i="5"/>
  <c r="AG94" i="5" s="1"/>
  <c r="X94" i="5"/>
  <c r="AJ94" i="5"/>
  <c r="AM94" i="5" s="1"/>
  <c r="AE94" i="5"/>
  <c r="AV94" i="5"/>
  <c r="AY94" i="5" s="1"/>
  <c r="AK94" i="5"/>
  <c r="BL94" i="5"/>
  <c r="BO94" i="5" s="1"/>
  <c r="BD94" i="5"/>
  <c r="BG94" i="5" s="1"/>
  <c r="T94" i="5"/>
  <c r="AP94" i="5"/>
  <c r="AS94" i="5" s="1"/>
  <c r="I94" i="5"/>
  <c r="U94" i="5"/>
  <c r="AQ94" i="5"/>
  <c r="H94" i="5"/>
  <c r="Y94" i="5"/>
  <c r="BM94" i="5"/>
  <c r="BP94" i="5" s="1"/>
  <c r="BE94" i="5"/>
  <c r="BH94" i="5" s="1"/>
  <c r="AW94" i="5"/>
  <c r="AZ94" i="5" s="1"/>
  <c r="T85" i="4"/>
  <c r="AD85" i="4"/>
  <c r="W85" i="4"/>
  <c r="AH85" i="4"/>
  <c r="Z85" i="4"/>
  <c r="Q85" i="4"/>
  <c r="I86" i="4"/>
  <c r="C86" i="4"/>
  <c r="B86" i="4"/>
  <c r="A87" i="4"/>
  <c r="G86" i="4"/>
  <c r="S86" i="4"/>
  <c r="P86" i="4"/>
  <c r="E86" i="4"/>
  <c r="K86" i="4"/>
  <c r="V86" i="4"/>
  <c r="M86" i="4"/>
  <c r="AG86" i="4"/>
  <c r="Y86" i="4"/>
  <c r="AC86" i="4"/>
  <c r="A89" i="3"/>
  <c r="J88" i="3"/>
  <c r="D88" i="3"/>
  <c r="N88" i="3"/>
  <c r="M88" i="3"/>
  <c r="E88" i="3"/>
  <c r="C88" i="3"/>
  <c r="K88" i="3"/>
  <c r="B88" i="3"/>
  <c r="S88" i="3"/>
  <c r="P88" i="3"/>
  <c r="G88" i="3"/>
  <c r="AE88" i="3"/>
  <c r="T88" i="3"/>
  <c r="H88" i="3"/>
  <c r="AA88" i="3"/>
  <c r="W88" i="3"/>
  <c r="AN88" i="3"/>
  <c r="AS88" i="3"/>
  <c r="Q88" i="3"/>
  <c r="AI88" i="3"/>
  <c r="AU87" i="3"/>
  <c r="AT87" i="3"/>
  <c r="AO87" i="3"/>
  <c r="AP87" i="3"/>
  <c r="Y87" i="3"/>
  <c r="X87" i="3"/>
  <c r="AC87" i="3"/>
  <c r="AB87" i="3"/>
  <c r="AG87" i="3"/>
  <c r="AF87" i="3"/>
  <c r="AK87" i="3"/>
  <c r="AJ87" i="3"/>
  <c r="BH77" i="1"/>
  <c r="BG77" i="1"/>
  <c r="BF77" i="1"/>
  <c r="CG102" i="2"/>
  <c r="CJ102" i="2" s="1"/>
  <c r="BU102" i="2"/>
  <c r="BX102" i="2" s="1"/>
  <c r="CS102" i="2"/>
  <c r="CV102" i="2" s="1"/>
  <c r="CF102" i="2"/>
  <c r="CI102" i="2" s="1"/>
  <c r="CR102" i="2"/>
  <c r="CU102" i="2" s="1"/>
  <c r="BL102" i="2"/>
  <c r="BO102" i="2" s="1"/>
  <c r="BB102" i="2"/>
  <c r="BE102" i="2" s="1"/>
  <c r="BK102" i="2"/>
  <c r="BN102" i="2" s="1"/>
  <c r="BC102" i="2"/>
  <c r="BF102" i="2" s="1"/>
  <c r="A103" i="2"/>
  <c r="BT102" i="2"/>
  <c r="BW102" i="2" s="1"/>
  <c r="AD101" i="2"/>
  <c r="Y101" i="2"/>
  <c r="G101" i="2"/>
  <c r="F101" i="2"/>
  <c r="AE101" i="2"/>
  <c r="M101" i="2"/>
  <c r="L101" i="2"/>
  <c r="X101" i="2"/>
  <c r="S101" i="2"/>
  <c r="R101" i="2"/>
  <c r="AK101" i="2"/>
  <c r="AJ101" i="2"/>
  <c r="AS101" i="2"/>
  <c r="AV101" i="2" s="1"/>
  <c r="AT101" i="2"/>
  <c r="AW101" i="2" s="1"/>
  <c r="CH100" i="2"/>
  <c r="CT100" i="2"/>
  <c r="B101" i="2"/>
  <c r="Q101" i="2"/>
  <c r="D101" i="2"/>
  <c r="E101" i="2"/>
  <c r="W101" i="2"/>
  <c r="C101" i="2"/>
  <c r="K101" i="2"/>
  <c r="AR101" i="2"/>
  <c r="BA101" i="2"/>
  <c r="CQ101" i="2"/>
  <c r="BS101" i="2"/>
  <c r="AI101" i="2"/>
  <c r="BJ101" i="2"/>
  <c r="AC101" i="2"/>
  <c r="CE101" i="2"/>
  <c r="BD100" i="2"/>
  <c r="BV100" i="2"/>
  <c r="AU100" i="2"/>
  <c r="BM100" i="2"/>
  <c r="BB76" i="1"/>
  <c r="BA76" i="1"/>
  <c r="AZ76" i="1"/>
  <c r="AU76" i="1"/>
  <c r="AT76" i="1"/>
  <c r="AV76" i="1"/>
  <c r="AK76" i="1"/>
  <c r="AL76" i="1"/>
  <c r="AJ76" i="1"/>
  <c r="AP76" i="1"/>
  <c r="AO76" i="1"/>
  <c r="AQ76" i="1"/>
  <c r="AE76" i="1"/>
  <c r="AG76" i="1"/>
  <c r="AF76" i="1"/>
  <c r="K77" i="1"/>
  <c r="U77" i="1"/>
  <c r="Y77" i="1"/>
  <c r="AS77" i="1"/>
  <c r="C77" i="1"/>
  <c r="G77" i="1"/>
  <c r="Z77" i="1"/>
  <c r="A78" i="1"/>
  <c r="BE78" i="1" s="1"/>
  <c r="R77" i="1"/>
  <c r="AA77" i="1"/>
  <c r="F77" i="1"/>
  <c r="O77" i="1"/>
  <c r="N77" i="1"/>
  <c r="AI77" i="1"/>
  <c r="I77" i="1"/>
  <c r="S77" i="1"/>
  <c r="V77" i="1"/>
  <c r="D77" i="1"/>
  <c r="W77" i="1"/>
  <c r="AN77" i="1"/>
  <c r="B77" i="1"/>
  <c r="J77" i="1"/>
  <c r="AY77" i="1"/>
  <c r="Q77" i="1"/>
  <c r="E77" i="1"/>
  <c r="M77" i="1"/>
  <c r="AD77" i="1"/>
  <c r="A96" i="5" l="1"/>
  <c r="L95" i="5"/>
  <c r="D95" i="5"/>
  <c r="P95" i="5"/>
  <c r="E95" i="5"/>
  <c r="Q95" i="5"/>
  <c r="B95" i="5"/>
  <c r="M95" i="5"/>
  <c r="C95" i="5"/>
  <c r="X95" i="5"/>
  <c r="AD95" i="5"/>
  <c r="AG95" i="5" s="1"/>
  <c r="AE95" i="5"/>
  <c r="AJ95" i="5"/>
  <c r="AM95" i="5" s="1"/>
  <c r="AK95" i="5"/>
  <c r="BD95" i="5"/>
  <c r="BG95" i="5" s="1"/>
  <c r="BL95" i="5"/>
  <c r="BO95" i="5" s="1"/>
  <c r="AP95" i="5"/>
  <c r="AS95" i="5" s="1"/>
  <c r="AQ95" i="5"/>
  <c r="AV95" i="5"/>
  <c r="AY95" i="5" s="1"/>
  <c r="AW95" i="5"/>
  <c r="AZ95" i="5" s="1"/>
  <c r="U95" i="5"/>
  <c r="I95" i="5"/>
  <c r="T95" i="5"/>
  <c r="H95" i="5"/>
  <c r="BE95" i="5"/>
  <c r="BH95" i="5" s="1"/>
  <c r="Y95" i="5"/>
  <c r="BM95" i="5"/>
  <c r="BP95" i="5" s="1"/>
  <c r="AH86" i="4"/>
  <c r="Q86" i="4"/>
  <c r="W86" i="4"/>
  <c r="T86" i="4"/>
  <c r="AD86" i="4"/>
  <c r="Z86" i="4"/>
  <c r="A88" i="4"/>
  <c r="I87" i="4"/>
  <c r="C87" i="4"/>
  <c r="G87" i="4"/>
  <c r="B87" i="4"/>
  <c r="AG87" i="4"/>
  <c r="K87" i="4"/>
  <c r="E87" i="4"/>
  <c r="Y87" i="4"/>
  <c r="V87" i="4"/>
  <c r="M87" i="4"/>
  <c r="AC87" i="4"/>
  <c r="S87" i="4"/>
  <c r="P87" i="4"/>
  <c r="AC88" i="3"/>
  <c r="AB88" i="3"/>
  <c r="Y88" i="3"/>
  <c r="X88" i="3"/>
  <c r="AK88" i="3"/>
  <c r="AJ88" i="3"/>
  <c r="AT88" i="3"/>
  <c r="AU88" i="3"/>
  <c r="AP88" i="3"/>
  <c r="AO88" i="3"/>
  <c r="AF88" i="3"/>
  <c r="AG88" i="3"/>
  <c r="K89" i="3"/>
  <c r="D89" i="3"/>
  <c r="A90" i="3"/>
  <c r="J89" i="3"/>
  <c r="N89" i="3"/>
  <c r="C89" i="3"/>
  <c r="M89" i="3"/>
  <c r="B89" i="3"/>
  <c r="E89" i="3"/>
  <c r="AN89" i="3"/>
  <c r="H89" i="3"/>
  <c r="Q89" i="3"/>
  <c r="AS89" i="3"/>
  <c r="AI89" i="3"/>
  <c r="G89" i="3"/>
  <c r="AE89" i="3"/>
  <c r="AA89" i="3"/>
  <c r="P89" i="3"/>
  <c r="S89" i="3"/>
  <c r="W89" i="3"/>
  <c r="T89" i="3"/>
  <c r="BG78" i="1"/>
  <c r="BF78" i="1"/>
  <c r="BH78" i="1"/>
  <c r="CR103" i="2"/>
  <c r="CU103" i="2" s="1"/>
  <c r="CS103" i="2"/>
  <c r="CV103" i="2" s="1"/>
  <c r="A104" i="2"/>
  <c r="CF103" i="2"/>
  <c r="CI103" i="2" s="1"/>
  <c r="CG103" i="2"/>
  <c r="CJ103" i="2" s="1"/>
  <c r="BT103" i="2"/>
  <c r="BW103" i="2" s="1"/>
  <c r="BL103" i="2"/>
  <c r="BO103" i="2" s="1"/>
  <c r="BC103" i="2"/>
  <c r="BF103" i="2" s="1"/>
  <c r="BB103" i="2"/>
  <c r="BE103" i="2" s="1"/>
  <c r="BU103" i="2"/>
  <c r="BX103" i="2" s="1"/>
  <c r="BK103" i="2"/>
  <c r="BN103" i="2" s="1"/>
  <c r="AE102" i="2"/>
  <c r="S102" i="2"/>
  <c r="M102" i="2"/>
  <c r="F102" i="2"/>
  <c r="AK102" i="2"/>
  <c r="AJ102" i="2"/>
  <c r="L102" i="2"/>
  <c r="AD102" i="2"/>
  <c r="Y102" i="2"/>
  <c r="X102" i="2"/>
  <c r="G102" i="2"/>
  <c r="R102" i="2"/>
  <c r="AS102" i="2"/>
  <c r="AV102" i="2" s="1"/>
  <c r="AT102" i="2"/>
  <c r="AW102" i="2" s="1"/>
  <c r="AU101" i="2"/>
  <c r="D102" i="2"/>
  <c r="B102" i="2"/>
  <c r="E102" i="2"/>
  <c r="C102" i="2"/>
  <c r="W102" i="2"/>
  <c r="Q102" i="2"/>
  <c r="CE102" i="2"/>
  <c r="BA102" i="2"/>
  <c r="BJ102" i="2"/>
  <c r="AI102" i="2"/>
  <c r="CQ102" i="2"/>
  <c r="AC102" i="2"/>
  <c r="BS102" i="2"/>
  <c r="AR102" i="2"/>
  <c r="K102" i="2"/>
  <c r="BM101" i="2"/>
  <c r="BD101" i="2"/>
  <c r="BV101" i="2"/>
  <c r="CH101" i="2"/>
  <c r="CT101" i="2"/>
  <c r="AG77" i="1"/>
  <c r="AF77" i="1"/>
  <c r="AE77" i="1"/>
  <c r="AQ77" i="1"/>
  <c r="AP77" i="1"/>
  <c r="AO77" i="1"/>
  <c r="Y78" i="1"/>
  <c r="V78" i="1"/>
  <c r="AI78" i="1"/>
  <c r="Z78" i="1"/>
  <c r="A79" i="1"/>
  <c r="BE79" i="1" s="1"/>
  <c r="K78" i="1"/>
  <c r="N78" i="1"/>
  <c r="AY78" i="1"/>
  <c r="AD78" i="1"/>
  <c r="G78" i="1"/>
  <c r="B78" i="1"/>
  <c r="O78" i="1"/>
  <c r="E78" i="1"/>
  <c r="I78" i="1"/>
  <c r="AS78" i="1"/>
  <c r="W78" i="1"/>
  <c r="C78" i="1"/>
  <c r="U78" i="1"/>
  <c r="AA78" i="1"/>
  <c r="D78" i="1"/>
  <c r="AN78" i="1"/>
  <c r="R78" i="1"/>
  <c r="J78" i="1"/>
  <c r="F78" i="1"/>
  <c r="S78" i="1"/>
  <c r="M78" i="1"/>
  <c r="Q78" i="1"/>
  <c r="AV77" i="1"/>
  <c r="AU77" i="1"/>
  <c r="AT77" i="1"/>
  <c r="BA77" i="1"/>
  <c r="AZ77" i="1"/>
  <c r="BB77" i="1"/>
  <c r="AK77" i="1"/>
  <c r="AJ77" i="1"/>
  <c r="AL77" i="1"/>
  <c r="P96" i="5" l="1"/>
  <c r="E96" i="5"/>
  <c r="A97" i="5"/>
  <c r="M96" i="5"/>
  <c r="D96" i="5"/>
  <c r="Q96" i="5"/>
  <c r="C96" i="5"/>
  <c r="B96" i="5"/>
  <c r="L96" i="5"/>
  <c r="AJ96" i="5"/>
  <c r="AM96" i="5" s="1"/>
  <c r="AD96" i="5"/>
  <c r="AG96" i="5" s="1"/>
  <c r="AK96" i="5"/>
  <c r="X96" i="5"/>
  <c r="AV96" i="5"/>
  <c r="AY96" i="5" s="1"/>
  <c r="AE96" i="5"/>
  <c r="BL96" i="5"/>
  <c r="BO96" i="5" s="1"/>
  <c r="BD96" i="5"/>
  <c r="BG96" i="5" s="1"/>
  <c r="AP96" i="5"/>
  <c r="AS96" i="5" s="1"/>
  <c r="H96" i="5"/>
  <c r="AQ96" i="5"/>
  <c r="U96" i="5"/>
  <c r="I96" i="5"/>
  <c r="T96" i="5"/>
  <c r="BM96" i="5"/>
  <c r="BP96" i="5" s="1"/>
  <c r="Y96" i="5"/>
  <c r="BE96" i="5"/>
  <c r="BH96" i="5" s="1"/>
  <c r="AW96" i="5"/>
  <c r="AZ96" i="5" s="1"/>
  <c r="T87" i="4"/>
  <c r="A89" i="4"/>
  <c r="I88" i="4"/>
  <c r="C88" i="4"/>
  <c r="B88" i="4"/>
  <c r="G88" i="4"/>
  <c r="S88" i="4"/>
  <c r="Y88" i="4"/>
  <c r="V88" i="4"/>
  <c r="M88" i="4"/>
  <c r="E88" i="4"/>
  <c r="AC88" i="4"/>
  <c r="AG88" i="4"/>
  <c r="K88" i="4"/>
  <c r="P88" i="4"/>
  <c r="AD87" i="4"/>
  <c r="AH87" i="4"/>
  <c r="W87" i="4"/>
  <c r="Q87" i="4"/>
  <c r="Z87" i="4"/>
  <c r="Y89" i="3"/>
  <c r="X89" i="3"/>
  <c r="AU89" i="3"/>
  <c r="AT89" i="3"/>
  <c r="AB89" i="3"/>
  <c r="AC89" i="3"/>
  <c r="N90" i="3"/>
  <c r="C90" i="3"/>
  <c r="B90" i="3"/>
  <c r="K90" i="3"/>
  <c r="J90" i="3"/>
  <c r="A91" i="3"/>
  <c r="M90" i="3"/>
  <c r="E90" i="3"/>
  <c r="D90" i="3"/>
  <c r="AN90" i="3"/>
  <c r="H90" i="3"/>
  <c r="G90" i="3"/>
  <c r="AA90" i="3"/>
  <c r="Q90" i="3"/>
  <c r="AE90" i="3"/>
  <c r="S90" i="3"/>
  <c r="AS90" i="3"/>
  <c r="W90" i="3"/>
  <c r="AI90" i="3"/>
  <c r="P90" i="3"/>
  <c r="T90" i="3"/>
  <c r="AG89" i="3"/>
  <c r="AF89" i="3"/>
  <c r="AP89" i="3"/>
  <c r="AO89" i="3"/>
  <c r="AK89" i="3"/>
  <c r="AJ89" i="3"/>
  <c r="BG79" i="1"/>
  <c r="BF79" i="1"/>
  <c r="BH79" i="1"/>
  <c r="A105" i="2"/>
  <c r="CS104" i="2"/>
  <c r="CV104" i="2" s="1"/>
  <c r="CR104" i="2"/>
  <c r="CU104" i="2" s="1"/>
  <c r="BU104" i="2"/>
  <c r="BX104" i="2" s="1"/>
  <c r="CG104" i="2"/>
  <c r="CJ104" i="2" s="1"/>
  <c r="CF104" i="2"/>
  <c r="CI104" i="2" s="1"/>
  <c r="BT104" i="2"/>
  <c r="BW104" i="2" s="1"/>
  <c r="BB104" i="2"/>
  <c r="BE104" i="2" s="1"/>
  <c r="BK104" i="2"/>
  <c r="BN104" i="2" s="1"/>
  <c r="BC104" i="2"/>
  <c r="BF104" i="2" s="1"/>
  <c r="BL104" i="2"/>
  <c r="BO104" i="2" s="1"/>
  <c r="AJ103" i="2"/>
  <c r="AK103" i="2"/>
  <c r="AD103" i="2"/>
  <c r="X103" i="2"/>
  <c r="S103" i="2"/>
  <c r="M103" i="2"/>
  <c r="L103" i="2"/>
  <c r="R103" i="2"/>
  <c r="AE103" i="2"/>
  <c r="F103" i="2"/>
  <c r="G103" i="2"/>
  <c r="Y103" i="2"/>
  <c r="AT103" i="2"/>
  <c r="AW103" i="2" s="1"/>
  <c r="AS103" i="2"/>
  <c r="AV103" i="2" s="1"/>
  <c r="AU102" i="2"/>
  <c r="BM102" i="2"/>
  <c r="BD102" i="2"/>
  <c r="W103" i="2"/>
  <c r="B103" i="2"/>
  <c r="D103" i="2"/>
  <c r="C103" i="2"/>
  <c r="Q103" i="2"/>
  <c r="E103" i="2"/>
  <c r="AR103" i="2"/>
  <c r="BA103" i="2"/>
  <c r="K103" i="2"/>
  <c r="BJ103" i="2"/>
  <c r="CQ103" i="2"/>
  <c r="AC103" i="2"/>
  <c r="BS103" i="2"/>
  <c r="CE103" i="2"/>
  <c r="AI103" i="2"/>
  <c r="BV102" i="2"/>
  <c r="CT102" i="2"/>
  <c r="CH102" i="2"/>
  <c r="AO78" i="1"/>
  <c r="AQ78" i="1"/>
  <c r="AP78" i="1"/>
  <c r="AF78" i="1"/>
  <c r="AE78" i="1"/>
  <c r="AG78" i="1"/>
  <c r="Q79" i="1"/>
  <c r="Z79" i="1"/>
  <c r="E79" i="1"/>
  <c r="AN79" i="1"/>
  <c r="Y79" i="1"/>
  <c r="K79" i="1"/>
  <c r="U79" i="1"/>
  <c r="S79" i="1"/>
  <c r="AD79" i="1"/>
  <c r="D79" i="1"/>
  <c r="N79" i="1"/>
  <c r="AA79" i="1"/>
  <c r="F79" i="1"/>
  <c r="I79" i="1"/>
  <c r="AS79" i="1"/>
  <c r="V79" i="1"/>
  <c r="J79" i="1"/>
  <c r="W79" i="1"/>
  <c r="C79" i="1"/>
  <c r="O79" i="1"/>
  <c r="R79" i="1"/>
  <c r="A80" i="1"/>
  <c r="BE80" i="1" s="1"/>
  <c r="B79" i="1"/>
  <c r="AY79" i="1"/>
  <c r="G79" i="1"/>
  <c r="AI79" i="1"/>
  <c r="M79" i="1"/>
  <c r="AZ78" i="1"/>
  <c r="BB78" i="1"/>
  <c r="BA78" i="1"/>
  <c r="AV78" i="1"/>
  <c r="AT78" i="1"/>
  <c r="AU78" i="1"/>
  <c r="AK78" i="1"/>
  <c r="AJ78" i="1"/>
  <c r="AL78" i="1"/>
  <c r="Q97" i="5" l="1"/>
  <c r="C97" i="5"/>
  <c r="M97" i="5"/>
  <c r="B97" i="5"/>
  <c r="L97" i="5"/>
  <c r="E97" i="5"/>
  <c r="A98" i="5"/>
  <c r="D97" i="5"/>
  <c r="P97" i="5"/>
  <c r="AD97" i="5"/>
  <c r="AG97" i="5" s="1"/>
  <c r="X97" i="5"/>
  <c r="AE97" i="5"/>
  <c r="AJ97" i="5"/>
  <c r="AM97" i="5" s="1"/>
  <c r="BD97" i="5"/>
  <c r="BG97" i="5" s="1"/>
  <c r="AV97" i="5"/>
  <c r="AY97" i="5" s="1"/>
  <c r="I97" i="5"/>
  <c r="H97" i="5"/>
  <c r="BL97" i="5"/>
  <c r="BO97" i="5" s="1"/>
  <c r="AQ97" i="5"/>
  <c r="AK97" i="5"/>
  <c r="AP97" i="5"/>
  <c r="AS97" i="5" s="1"/>
  <c r="U97" i="5"/>
  <c r="T97" i="5"/>
  <c r="BE97" i="5"/>
  <c r="BH97" i="5" s="1"/>
  <c r="Y97" i="5"/>
  <c r="AW97" i="5"/>
  <c r="AZ97" i="5" s="1"/>
  <c r="BM97" i="5"/>
  <c r="BP97" i="5" s="1"/>
  <c r="T88" i="4"/>
  <c r="Q88" i="4"/>
  <c r="AH88" i="4"/>
  <c r="W88" i="4"/>
  <c r="A90" i="4"/>
  <c r="I89" i="4"/>
  <c r="C89" i="4"/>
  <c r="B89" i="4"/>
  <c r="G89" i="4"/>
  <c r="M89" i="4"/>
  <c r="K89" i="4"/>
  <c r="AG89" i="4"/>
  <c r="S89" i="4"/>
  <c r="V89" i="4"/>
  <c r="Y89" i="4"/>
  <c r="E89" i="4"/>
  <c r="AC89" i="4"/>
  <c r="P89" i="4"/>
  <c r="AD88" i="4"/>
  <c r="Z88" i="4"/>
  <c r="AK90" i="3"/>
  <c r="AJ90" i="3"/>
  <c r="AG90" i="3"/>
  <c r="AF90" i="3"/>
  <c r="AP90" i="3"/>
  <c r="AO90" i="3"/>
  <c r="A92" i="3"/>
  <c r="J91" i="3"/>
  <c r="D91" i="3"/>
  <c r="M91" i="3"/>
  <c r="E91" i="3"/>
  <c r="K91" i="3"/>
  <c r="C91" i="3"/>
  <c r="B91" i="3"/>
  <c r="N91" i="3"/>
  <c r="AN91" i="3"/>
  <c r="Q91" i="3"/>
  <c r="AS91" i="3"/>
  <c r="H91" i="3"/>
  <c r="G91" i="3"/>
  <c r="W91" i="3"/>
  <c r="T91" i="3"/>
  <c r="AE91" i="3"/>
  <c r="AA91" i="3"/>
  <c r="S91" i="3"/>
  <c r="AI91" i="3"/>
  <c r="P91" i="3"/>
  <c r="AC90" i="3"/>
  <c r="AB90" i="3"/>
  <c r="X90" i="3"/>
  <c r="Y90" i="3"/>
  <c r="AU90" i="3"/>
  <c r="AT90" i="3"/>
  <c r="BF80" i="1"/>
  <c r="BH80" i="1"/>
  <c r="BG80" i="1"/>
  <c r="A106" i="2"/>
  <c r="CR105" i="2"/>
  <c r="CU105" i="2" s="1"/>
  <c r="BK105" i="2"/>
  <c r="BN105" i="2" s="1"/>
  <c r="BT105" i="2"/>
  <c r="BW105" i="2" s="1"/>
  <c r="CS105" i="2"/>
  <c r="CV105" i="2" s="1"/>
  <c r="CF105" i="2"/>
  <c r="CI105" i="2" s="1"/>
  <c r="BB105" i="2"/>
  <c r="BE105" i="2" s="1"/>
  <c r="CG105" i="2"/>
  <c r="CJ105" i="2" s="1"/>
  <c r="BU105" i="2"/>
  <c r="BX105" i="2" s="1"/>
  <c r="BC105" i="2"/>
  <c r="BF105" i="2" s="1"/>
  <c r="BL105" i="2"/>
  <c r="BO105" i="2" s="1"/>
  <c r="AJ104" i="2"/>
  <c r="AD104" i="2"/>
  <c r="AK104" i="2"/>
  <c r="AE104" i="2"/>
  <c r="Y104" i="2"/>
  <c r="S104" i="2"/>
  <c r="R104" i="2"/>
  <c r="G104" i="2"/>
  <c r="X104" i="2"/>
  <c r="M104" i="2"/>
  <c r="L104" i="2"/>
  <c r="F104" i="2"/>
  <c r="AS104" i="2"/>
  <c r="AV104" i="2" s="1"/>
  <c r="AT104" i="2"/>
  <c r="AW104" i="2" s="1"/>
  <c r="AU103" i="2"/>
  <c r="BM103" i="2"/>
  <c r="W104" i="2"/>
  <c r="D104" i="2"/>
  <c r="Q104" i="2"/>
  <c r="E104" i="2"/>
  <c r="B104" i="2"/>
  <c r="C104" i="2"/>
  <c r="CE104" i="2"/>
  <c r="CQ104" i="2"/>
  <c r="AC104" i="2"/>
  <c r="K104" i="2"/>
  <c r="BJ104" i="2"/>
  <c r="AR104" i="2"/>
  <c r="BS104" i="2"/>
  <c r="BA104" i="2"/>
  <c r="AI104" i="2"/>
  <c r="CH103" i="2"/>
  <c r="BD103" i="2"/>
  <c r="CT103" i="2"/>
  <c r="BV103" i="2"/>
  <c r="AF79" i="1"/>
  <c r="AE79" i="1"/>
  <c r="AG79" i="1"/>
  <c r="BB79" i="1"/>
  <c r="BA79" i="1"/>
  <c r="AZ79" i="1"/>
  <c r="AO79" i="1"/>
  <c r="AQ79" i="1"/>
  <c r="AP79" i="1"/>
  <c r="AL79" i="1"/>
  <c r="AK79" i="1"/>
  <c r="AJ79" i="1"/>
  <c r="N80" i="1"/>
  <c r="AY80" i="1"/>
  <c r="AD80" i="1"/>
  <c r="G80" i="1"/>
  <c r="I80" i="1"/>
  <c r="AS80" i="1"/>
  <c r="W80" i="1"/>
  <c r="C80" i="1"/>
  <c r="Z80" i="1"/>
  <c r="J80" i="1"/>
  <c r="Y80" i="1"/>
  <c r="D80" i="1"/>
  <c r="AN80" i="1"/>
  <c r="R80" i="1"/>
  <c r="AA80" i="1"/>
  <c r="O80" i="1"/>
  <c r="V80" i="1"/>
  <c r="S80" i="1"/>
  <c r="AI80" i="1"/>
  <c r="Q80" i="1"/>
  <c r="B80" i="1"/>
  <c r="F80" i="1"/>
  <c r="U80" i="1"/>
  <c r="A81" i="1"/>
  <c r="BE81" i="1" s="1"/>
  <c r="M80" i="1"/>
  <c r="E80" i="1"/>
  <c r="K80" i="1"/>
  <c r="AV79" i="1"/>
  <c r="AU79" i="1"/>
  <c r="AT79" i="1"/>
  <c r="M98" i="5" l="1"/>
  <c r="E98" i="5"/>
  <c r="L98" i="5"/>
  <c r="D98" i="5"/>
  <c r="A99" i="5"/>
  <c r="Q98" i="5"/>
  <c r="P98" i="5"/>
  <c r="B98" i="5"/>
  <c r="C98" i="5"/>
  <c r="X98" i="5"/>
  <c r="AD98" i="5"/>
  <c r="AG98" i="5" s="1"/>
  <c r="AV98" i="5"/>
  <c r="AY98" i="5" s="1"/>
  <c r="AE98" i="5"/>
  <c r="AK98" i="5"/>
  <c r="AJ98" i="5"/>
  <c r="AM98" i="5" s="1"/>
  <c r="BL98" i="5"/>
  <c r="BO98" i="5" s="1"/>
  <c r="U98" i="5"/>
  <c r="AQ98" i="5"/>
  <c r="BD98" i="5"/>
  <c r="BG98" i="5" s="1"/>
  <c r="H98" i="5"/>
  <c r="I98" i="5"/>
  <c r="AP98" i="5"/>
  <c r="AS98" i="5" s="1"/>
  <c r="T98" i="5"/>
  <c r="BE98" i="5"/>
  <c r="BH98" i="5" s="1"/>
  <c r="BM98" i="5"/>
  <c r="BP98" i="5" s="1"/>
  <c r="AW98" i="5"/>
  <c r="AZ98" i="5" s="1"/>
  <c r="Y98" i="5"/>
  <c r="W89" i="4"/>
  <c r="T89" i="4"/>
  <c r="Q89" i="4"/>
  <c r="AD89" i="4"/>
  <c r="AH89" i="4"/>
  <c r="A91" i="4"/>
  <c r="I90" i="4"/>
  <c r="C90" i="4"/>
  <c r="G90" i="4"/>
  <c r="B90" i="4"/>
  <c r="Y90" i="4"/>
  <c r="V90" i="4"/>
  <c r="AC90" i="4"/>
  <c r="E90" i="4"/>
  <c r="M90" i="4"/>
  <c r="AG90" i="4"/>
  <c r="K90" i="4"/>
  <c r="P90" i="4"/>
  <c r="S90" i="4"/>
  <c r="Z89" i="4"/>
  <c r="A93" i="3"/>
  <c r="J92" i="3"/>
  <c r="C92" i="3"/>
  <c r="E92" i="3"/>
  <c r="N92" i="3"/>
  <c r="D92" i="3"/>
  <c r="B92" i="3"/>
  <c r="M92" i="3"/>
  <c r="K92" i="3"/>
  <c r="P92" i="3"/>
  <c r="AS92" i="3"/>
  <c r="W92" i="3"/>
  <c r="AI92" i="3"/>
  <c r="Q92" i="3"/>
  <c r="H92" i="3"/>
  <c r="AA92" i="3"/>
  <c r="T92" i="3"/>
  <c r="AN92" i="3"/>
  <c r="S92" i="3"/>
  <c r="G92" i="3"/>
  <c r="AE92" i="3"/>
  <c r="AC91" i="3"/>
  <c r="AB91" i="3"/>
  <c r="AF91" i="3"/>
  <c r="AG91" i="3"/>
  <c r="AP91" i="3"/>
  <c r="AO91" i="3"/>
  <c r="AJ91" i="3"/>
  <c r="AK91" i="3"/>
  <c r="Y91" i="3"/>
  <c r="X91" i="3"/>
  <c r="AT91" i="3"/>
  <c r="AU91" i="3"/>
  <c r="BF81" i="1"/>
  <c r="BH81" i="1"/>
  <c r="BG81" i="1"/>
  <c r="CR106" i="2"/>
  <c r="CU106" i="2" s="1"/>
  <c r="CG106" i="2"/>
  <c r="CJ106" i="2" s="1"/>
  <c r="BU106" i="2"/>
  <c r="BX106" i="2" s="1"/>
  <c r="CF106" i="2"/>
  <c r="CI106" i="2" s="1"/>
  <c r="BT106" i="2"/>
  <c r="BW106" i="2" s="1"/>
  <c r="BB106" i="2"/>
  <c r="BE106" i="2" s="1"/>
  <c r="BL106" i="2"/>
  <c r="BO106" i="2" s="1"/>
  <c r="CS106" i="2"/>
  <c r="CV106" i="2" s="1"/>
  <c r="A107" i="2"/>
  <c r="BC106" i="2"/>
  <c r="BF106" i="2" s="1"/>
  <c r="BK106" i="2"/>
  <c r="BN106" i="2" s="1"/>
  <c r="AE105" i="2"/>
  <c r="AK105" i="2"/>
  <c r="Y105" i="2"/>
  <c r="G105" i="2"/>
  <c r="L105" i="2"/>
  <c r="AJ105" i="2"/>
  <c r="S105" i="2"/>
  <c r="R105" i="2"/>
  <c r="X105" i="2"/>
  <c r="M105" i="2"/>
  <c r="F105" i="2"/>
  <c r="AD105" i="2"/>
  <c r="AS105" i="2"/>
  <c r="AV105" i="2" s="1"/>
  <c r="AT105" i="2"/>
  <c r="AW105" i="2" s="1"/>
  <c r="CT104" i="2"/>
  <c r="BD104" i="2"/>
  <c r="BV104" i="2"/>
  <c r="AU104" i="2"/>
  <c r="CH104" i="2"/>
  <c r="B105" i="2"/>
  <c r="W105" i="2"/>
  <c r="D105" i="2"/>
  <c r="Q105" i="2"/>
  <c r="E105" i="2"/>
  <c r="C105" i="2"/>
  <c r="BS105" i="2"/>
  <c r="CQ105" i="2"/>
  <c r="AR105" i="2"/>
  <c r="AI105" i="2"/>
  <c r="K105" i="2"/>
  <c r="CE105" i="2"/>
  <c r="AC105" i="2"/>
  <c r="BJ105" i="2"/>
  <c r="BA105" i="2"/>
  <c r="BM104" i="2"/>
  <c r="E81" i="1"/>
  <c r="K81" i="1"/>
  <c r="U81" i="1"/>
  <c r="Y81" i="1"/>
  <c r="AS81" i="1"/>
  <c r="C81" i="1"/>
  <c r="I81" i="1"/>
  <c r="V81" i="1"/>
  <c r="D81" i="1"/>
  <c r="W81" i="1"/>
  <c r="G81" i="1"/>
  <c r="A82" i="1"/>
  <c r="BE82" i="1" s="1"/>
  <c r="AY81" i="1"/>
  <c r="AA81" i="1"/>
  <c r="F81" i="1"/>
  <c r="O81" i="1"/>
  <c r="N81" i="1"/>
  <c r="AI81" i="1"/>
  <c r="S81" i="1"/>
  <c r="AD81" i="1"/>
  <c r="B81" i="1"/>
  <c r="J81" i="1"/>
  <c r="AN81" i="1"/>
  <c r="Q81" i="1"/>
  <c r="Z81" i="1"/>
  <c r="M81" i="1"/>
  <c r="R81" i="1"/>
  <c r="AF80" i="1"/>
  <c r="AG80" i="1"/>
  <c r="AE80" i="1"/>
  <c r="AV80" i="1"/>
  <c r="AU80" i="1"/>
  <c r="AT80" i="1"/>
  <c r="AZ80" i="1"/>
  <c r="BA80" i="1"/>
  <c r="BB80" i="1"/>
  <c r="AK80" i="1"/>
  <c r="AJ80" i="1"/>
  <c r="AL80" i="1"/>
  <c r="AO80" i="1"/>
  <c r="AQ80" i="1"/>
  <c r="AP80" i="1"/>
  <c r="P99" i="5" l="1"/>
  <c r="B99" i="5"/>
  <c r="L99" i="5"/>
  <c r="C99" i="5"/>
  <c r="M99" i="5"/>
  <c r="E99" i="5"/>
  <c r="D99" i="5"/>
  <c r="Q99" i="5"/>
  <c r="A100" i="5"/>
  <c r="AJ99" i="5"/>
  <c r="AM99" i="5" s="1"/>
  <c r="BD99" i="5"/>
  <c r="BG99" i="5" s="1"/>
  <c r="AE99" i="5"/>
  <c r="X99" i="5"/>
  <c r="AK99" i="5"/>
  <c r="AV99" i="5"/>
  <c r="AY99" i="5" s="1"/>
  <c r="AD99" i="5"/>
  <c r="AG99" i="5" s="1"/>
  <c r="BL99" i="5"/>
  <c r="BO99" i="5" s="1"/>
  <c r="AQ99" i="5"/>
  <c r="H99" i="5"/>
  <c r="I99" i="5"/>
  <c r="U99" i="5"/>
  <c r="T99" i="5"/>
  <c r="AP99" i="5"/>
  <c r="AS99" i="5" s="1"/>
  <c r="BE99" i="5"/>
  <c r="BH99" i="5" s="1"/>
  <c r="Y99" i="5"/>
  <c r="AW99" i="5"/>
  <c r="AZ99" i="5" s="1"/>
  <c r="BM99" i="5"/>
  <c r="BP99" i="5" s="1"/>
  <c r="AD90" i="4"/>
  <c r="A92" i="4"/>
  <c r="I91" i="4"/>
  <c r="C91" i="4"/>
  <c r="G91" i="4"/>
  <c r="B91" i="4"/>
  <c r="AG91" i="4"/>
  <c r="E91" i="4"/>
  <c r="S91" i="4"/>
  <c r="Y91" i="4"/>
  <c r="V91" i="4"/>
  <c r="M91" i="4"/>
  <c r="K91" i="4"/>
  <c r="AC91" i="4"/>
  <c r="P91" i="4"/>
  <c r="W90" i="4"/>
  <c r="T90" i="4"/>
  <c r="Q90" i="4"/>
  <c r="Z90" i="4"/>
  <c r="AH90" i="4"/>
  <c r="AO92" i="3"/>
  <c r="AP92" i="3"/>
  <c r="AK92" i="3"/>
  <c r="AJ92" i="3"/>
  <c r="AG92" i="3"/>
  <c r="AF92" i="3"/>
  <c r="Y92" i="3"/>
  <c r="X92" i="3"/>
  <c r="AU92" i="3"/>
  <c r="AT92" i="3"/>
  <c r="N93" i="3"/>
  <c r="C93" i="3"/>
  <c r="M93" i="3"/>
  <c r="A94" i="3"/>
  <c r="K93" i="3"/>
  <c r="B93" i="3"/>
  <c r="D93" i="3"/>
  <c r="E93" i="3"/>
  <c r="J93" i="3"/>
  <c r="S93" i="3"/>
  <c r="AI93" i="3"/>
  <c r="P93" i="3"/>
  <c r="Q93" i="3"/>
  <c r="AA93" i="3"/>
  <c r="AE93" i="3"/>
  <c r="AN93" i="3"/>
  <c r="H93" i="3"/>
  <c r="G93" i="3"/>
  <c r="W93" i="3"/>
  <c r="T93" i="3"/>
  <c r="AS93" i="3"/>
  <c r="AB92" i="3"/>
  <c r="AC92" i="3"/>
  <c r="BG82" i="1"/>
  <c r="BF82" i="1"/>
  <c r="BH82" i="1"/>
  <c r="CR107" i="2"/>
  <c r="CU107" i="2" s="1"/>
  <c r="A108" i="2"/>
  <c r="CG107" i="2"/>
  <c r="CJ107" i="2" s="1"/>
  <c r="CF107" i="2"/>
  <c r="CI107" i="2" s="1"/>
  <c r="BK107" i="2"/>
  <c r="BN107" i="2" s="1"/>
  <c r="BU107" i="2"/>
  <c r="BX107" i="2" s="1"/>
  <c r="BT107" i="2"/>
  <c r="BW107" i="2" s="1"/>
  <c r="CS107" i="2"/>
  <c r="CV107" i="2" s="1"/>
  <c r="BC107" i="2"/>
  <c r="BF107" i="2" s="1"/>
  <c r="BL107" i="2"/>
  <c r="BO107" i="2" s="1"/>
  <c r="BB107" i="2"/>
  <c r="BE107" i="2" s="1"/>
  <c r="AD106" i="2"/>
  <c r="S106" i="2"/>
  <c r="M106" i="2"/>
  <c r="AJ106" i="2"/>
  <c r="F106" i="2"/>
  <c r="AK106" i="2"/>
  <c r="Y106" i="2"/>
  <c r="X106" i="2"/>
  <c r="L106" i="2"/>
  <c r="G106" i="2"/>
  <c r="R106" i="2"/>
  <c r="AE106" i="2"/>
  <c r="AS106" i="2"/>
  <c r="AV106" i="2" s="1"/>
  <c r="AT106" i="2"/>
  <c r="AW106" i="2" s="1"/>
  <c r="BV105" i="2"/>
  <c r="W106" i="2"/>
  <c r="B106" i="2"/>
  <c r="D106" i="2"/>
  <c r="Q106" i="2"/>
  <c r="E106" i="2"/>
  <c r="C106" i="2"/>
  <c r="BS106" i="2"/>
  <c r="CQ106" i="2"/>
  <c r="AC106" i="2"/>
  <c r="AR106" i="2"/>
  <c r="CE106" i="2"/>
  <c r="AI106" i="2"/>
  <c r="K106" i="2"/>
  <c r="BJ106" i="2"/>
  <c r="BA106" i="2"/>
  <c r="CT105" i="2"/>
  <c r="BD105" i="2"/>
  <c r="BM105" i="2"/>
  <c r="CH105" i="2"/>
  <c r="AU105" i="2"/>
  <c r="AQ81" i="1"/>
  <c r="AP81" i="1"/>
  <c r="AO81" i="1"/>
  <c r="AL81" i="1"/>
  <c r="AK81" i="1"/>
  <c r="AJ81" i="1"/>
  <c r="AE81" i="1"/>
  <c r="AF81" i="1"/>
  <c r="AG81" i="1"/>
  <c r="I82" i="1"/>
  <c r="AS82" i="1"/>
  <c r="W82" i="1"/>
  <c r="C82" i="1"/>
  <c r="U82" i="1"/>
  <c r="Z82" i="1"/>
  <c r="AD82" i="1"/>
  <c r="B82" i="1"/>
  <c r="O82" i="1"/>
  <c r="Y82" i="1"/>
  <c r="D82" i="1"/>
  <c r="AN82" i="1"/>
  <c r="R82" i="1"/>
  <c r="V82" i="1"/>
  <c r="J82" i="1"/>
  <c r="E82" i="1"/>
  <c r="S82" i="1"/>
  <c r="A83" i="1"/>
  <c r="BE83" i="1" s="1"/>
  <c r="AI82" i="1"/>
  <c r="M82" i="1"/>
  <c r="K82" i="1"/>
  <c r="AA82" i="1"/>
  <c r="Q82" i="1"/>
  <c r="N82" i="1"/>
  <c r="AY82" i="1"/>
  <c r="G82" i="1"/>
  <c r="F82" i="1"/>
  <c r="AZ81" i="1"/>
  <c r="BB81" i="1"/>
  <c r="BA81" i="1"/>
  <c r="AU81" i="1"/>
  <c r="AT81" i="1"/>
  <c r="AV81" i="1"/>
  <c r="L100" i="5" l="1"/>
  <c r="C100" i="5"/>
  <c r="B100" i="5"/>
  <c r="A101" i="5"/>
  <c r="M100" i="5"/>
  <c r="P100" i="5"/>
  <c r="Q100" i="5"/>
  <c r="E100" i="5"/>
  <c r="D100" i="5"/>
  <c r="AV100" i="5"/>
  <c r="AY100" i="5" s="1"/>
  <c r="BD100" i="5"/>
  <c r="BG100" i="5" s="1"/>
  <c r="AK100" i="5"/>
  <c r="X100" i="5"/>
  <c r="AJ100" i="5"/>
  <c r="AM100" i="5" s="1"/>
  <c r="AD100" i="5"/>
  <c r="AG100" i="5" s="1"/>
  <c r="BL100" i="5"/>
  <c r="BO100" i="5" s="1"/>
  <c r="U100" i="5"/>
  <c r="T100" i="5"/>
  <c r="AQ100" i="5"/>
  <c r="I100" i="5"/>
  <c r="H100" i="5"/>
  <c r="AE100" i="5"/>
  <c r="AP100" i="5"/>
  <c r="AS100" i="5" s="1"/>
  <c r="AW100" i="5"/>
  <c r="AZ100" i="5" s="1"/>
  <c r="Y100" i="5"/>
  <c r="BM100" i="5"/>
  <c r="BP100" i="5" s="1"/>
  <c r="BE100" i="5"/>
  <c r="BH100" i="5" s="1"/>
  <c r="AH91" i="4"/>
  <c r="W91" i="4"/>
  <c r="Q91" i="4"/>
  <c r="Z91" i="4"/>
  <c r="AD91" i="4"/>
  <c r="T91" i="4"/>
  <c r="A93" i="4"/>
  <c r="I92" i="4"/>
  <c r="C92" i="4"/>
  <c r="B92" i="4"/>
  <c r="G92" i="4"/>
  <c r="AC92" i="4"/>
  <c r="E92" i="4"/>
  <c r="AG92" i="4"/>
  <c r="M92" i="4"/>
  <c r="P92" i="4"/>
  <c r="K92" i="4"/>
  <c r="V92" i="4"/>
  <c r="S92" i="4"/>
  <c r="Y92" i="4"/>
  <c r="AU93" i="3"/>
  <c r="AT93" i="3"/>
  <c r="AG93" i="3"/>
  <c r="AF93" i="3"/>
  <c r="AK93" i="3"/>
  <c r="AJ93" i="3"/>
  <c r="Y93" i="3"/>
  <c r="X93" i="3"/>
  <c r="A95" i="3"/>
  <c r="J94" i="3"/>
  <c r="D94" i="3"/>
  <c r="E94" i="3"/>
  <c r="K94" i="3"/>
  <c r="M94" i="3"/>
  <c r="B94" i="3"/>
  <c r="C94" i="3"/>
  <c r="N94" i="3"/>
  <c r="G94" i="3"/>
  <c r="P94" i="3"/>
  <c r="AN94" i="3"/>
  <c r="W94" i="3"/>
  <c r="S94" i="3"/>
  <c r="AI94" i="3"/>
  <c r="AS94" i="3"/>
  <c r="H94" i="3"/>
  <c r="T94" i="3"/>
  <c r="Q94" i="3"/>
  <c r="AE94" i="3"/>
  <c r="AA94" i="3"/>
  <c r="AC93" i="3"/>
  <c r="AB93" i="3"/>
  <c r="AP93" i="3"/>
  <c r="AO93" i="3"/>
  <c r="BH83" i="1"/>
  <c r="BG83" i="1"/>
  <c r="BF83" i="1"/>
  <c r="CS108" i="2"/>
  <c r="CV108" i="2" s="1"/>
  <c r="A109" i="2"/>
  <c r="CR108" i="2"/>
  <c r="CU108" i="2" s="1"/>
  <c r="BU108" i="2"/>
  <c r="BX108" i="2" s="1"/>
  <c r="CG108" i="2"/>
  <c r="CJ108" i="2" s="1"/>
  <c r="BC108" i="2"/>
  <c r="BF108" i="2" s="1"/>
  <c r="CF108" i="2"/>
  <c r="CI108" i="2" s="1"/>
  <c r="BT108" i="2"/>
  <c r="BW108" i="2" s="1"/>
  <c r="BK108" i="2"/>
  <c r="BN108" i="2" s="1"/>
  <c r="BL108" i="2"/>
  <c r="BO108" i="2" s="1"/>
  <c r="BB108" i="2"/>
  <c r="BE108" i="2" s="1"/>
  <c r="Y107" i="2"/>
  <c r="L107" i="2"/>
  <c r="F107" i="2"/>
  <c r="AE107" i="2"/>
  <c r="R107" i="2"/>
  <c r="AD107" i="2"/>
  <c r="G107" i="2"/>
  <c r="AK107" i="2"/>
  <c r="X107" i="2"/>
  <c r="AJ107" i="2"/>
  <c r="S107" i="2"/>
  <c r="M107" i="2"/>
  <c r="AT107" i="2"/>
  <c r="AW107" i="2" s="1"/>
  <c r="AS107" i="2"/>
  <c r="AV107" i="2" s="1"/>
  <c r="AU106" i="2"/>
  <c r="BD106" i="2"/>
  <c r="BM106" i="2"/>
  <c r="CT106" i="2"/>
  <c r="E107" i="2"/>
  <c r="B107" i="2"/>
  <c r="C107" i="2"/>
  <c r="Q107" i="2"/>
  <c r="D107" i="2"/>
  <c r="W107" i="2"/>
  <c r="BS107" i="2"/>
  <c r="AR107" i="2"/>
  <c r="CQ107" i="2"/>
  <c r="CE107" i="2"/>
  <c r="BA107" i="2"/>
  <c r="AC107" i="2"/>
  <c r="BJ107" i="2"/>
  <c r="AI107" i="2"/>
  <c r="K107" i="2"/>
  <c r="CH106" i="2"/>
  <c r="BV106" i="2"/>
  <c r="AJ82" i="1"/>
  <c r="AK82" i="1"/>
  <c r="AL82" i="1"/>
  <c r="S83" i="1"/>
  <c r="F83" i="1"/>
  <c r="O83" i="1"/>
  <c r="R83" i="1"/>
  <c r="C83" i="1"/>
  <c r="V83" i="1"/>
  <c r="B83" i="1"/>
  <c r="J83" i="1"/>
  <c r="AY83" i="1"/>
  <c r="G83" i="1"/>
  <c r="M83" i="1"/>
  <c r="AS83" i="1"/>
  <c r="U83" i="1"/>
  <c r="AD83" i="1"/>
  <c r="Q83" i="1"/>
  <c r="Z83" i="1"/>
  <c r="E83" i="1"/>
  <c r="AN83" i="1"/>
  <c r="N83" i="1"/>
  <c r="Y83" i="1"/>
  <c r="W83" i="1"/>
  <c r="K83" i="1"/>
  <c r="A84" i="1"/>
  <c r="BE84" i="1" s="1"/>
  <c r="D83" i="1"/>
  <c r="AA83" i="1"/>
  <c r="I83" i="1"/>
  <c r="AI83" i="1"/>
  <c r="AT82" i="1"/>
  <c r="AV82" i="1"/>
  <c r="AU82" i="1"/>
  <c r="BA82" i="1"/>
  <c r="AZ82" i="1"/>
  <c r="BB82" i="1"/>
  <c r="AG82" i="1"/>
  <c r="AF82" i="1"/>
  <c r="AE82" i="1"/>
  <c r="AO82" i="1"/>
  <c r="AQ82" i="1"/>
  <c r="AP82" i="1"/>
  <c r="M101" i="5" l="1"/>
  <c r="E101" i="5"/>
  <c r="C101" i="5"/>
  <c r="A102" i="5"/>
  <c r="B101" i="5"/>
  <c r="Q101" i="5"/>
  <c r="D101" i="5"/>
  <c r="P101" i="5"/>
  <c r="L101" i="5"/>
  <c r="AD101" i="5"/>
  <c r="AG101" i="5" s="1"/>
  <c r="AJ101" i="5"/>
  <c r="AM101" i="5" s="1"/>
  <c r="X101" i="5"/>
  <c r="AE101" i="5"/>
  <c r="AK101" i="5"/>
  <c r="AV101" i="5"/>
  <c r="AY101" i="5" s="1"/>
  <c r="BD101" i="5"/>
  <c r="BG101" i="5" s="1"/>
  <c r="BL101" i="5"/>
  <c r="BO101" i="5" s="1"/>
  <c r="AP101" i="5"/>
  <c r="AS101" i="5" s="1"/>
  <c r="I101" i="5"/>
  <c r="AQ101" i="5"/>
  <c r="U101" i="5"/>
  <c r="H101" i="5"/>
  <c r="T101" i="5"/>
  <c r="AW101" i="5"/>
  <c r="AZ101" i="5" s="1"/>
  <c r="BM101" i="5"/>
  <c r="BP101" i="5" s="1"/>
  <c r="Y101" i="5"/>
  <c r="BE101" i="5"/>
  <c r="BH101" i="5" s="1"/>
  <c r="AH92" i="4"/>
  <c r="W92" i="4"/>
  <c r="AD92" i="4"/>
  <c r="Z92" i="4"/>
  <c r="T92" i="4"/>
  <c r="Q92" i="4"/>
  <c r="A94" i="4"/>
  <c r="I93" i="4"/>
  <c r="C93" i="4"/>
  <c r="B93" i="4"/>
  <c r="G93" i="4"/>
  <c r="S93" i="4"/>
  <c r="Y93" i="4"/>
  <c r="V93" i="4"/>
  <c r="K93" i="4"/>
  <c r="P93" i="4"/>
  <c r="AC93" i="4"/>
  <c r="E93" i="4"/>
  <c r="M93" i="4"/>
  <c r="AG93" i="4"/>
  <c r="X94" i="3"/>
  <c r="Y94" i="3"/>
  <c r="AP94" i="3"/>
  <c r="AO94" i="3"/>
  <c r="AC94" i="3"/>
  <c r="AB94" i="3"/>
  <c r="AG94" i="3"/>
  <c r="AF94" i="3"/>
  <c r="AT94" i="3"/>
  <c r="AU94" i="3"/>
  <c r="AJ94" i="3"/>
  <c r="AK94" i="3"/>
  <c r="C95" i="3"/>
  <c r="B95" i="3"/>
  <c r="E95" i="3"/>
  <c r="J95" i="3"/>
  <c r="N95" i="3"/>
  <c r="D95" i="3"/>
  <c r="M95" i="3"/>
  <c r="K95" i="3"/>
  <c r="A96" i="3"/>
  <c r="AS95" i="3"/>
  <c r="P95" i="3"/>
  <c r="Q95" i="3"/>
  <c r="S95" i="3"/>
  <c r="T95" i="3"/>
  <c r="AI95" i="3"/>
  <c r="AN95" i="3"/>
  <c r="G95" i="3"/>
  <c r="AA95" i="3"/>
  <c r="W95" i="3"/>
  <c r="AE95" i="3"/>
  <c r="H95" i="3"/>
  <c r="BH84" i="1"/>
  <c r="BG84" i="1"/>
  <c r="BF84" i="1"/>
  <c r="A110" i="2"/>
  <c r="CR109" i="2"/>
  <c r="CU109" i="2" s="1"/>
  <c r="BT109" i="2"/>
  <c r="BW109" i="2" s="1"/>
  <c r="BK109" i="2"/>
  <c r="BN109" i="2" s="1"/>
  <c r="CG109" i="2"/>
  <c r="CJ109" i="2" s="1"/>
  <c r="CS109" i="2"/>
  <c r="CV109" i="2" s="1"/>
  <c r="CF109" i="2"/>
  <c r="CI109" i="2" s="1"/>
  <c r="BL109" i="2"/>
  <c r="BO109" i="2" s="1"/>
  <c r="BU109" i="2"/>
  <c r="BX109" i="2" s="1"/>
  <c r="BC109" i="2"/>
  <c r="BF109" i="2" s="1"/>
  <c r="BB109" i="2"/>
  <c r="BE109" i="2" s="1"/>
  <c r="AJ108" i="2"/>
  <c r="AD108" i="2"/>
  <c r="Y108" i="2"/>
  <c r="R108" i="2"/>
  <c r="AE108" i="2"/>
  <c r="F108" i="2"/>
  <c r="AK108" i="2"/>
  <c r="X108" i="2"/>
  <c r="M108" i="2"/>
  <c r="S108" i="2"/>
  <c r="L108" i="2"/>
  <c r="G108" i="2"/>
  <c r="AT108" i="2"/>
  <c r="AW108" i="2" s="1"/>
  <c r="AS108" i="2"/>
  <c r="AV108" i="2" s="1"/>
  <c r="CT107" i="2"/>
  <c r="B108" i="2"/>
  <c r="W108" i="2"/>
  <c r="D108" i="2"/>
  <c r="C108" i="2"/>
  <c r="Q108" i="2"/>
  <c r="E108" i="2"/>
  <c r="CE108" i="2"/>
  <c r="K108" i="2"/>
  <c r="BS108" i="2"/>
  <c r="CQ108" i="2"/>
  <c r="AI108" i="2"/>
  <c r="AC108" i="2"/>
  <c r="BJ108" i="2"/>
  <c r="BA108" i="2"/>
  <c r="AR108" i="2"/>
  <c r="CH107" i="2"/>
  <c r="AU107" i="2"/>
  <c r="BV107" i="2"/>
  <c r="BD107" i="2"/>
  <c r="BM107" i="2"/>
  <c r="BA83" i="1"/>
  <c r="AZ83" i="1"/>
  <c r="BB83" i="1"/>
  <c r="AT83" i="1"/>
  <c r="AV83" i="1"/>
  <c r="AU83" i="1"/>
  <c r="AJ83" i="1"/>
  <c r="AL83" i="1"/>
  <c r="AK83" i="1"/>
  <c r="I84" i="1"/>
  <c r="AS84" i="1"/>
  <c r="W84" i="1"/>
  <c r="C84" i="1"/>
  <c r="Z84" i="1"/>
  <c r="B84" i="1"/>
  <c r="R84" i="1"/>
  <c r="S84" i="1"/>
  <c r="A85" i="1"/>
  <c r="BE85" i="1" s="1"/>
  <c r="AI84" i="1"/>
  <c r="M84" i="1"/>
  <c r="Q84" i="1"/>
  <c r="E84" i="1"/>
  <c r="K84" i="1"/>
  <c r="O84" i="1"/>
  <c r="N84" i="1"/>
  <c r="AY84" i="1"/>
  <c r="AD84" i="1"/>
  <c r="G84" i="1"/>
  <c r="F84" i="1"/>
  <c r="V84" i="1"/>
  <c r="J84" i="1"/>
  <c r="Y84" i="1"/>
  <c r="D84" i="1"/>
  <c r="AN84" i="1"/>
  <c r="AA84" i="1"/>
  <c r="U84" i="1"/>
  <c r="AP83" i="1"/>
  <c r="AO83" i="1"/>
  <c r="AQ83" i="1"/>
  <c r="AG83" i="1"/>
  <c r="AF83" i="1"/>
  <c r="AE83" i="1"/>
  <c r="P102" i="5" l="1"/>
  <c r="B102" i="5"/>
  <c r="C102" i="5"/>
  <c r="A103" i="5"/>
  <c r="M102" i="5"/>
  <c r="L102" i="5"/>
  <c r="E102" i="5"/>
  <c r="D102" i="5"/>
  <c r="Q102" i="5"/>
  <c r="AD102" i="5"/>
  <c r="AG102" i="5" s="1"/>
  <c r="X102" i="5"/>
  <c r="AJ102" i="5"/>
  <c r="AM102" i="5" s="1"/>
  <c r="AV102" i="5"/>
  <c r="AY102" i="5" s="1"/>
  <c r="AE102" i="5"/>
  <c r="AK102" i="5"/>
  <c r="BD102" i="5"/>
  <c r="BG102" i="5" s="1"/>
  <c r="I102" i="5"/>
  <c r="AQ102" i="5"/>
  <c r="BL102" i="5"/>
  <c r="BO102" i="5" s="1"/>
  <c r="T102" i="5"/>
  <c r="H102" i="5"/>
  <c r="U102" i="5"/>
  <c r="AP102" i="5"/>
  <c r="AS102" i="5" s="1"/>
  <c r="BE102" i="5"/>
  <c r="BH102" i="5" s="1"/>
  <c r="AW102" i="5"/>
  <c r="AZ102" i="5" s="1"/>
  <c r="BM102" i="5"/>
  <c r="BP102" i="5" s="1"/>
  <c r="Y102" i="5"/>
  <c r="Z93" i="4"/>
  <c r="T93" i="4"/>
  <c r="AD93" i="4"/>
  <c r="W93" i="4"/>
  <c r="A95" i="4"/>
  <c r="I94" i="4"/>
  <c r="C94" i="4"/>
  <c r="B94" i="4"/>
  <c r="G94" i="4"/>
  <c r="P94" i="4"/>
  <c r="K94" i="4"/>
  <c r="AG94" i="4"/>
  <c r="E94" i="4"/>
  <c r="M94" i="4"/>
  <c r="AC94" i="4"/>
  <c r="V94" i="4"/>
  <c r="S94" i="4"/>
  <c r="Y94" i="4"/>
  <c r="AH93" i="4"/>
  <c r="Q93" i="4"/>
  <c r="AC95" i="3"/>
  <c r="AB95" i="3"/>
  <c r="N96" i="3"/>
  <c r="C96" i="3"/>
  <c r="M96" i="3"/>
  <c r="E96" i="3"/>
  <c r="D96" i="3"/>
  <c r="A97" i="3"/>
  <c r="K96" i="3"/>
  <c r="B96" i="3"/>
  <c r="J96" i="3"/>
  <c r="AI96" i="3"/>
  <c r="P96" i="3"/>
  <c r="W96" i="3"/>
  <c r="T96" i="3"/>
  <c r="S96" i="3"/>
  <c r="AE96" i="3"/>
  <c r="Q96" i="3"/>
  <c r="AA96" i="3"/>
  <c r="G96" i="3"/>
  <c r="AS96" i="3"/>
  <c r="AN96" i="3"/>
  <c r="H96" i="3"/>
  <c r="Y95" i="3"/>
  <c r="X95" i="3"/>
  <c r="AU95" i="3"/>
  <c r="AT95" i="3"/>
  <c r="AP95" i="3"/>
  <c r="AO95" i="3"/>
  <c r="AF95" i="3"/>
  <c r="AG95" i="3"/>
  <c r="AK95" i="3"/>
  <c r="AJ95" i="3"/>
  <c r="BF85" i="1"/>
  <c r="BH85" i="1"/>
  <c r="BG85" i="1"/>
  <c r="CR110" i="2"/>
  <c r="CU110" i="2" s="1"/>
  <c r="CG110" i="2"/>
  <c r="CJ110" i="2" s="1"/>
  <c r="BU110" i="2"/>
  <c r="BX110" i="2" s="1"/>
  <c r="BT110" i="2"/>
  <c r="BW110" i="2" s="1"/>
  <c r="BB110" i="2"/>
  <c r="BE110" i="2" s="1"/>
  <c r="CF110" i="2"/>
  <c r="CI110" i="2" s="1"/>
  <c r="CS110" i="2"/>
  <c r="CV110" i="2" s="1"/>
  <c r="A111" i="2"/>
  <c r="BK110" i="2"/>
  <c r="BN110" i="2" s="1"/>
  <c r="BC110" i="2"/>
  <c r="BF110" i="2" s="1"/>
  <c r="BL110" i="2"/>
  <c r="BO110" i="2" s="1"/>
  <c r="AJ109" i="2"/>
  <c r="AK109" i="2"/>
  <c r="AD109" i="2"/>
  <c r="Y109" i="2"/>
  <c r="G109" i="2"/>
  <c r="M109" i="2"/>
  <c r="AE109" i="2"/>
  <c r="S109" i="2"/>
  <c r="X109" i="2"/>
  <c r="L109" i="2"/>
  <c r="R109" i="2"/>
  <c r="F109" i="2"/>
  <c r="AT109" i="2"/>
  <c r="AW109" i="2" s="1"/>
  <c r="AS109" i="2"/>
  <c r="AV109" i="2" s="1"/>
  <c r="AU108" i="2"/>
  <c r="CT108" i="2"/>
  <c r="D109" i="2"/>
  <c r="E109" i="2"/>
  <c r="Q109" i="2"/>
  <c r="C109" i="2"/>
  <c r="W109" i="2"/>
  <c r="B109" i="2"/>
  <c r="CE109" i="2"/>
  <c r="AC109" i="2"/>
  <c r="AR109" i="2"/>
  <c r="K109" i="2"/>
  <c r="BA109" i="2"/>
  <c r="BJ109" i="2"/>
  <c r="CQ109" i="2"/>
  <c r="AI109" i="2"/>
  <c r="BS109" i="2"/>
  <c r="BD108" i="2"/>
  <c r="BV108" i="2"/>
  <c r="BM108" i="2"/>
  <c r="CH108" i="2"/>
  <c r="AE84" i="1"/>
  <c r="AG84" i="1"/>
  <c r="AF84" i="1"/>
  <c r="AK84" i="1"/>
  <c r="AL84" i="1"/>
  <c r="AJ84" i="1"/>
  <c r="AT84" i="1"/>
  <c r="AV84" i="1"/>
  <c r="AU84" i="1"/>
  <c r="K85" i="1"/>
  <c r="U85" i="1"/>
  <c r="Y85" i="1"/>
  <c r="AS85" i="1"/>
  <c r="C85" i="1"/>
  <c r="G85" i="1"/>
  <c r="AA85" i="1"/>
  <c r="F85" i="1"/>
  <c r="O85" i="1"/>
  <c r="N85" i="1"/>
  <c r="AI85" i="1"/>
  <c r="I85" i="1"/>
  <c r="S85" i="1"/>
  <c r="V85" i="1"/>
  <c r="J85" i="1"/>
  <c r="W85" i="1"/>
  <c r="AN85" i="1"/>
  <c r="Q85" i="1"/>
  <c r="Z85" i="1"/>
  <c r="E85" i="1"/>
  <c r="M85" i="1"/>
  <c r="R85" i="1"/>
  <c r="B85" i="1"/>
  <c r="D85" i="1"/>
  <c r="AY85" i="1"/>
  <c r="A86" i="1"/>
  <c r="BE86" i="1" s="1"/>
  <c r="AD85" i="1"/>
  <c r="AP84" i="1"/>
  <c r="AO84" i="1"/>
  <c r="AQ84" i="1"/>
  <c r="BB84" i="1"/>
  <c r="BA84" i="1"/>
  <c r="AZ84" i="1"/>
  <c r="B103" i="5" l="1"/>
  <c r="A104" i="5"/>
  <c r="Q103" i="5"/>
  <c r="E103" i="5"/>
  <c r="P103" i="5"/>
  <c r="M103" i="5"/>
  <c r="C103" i="5"/>
  <c r="L103" i="5"/>
  <c r="D103" i="5"/>
  <c r="AJ103" i="5"/>
  <c r="AM103" i="5" s="1"/>
  <c r="AV103" i="5"/>
  <c r="AY103" i="5" s="1"/>
  <c r="AK103" i="5"/>
  <c r="AD103" i="5"/>
  <c r="AG103" i="5" s="1"/>
  <c r="BL103" i="5"/>
  <c r="BO103" i="5" s="1"/>
  <c r="AQ103" i="5"/>
  <c r="AE103" i="5"/>
  <c r="BD103" i="5"/>
  <c r="BG103" i="5" s="1"/>
  <c r="T103" i="5"/>
  <c r="AP103" i="5"/>
  <c r="AS103" i="5" s="1"/>
  <c r="X103" i="5"/>
  <c r="U103" i="5"/>
  <c r="I103" i="5"/>
  <c r="H103" i="5"/>
  <c r="AW103" i="5"/>
  <c r="AZ103" i="5" s="1"/>
  <c r="BM103" i="5"/>
  <c r="BP103" i="5" s="1"/>
  <c r="BE103" i="5"/>
  <c r="BH103" i="5" s="1"/>
  <c r="Y103" i="5"/>
  <c r="W94" i="4"/>
  <c r="A96" i="4"/>
  <c r="I95" i="4"/>
  <c r="C95" i="4"/>
  <c r="G95" i="4"/>
  <c r="B95" i="4"/>
  <c r="K95" i="4"/>
  <c r="P95" i="4"/>
  <c r="AC95" i="4"/>
  <c r="M95" i="4"/>
  <c r="Y95" i="4"/>
  <c r="V95" i="4"/>
  <c r="E95" i="4"/>
  <c r="AG95" i="4"/>
  <c r="S95" i="4"/>
  <c r="Q94" i="4"/>
  <c r="Z94" i="4"/>
  <c r="AH94" i="4"/>
  <c r="T94" i="4"/>
  <c r="AD94" i="4"/>
  <c r="AG96" i="3"/>
  <c r="AF96" i="3"/>
  <c r="AJ96" i="3"/>
  <c r="AK96" i="3"/>
  <c r="A98" i="3"/>
  <c r="J97" i="3"/>
  <c r="D97" i="3"/>
  <c r="K97" i="3"/>
  <c r="C97" i="3"/>
  <c r="M97" i="3"/>
  <c r="B97" i="3"/>
  <c r="N97" i="3"/>
  <c r="E97" i="3"/>
  <c r="T97" i="3"/>
  <c r="P97" i="3"/>
  <c r="W97" i="3"/>
  <c r="AI97" i="3"/>
  <c r="AS97" i="3"/>
  <c r="AA97" i="3"/>
  <c r="H97" i="3"/>
  <c r="AE97" i="3"/>
  <c r="G97" i="3"/>
  <c r="Q97" i="3"/>
  <c r="AN97" i="3"/>
  <c r="S97" i="3"/>
  <c r="AO96" i="3"/>
  <c r="AP96" i="3"/>
  <c r="AU96" i="3"/>
  <c r="AT96" i="3"/>
  <c r="Y96" i="3"/>
  <c r="X96" i="3"/>
  <c r="AC96" i="3"/>
  <c r="AB96" i="3"/>
  <c r="BG86" i="1"/>
  <c r="BF86" i="1"/>
  <c r="BH86" i="1"/>
  <c r="CR111" i="2"/>
  <c r="CU111" i="2" s="1"/>
  <c r="A112" i="2"/>
  <c r="CG111" i="2"/>
  <c r="CJ111" i="2" s="1"/>
  <c r="CS111" i="2"/>
  <c r="CV111" i="2" s="1"/>
  <c r="CF111" i="2"/>
  <c r="CI111" i="2" s="1"/>
  <c r="BU111" i="2"/>
  <c r="BX111" i="2" s="1"/>
  <c r="BT111" i="2"/>
  <c r="BW111" i="2" s="1"/>
  <c r="BL111" i="2"/>
  <c r="BO111" i="2" s="1"/>
  <c r="BB111" i="2"/>
  <c r="BE111" i="2" s="1"/>
  <c r="BK111" i="2"/>
  <c r="BN111" i="2" s="1"/>
  <c r="BC111" i="2"/>
  <c r="BF111" i="2" s="1"/>
  <c r="AD110" i="2"/>
  <c r="AK110" i="2"/>
  <c r="AE110" i="2"/>
  <c r="X110" i="2"/>
  <c r="S110" i="2"/>
  <c r="M110" i="2"/>
  <c r="G110" i="2"/>
  <c r="R110" i="2"/>
  <c r="Y110" i="2"/>
  <c r="AJ110" i="2"/>
  <c r="L110" i="2"/>
  <c r="F110" i="2"/>
  <c r="AS110" i="2"/>
  <c r="AV110" i="2" s="1"/>
  <c r="AT110" i="2"/>
  <c r="AW110" i="2" s="1"/>
  <c r="AU109" i="2"/>
  <c r="CH109" i="2"/>
  <c r="CT109" i="2"/>
  <c r="BM109" i="2"/>
  <c r="W110" i="2"/>
  <c r="E110" i="2"/>
  <c r="Q110" i="2"/>
  <c r="B110" i="2"/>
  <c r="C110" i="2"/>
  <c r="D110" i="2"/>
  <c r="AI110" i="2"/>
  <c r="AC110" i="2"/>
  <c r="BJ110" i="2"/>
  <c r="CE110" i="2"/>
  <c r="CQ110" i="2"/>
  <c r="BA110" i="2"/>
  <c r="K110" i="2"/>
  <c r="BS110" i="2"/>
  <c r="AR110" i="2"/>
  <c r="BD109" i="2"/>
  <c r="BV109" i="2"/>
  <c r="AG85" i="1"/>
  <c r="AF85" i="1"/>
  <c r="AE85" i="1"/>
  <c r="AJ85" i="1"/>
  <c r="AL85" i="1"/>
  <c r="AK85" i="1"/>
  <c r="S86" i="1"/>
  <c r="A87" i="1"/>
  <c r="BE87" i="1" s="1"/>
  <c r="AI86" i="1"/>
  <c r="M86" i="1"/>
  <c r="K86" i="1"/>
  <c r="Q86" i="1"/>
  <c r="E86" i="1"/>
  <c r="N86" i="1"/>
  <c r="AY86" i="1"/>
  <c r="AD86" i="1"/>
  <c r="G86" i="1"/>
  <c r="B86" i="1"/>
  <c r="O86" i="1"/>
  <c r="Z86" i="1"/>
  <c r="AS86" i="1"/>
  <c r="W86" i="1"/>
  <c r="C86" i="1"/>
  <c r="U86" i="1"/>
  <c r="AA86" i="1"/>
  <c r="D86" i="1"/>
  <c r="R86" i="1"/>
  <c r="V86" i="1"/>
  <c r="F86" i="1"/>
  <c r="I86" i="1"/>
  <c r="Y86" i="1"/>
  <c r="AN86" i="1"/>
  <c r="J86" i="1"/>
  <c r="BB85" i="1"/>
  <c r="AZ85" i="1"/>
  <c r="BA85" i="1"/>
  <c r="AO85" i="1"/>
  <c r="AQ85" i="1"/>
  <c r="AP85" i="1"/>
  <c r="AV85" i="1"/>
  <c r="AU85" i="1"/>
  <c r="AT85" i="1"/>
  <c r="M104" i="5" l="1"/>
  <c r="E104" i="5"/>
  <c r="A105" i="5"/>
  <c r="B104" i="5"/>
  <c r="Q104" i="5"/>
  <c r="P104" i="5"/>
  <c r="C104" i="5"/>
  <c r="D104" i="5"/>
  <c r="L104" i="5"/>
  <c r="AD104" i="5"/>
  <c r="AG104" i="5" s="1"/>
  <c r="AJ104" i="5"/>
  <c r="AM104" i="5" s="1"/>
  <c r="BD104" i="5"/>
  <c r="BG104" i="5" s="1"/>
  <c r="H104" i="5"/>
  <c r="BL104" i="5"/>
  <c r="BO104" i="5" s="1"/>
  <c r="X104" i="5"/>
  <c r="AK104" i="5"/>
  <c r="T104" i="5"/>
  <c r="AP104" i="5"/>
  <c r="AS104" i="5" s="1"/>
  <c r="AV104" i="5"/>
  <c r="AY104" i="5" s="1"/>
  <c r="I104" i="5"/>
  <c r="U104" i="5"/>
  <c r="AQ104" i="5"/>
  <c r="AE104" i="5"/>
  <c r="BE104" i="5"/>
  <c r="BH104" i="5" s="1"/>
  <c r="BM104" i="5"/>
  <c r="BP104" i="5" s="1"/>
  <c r="AW104" i="5"/>
  <c r="AZ104" i="5" s="1"/>
  <c r="Y104" i="5"/>
  <c r="W95" i="4"/>
  <c r="T95" i="4"/>
  <c r="Z95" i="4"/>
  <c r="AH95" i="4"/>
  <c r="A97" i="4"/>
  <c r="I96" i="4"/>
  <c r="C96" i="4"/>
  <c r="G96" i="4"/>
  <c r="B96" i="4"/>
  <c r="K96" i="4"/>
  <c r="AG96" i="4"/>
  <c r="S96" i="4"/>
  <c r="AC96" i="4"/>
  <c r="V96" i="4"/>
  <c r="P96" i="4"/>
  <c r="Y96" i="4"/>
  <c r="M96" i="4"/>
  <c r="E96" i="4"/>
  <c r="AD95" i="4"/>
  <c r="Q95" i="4"/>
  <c r="AJ97" i="3"/>
  <c r="AK97" i="3"/>
  <c r="Y97" i="3"/>
  <c r="X97" i="3"/>
  <c r="AG97" i="3"/>
  <c r="AF97" i="3"/>
  <c r="AP97" i="3"/>
  <c r="AO97" i="3"/>
  <c r="AC97" i="3"/>
  <c r="AB97" i="3"/>
  <c r="AU97" i="3"/>
  <c r="AT97" i="3"/>
  <c r="C98" i="3"/>
  <c r="A99" i="3"/>
  <c r="K98" i="3"/>
  <c r="J98" i="3"/>
  <c r="B98" i="3"/>
  <c r="N98" i="3"/>
  <c r="M98" i="3"/>
  <c r="D98" i="3"/>
  <c r="E98" i="3"/>
  <c r="T98" i="3"/>
  <c r="AI98" i="3"/>
  <c r="S98" i="3"/>
  <c r="H98" i="3"/>
  <c r="AE98" i="3"/>
  <c r="Q98" i="3"/>
  <c r="AS98" i="3"/>
  <c r="P98" i="3"/>
  <c r="G98" i="3"/>
  <c r="AA98" i="3"/>
  <c r="AN98" i="3"/>
  <c r="W98" i="3"/>
  <c r="BH87" i="1"/>
  <c r="BG87" i="1"/>
  <c r="BF87" i="1"/>
  <c r="A113" i="2"/>
  <c r="CS112" i="2"/>
  <c r="CV112" i="2" s="1"/>
  <c r="CF112" i="2"/>
  <c r="CI112" i="2" s="1"/>
  <c r="CR112" i="2"/>
  <c r="CU112" i="2" s="1"/>
  <c r="CG112" i="2"/>
  <c r="CJ112" i="2" s="1"/>
  <c r="BT112" i="2"/>
  <c r="BW112" i="2" s="1"/>
  <c r="BK112" i="2"/>
  <c r="BN112" i="2" s="1"/>
  <c r="BU112" i="2"/>
  <c r="BX112" i="2" s="1"/>
  <c r="BC112" i="2"/>
  <c r="BF112" i="2" s="1"/>
  <c r="BL112" i="2"/>
  <c r="BO112" i="2" s="1"/>
  <c r="BB112" i="2"/>
  <c r="BE112" i="2" s="1"/>
  <c r="AD111" i="2"/>
  <c r="Y111" i="2"/>
  <c r="AJ111" i="2"/>
  <c r="AE111" i="2"/>
  <c r="R111" i="2"/>
  <c r="M111" i="2"/>
  <c r="G111" i="2"/>
  <c r="L111" i="2"/>
  <c r="AK111" i="2"/>
  <c r="S111" i="2"/>
  <c r="F111" i="2"/>
  <c r="X111" i="2"/>
  <c r="AS111" i="2"/>
  <c r="AV111" i="2" s="1"/>
  <c r="AT111" i="2"/>
  <c r="AW111" i="2" s="1"/>
  <c r="BM110" i="2"/>
  <c r="AU110" i="2"/>
  <c r="BD110" i="2"/>
  <c r="CT110" i="2"/>
  <c r="BV110" i="2"/>
  <c r="CH110" i="2"/>
  <c r="B111" i="2"/>
  <c r="Q111" i="2"/>
  <c r="D111" i="2"/>
  <c r="C111" i="2"/>
  <c r="E111" i="2"/>
  <c r="W111" i="2"/>
  <c r="AC111" i="2"/>
  <c r="BA111" i="2"/>
  <c r="CQ111" i="2"/>
  <c r="AI111" i="2"/>
  <c r="BJ111" i="2"/>
  <c r="CE111" i="2"/>
  <c r="K111" i="2"/>
  <c r="AR111" i="2"/>
  <c r="BS111" i="2"/>
  <c r="AZ86" i="1"/>
  <c r="BB86" i="1"/>
  <c r="BA86" i="1"/>
  <c r="AQ86" i="1"/>
  <c r="AO86" i="1"/>
  <c r="AP86" i="1"/>
  <c r="V87" i="1"/>
  <c r="G87" i="1"/>
  <c r="Q87" i="1"/>
  <c r="Z87" i="1"/>
  <c r="E87" i="1"/>
  <c r="AN87" i="1"/>
  <c r="Y87" i="1"/>
  <c r="C87" i="1"/>
  <c r="A88" i="1"/>
  <c r="BE88" i="1" s="1"/>
  <c r="AA87" i="1"/>
  <c r="I87" i="1"/>
  <c r="AS87" i="1"/>
  <c r="J87" i="1"/>
  <c r="M87" i="1"/>
  <c r="K87" i="1"/>
  <c r="U87" i="1"/>
  <c r="S87" i="1"/>
  <c r="AD87" i="1"/>
  <c r="D87" i="1"/>
  <c r="N87" i="1"/>
  <c r="F87" i="1"/>
  <c r="O87" i="1"/>
  <c r="R87" i="1"/>
  <c r="AI87" i="1"/>
  <c r="B87" i="1"/>
  <c r="AY87" i="1"/>
  <c r="W87" i="1"/>
  <c r="AE86" i="1"/>
  <c r="AG86" i="1"/>
  <c r="AF86" i="1"/>
  <c r="AT86" i="1"/>
  <c r="AV86" i="1"/>
  <c r="AU86" i="1"/>
  <c r="AL86" i="1"/>
  <c r="AK86" i="1"/>
  <c r="AJ86" i="1"/>
  <c r="P105" i="5" l="1"/>
  <c r="B105" i="5"/>
  <c r="A106" i="5"/>
  <c r="Q105" i="5"/>
  <c r="L105" i="5"/>
  <c r="M105" i="5"/>
  <c r="E105" i="5"/>
  <c r="C105" i="5"/>
  <c r="D105" i="5"/>
  <c r="X105" i="5"/>
  <c r="AD105" i="5"/>
  <c r="AG105" i="5" s="1"/>
  <c r="AK105" i="5"/>
  <c r="BL105" i="5"/>
  <c r="BO105" i="5" s="1"/>
  <c r="AV105" i="5"/>
  <c r="AY105" i="5" s="1"/>
  <c r="BD105" i="5"/>
  <c r="BG105" i="5" s="1"/>
  <c r="H105" i="5"/>
  <c r="AE105" i="5"/>
  <c r="AJ105" i="5"/>
  <c r="AM105" i="5" s="1"/>
  <c r="U105" i="5"/>
  <c r="I105" i="5"/>
  <c r="BE105" i="5"/>
  <c r="BH105" i="5" s="1"/>
  <c r="T105" i="5"/>
  <c r="AQ105" i="5"/>
  <c r="AP105" i="5"/>
  <c r="AS105" i="5" s="1"/>
  <c r="Y105" i="5"/>
  <c r="AW105" i="5"/>
  <c r="AZ105" i="5" s="1"/>
  <c r="BM105" i="5"/>
  <c r="BP105" i="5" s="1"/>
  <c r="T96" i="4"/>
  <c r="AD96" i="4"/>
  <c r="Z96" i="4"/>
  <c r="Q96" i="4"/>
  <c r="A98" i="4"/>
  <c r="I97" i="4"/>
  <c r="C97" i="4"/>
  <c r="B97" i="4"/>
  <c r="G97" i="4"/>
  <c r="M97" i="4"/>
  <c r="AC97" i="4"/>
  <c r="E97" i="4"/>
  <c r="V97" i="4"/>
  <c r="AG97" i="4"/>
  <c r="P97" i="4"/>
  <c r="S97" i="4"/>
  <c r="K97" i="4"/>
  <c r="Y97" i="4"/>
  <c r="W96" i="4"/>
  <c r="AH96" i="4"/>
  <c r="Y98" i="3"/>
  <c r="X98" i="3"/>
  <c r="AK98" i="3"/>
  <c r="AJ98" i="3"/>
  <c r="AP98" i="3"/>
  <c r="AO98" i="3"/>
  <c r="AC98" i="3"/>
  <c r="AB98" i="3"/>
  <c r="AF98" i="3"/>
  <c r="AG98" i="3"/>
  <c r="N99" i="3"/>
  <c r="C99" i="3"/>
  <c r="M99" i="3"/>
  <c r="A100" i="3"/>
  <c r="E99" i="3"/>
  <c r="D99" i="3"/>
  <c r="J99" i="3"/>
  <c r="K99" i="3"/>
  <c r="B99" i="3"/>
  <c r="S99" i="3"/>
  <c r="AI99" i="3"/>
  <c r="AN99" i="3"/>
  <c r="AS99" i="3"/>
  <c r="Q99" i="3"/>
  <c r="G99" i="3"/>
  <c r="P99" i="3"/>
  <c r="AA99" i="3"/>
  <c r="AE99" i="3"/>
  <c r="W99" i="3"/>
  <c r="T99" i="3"/>
  <c r="H99" i="3"/>
  <c r="AU98" i="3"/>
  <c r="AT98" i="3"/>
  <c r="BF88" i="1"/>
  <c r="BH88" i="1"/>
  <c r="BG88" i="1"/>
  <c r="A114" i="2"/>
  <c r="CR113" i="2"/>
  <c r="CU113" i="2" s="1"/>
  <c r="CS113" i="2"/>
  <c r="CV113" i="2" s="1"/>
  <c r="BU113" i="2"/>
  <c r="BX113" i="2" s="1"/>
  <c r="BK113" i="2"/>
  <c r="BN113" i="2" s="1"/>
  <c r="CF113" i="2"/>
  <c r="CI113" i="2" s="1"/>
  <c r="BB113" i="2"/>
  <c r="BE113" i="2" s="1"/>
  <c r="CG113" i="2"/>
  <c r="CJ113" i="2" s="1"/>
  <c r="BT113" i="2"/>
  <c r="BW113" i="2" s="1"/>
  <c r="BL113" i="2"/>
  <c r="BO113" i="2" s="1"/>
  <c r="BC113" i="2"/>
  <c r="BF113" i="2" s="1"/>
  <c r="AJ112" i="2"/>
  <c r="AD112" i="2"/>
  <c r="S112" i="2"/>
  <c r="AK112" i="2"/>
  <c r="L112" i="2"/>
  <c r="F112" i="2"/>
  <c r="Y112" i="2"/>
  <c r="X112" i="2"/>
  <c r="AE112" i="2"/>
  <c r="M112" i="2"/>
  <c r="R112" i="2"/>
  <c r="G112" i="2"/>
  <c r="AS112" i="2"/>
  <c r="AV112" i="2" s="1"/>
  <c r="AT112" i="2"/>
  <c r="AW112" i="2" s="1"/>
  <c r="BM111" i="2"/>
  <c r="CT111" i="2"/>
  <c r="BD111" i="2"/>
  <c r="BV111" i="2"/>
  <c r="AU111" i="2"/>
  <c r="B112" i="2"/>
  <c r="W112" i="2"/>
  <c r="C112" i="2"/>
  <c r="Q112" i="2"/>
  <c r="D112" i="2"/>
  <c r="E112" i="2"/>
  <c r="BJ112" i="2"/>
  <c r="CE112" i="2"/>
  <c r="BA112" i="2"/>
  <c r="CQ112" i="2"/>
  <c r="AC112" i="2"/>
  <c r="AR112" i="2"/>
  <c r="BS112" i="2"/>
  <c r="AI112" i="2"/>
  <c r="K112" i="2"/>
  <c r="CH111" i="2"/>
  <c r="AQ87" i="1"/>
  <c r="AP87" i="1"/>
  <c r="AO87" i="1"/>
  <c r="N88" i="1"/>
  <c r="AY88" i="1"/>
  <c r="AD88" i="1"/>
  <c r="G88" i="1"/>
  <c r="F88" i="1"/>
  <c r="K88" i="1"/>
  <c r="U88" i="1"/>
  <c r="I88" i="1"/>
  <c r="AS88" i="1"/>
  <c r="C88" i="1"/>
  <c r="Z88" i="1"/>
  <c r="W88" i="1"/>
  <c r="J88" i="1"/>
  <c r="Y88" i="1"/>
  <c r="D88" i="1"/>
  <c r="AN88" i="1"/>
  <c r="R88" i="1"/>
  <c r="AA88" i="1"/>
  <c r="O88" i="1"/>
  <c r="V88" i="1"/>
  <c r="S88" i="1"/>
  <c r="A89" i="1"/>
  <c r="BE89" i="1" s="1"/>
  <c r="AI88" i="1"/>
  <c r="M88" i="1"/>
  <c r="Q88" i="1"/>
  <c r="E88" i="1"/>
  <c r="B88" i="1"/>
  <c r="AG87" i="1"/>
  <c r="AF87" i="1"/>
  <c r="AE87" i="1"/>
  <c r="AK87" i="1"/>
  <c r="AJ87" i="1"/>
  <c r="AL87" i="1"/>
  <c r="AT87" i="1"/>
  <c r="AV87" i="1"/>
  <c r="AU87" i="1"/>
  <c r="BB87" i="1"/>
  <c r="AZ87" i="1"/>
  <c r="BA87" i="1"/>
  <c r="A107" i="5" l="1"/>
  <c r="Q106" i="5"/>
  <c r="P106" i="5"/>
  <c r="E106" i="5"/>
  <c r="D106" i="5"/>
  <c r="C106" i="5"/>
  <c r="B106" i="5"/>
  <c r="L106" i="5"/>
  <c r="M106" i="5"/>
  <c r="AK106" i="5"/>
  <c r="AJ106" i="5"/>
  <c r="AM106" i="5" s="1"/>
  <c r="AV106" i="5"/>
  <c r="AY106" i="5" s="1"/>
  <c r="AE106" i="5"/>
  <c r="X106" i="5"/>
  <c r="AD106" i="5"/>
  <c r="AG106" i="5" s="1"/>
  <c r="BD106" i="5"/>
  <c r="BG106" i="5" s="1"/>
  <c r="BL106" i="5"/>
  <c r="BO106" i="5" s="1"/>
  <c r="AQ106" i="5"/>
  <c r="H106" i="5"/>
  <c r="I106" i="5"/>
  <c r="AP106" i="5"/>
  <c r="AS106" i="5" s="1"/>
  <c r="U106" i="5"/>
  <c r="T106" i="5"/>
  <c r="BE106" i="5"/>
  <c r="BH106" i="5" s="1"/>
  <c r="AW106" i="5"/>
  <c r="AZ106" i="5" s="1"/>
  <c r="BM106" i="5"/>
  <c r="BP106" i="5" s="1"/>
  <c r="Y106" i="5"/>
  <c r="Z97" i="4"/>
  <c r="W97" i="4"/>
  <c r="T97" i="4"/>
  <c r="AD97" i="4"/>
  <c r="A99" i="4"/>
  <c r="I98" i="4"/>
  <c r="C98" i="4"/>
  <c r="G98" i="4"/>
  <c r="B98" i="4"/>
  <c r="S98" i="4"/>
  <c r="AG98" i="4"/>
  <c r="P98" i="4"/>
  <c r="Y98" i="4"/>
  <c r="K98" i="4"/>
  <c r="M98" i="4"/>
  <c r="E98" i="4"/>
  <c r="AC98" i="4"/>
  <c r="V98" i="4"/>
  <c r="Q97" i="4"/>
  <c r="AH97" i="4"/>
  <c r="AG99" i="3"/>
  <c r="AF99" i="3"/>
  <c r="Y99" i="3"/>
  <c r="X99" i="3"/>
  <c r="AU99" i="3"/>
  <c r="AT99" i="3"/>
  <c r="AP99" i="3"/>
  <c r="AO99" i="3"/>
  <c r="AC99" i="3"/>
  <c r="AB99" i="3"/>
  <c r="AJ99" i="3"/>
  <c r="AK99" i="3"/>
  <c r="A101" i="3"/>
  <c r="J100" i="3"/>
  <c r="D100" i="3"/>
  <c r="K100" i="3"/>
  <c r="N100" i="3"/>
  <c r="M100" i="3"/>
  <c r="E100" i="3"/>
  <c r="B100" i="3"/>
  <c r="C100" i="3"/>
  <c r="G100" i="3"/>
  <c r="AE100" i="3"/>
  <c r="AI100" i="3"/>
  <c r="AS100" i="3"/>
  <c r="H100" i="3"/>
  <c r="W100" i="3"/>
  <c r="S100" i="3"/>
  <c r="AN100" i="3"/>
  <c r="P100" i="3"/>
  <c r="T100" i="3"/>
  <c r="Q100" i="3"/>
  <c r="AA100" i="3"/>
  <c r="BH89" i="1"/>
  <c r="BG89" i="1"/>
  <c r="BF89" i="1"/>
  <c r="CG114" i="2"/>
  <c r="CJ114" i="2" s="1"/>
  <c r="BU114" i="2"/>
  <c r="BX114" i="2" s="1"/>
  <c r="CR114" i="2"/>
  <c r="CU114" i="2" s="1"/>
  <c r="A115" i="2"/>
  <c r="CS114" i="2"/>
  <c r="CV114" i="2" s="1"/>
  <c r="BB114" i="2"/>
  <c r="BE114" i="2" s="1"/>
  <c r="CF114" i="2"/>
  <c r="CI114" i="2" s="1"/>
  <c r="BK114" i="2"/>
  <c r="BN114" i="2" s="1"/>
  <c r="BC114" i="2"/>
  <c r="BF114" i="2" s="1"/>
  <c r="BT114" i="2"/>
  <c r="BW114" i="2" s="1"/>
  <c r="BL114" i="2"/>
  <c r="BO114" i="2" s="1"/>
  <c r="AK113" i="2"/>
  <c r="G113" i="2"/>
  <c r="AJ113" i="2"/>
  <c r="X113" i="2"/>
  <c r="S113" i="2"/>
  <c r="R113" i="2"/>
  <c r="F113" i="2"/>
  <c r="Y113" i="2"/>
  <c r="M113" i="2"/>
  <c r="L113" i="2"/>
  <c r="AE113" i="2"/>
  <c r="AD113" i="2"/>
  <c r="AS113" i="2"/>
  <c r="AV113" i="2" s="1"/>
  <c r="AT113" i="2"/>
  <c r="AW113" i="2" s="1"/>
  <c r="BM112" i="2"/>
  <c r="CH112" i="2"/>
  <c r="AU112" i="2"/>
  <c r="CT112" i="2"/>
  <c r="BV112" i="2"/>
  <c r="BD112" i="2"/>
  <c r="D113" i="2"/>
  <c r="W113" i="2"/>
  <c r="C113" i="2"/>
  <c r="E113" i="2"/>
  <c r="B113" i="2"/>
  <c r="Q113" i="2"/>
  <c r="AC113" i="2"/>
  <c r="BS113" i="2"/>
  <c r="AR113" i="2"/>
  <c r="BJ113" i="2"/>
  <c r="K113" i="2"/>
  <c r="CE113" i="2"/>
  <c r="CQ113" i="2"/>
  <c r="AI113" i="2"/>
  <c r="BA113" i="2"/>
  <c r="AT88" i="1"/>
  <c r="AV88" i="1"/>
  <c r="AU88" i="1"/>
  <c r="AO88" i="1"/>
  <c r="AQ88" i="1"/>
  <c r="AP88" i="1"/>
  <c r="AL88" i="1"/>
  <c r="AK88" i="1"/>
  <c r="AJ88" i="1"/>
  <c r="AF88" i="1"/>
  <c r="AE88" i="1"/>
  <c r="AG88" i="1"/>
  <c r="Q89" i="1"/>
  <c r="Z89" i="1"/>
  <c r="E89" i="1"/>
  <c r="R89" i="1"/>
  <c r="K89" i="1"/>
  <c r="U89" i="1"/>
  <c r="Y89" i="1"/>
  <c r="AS89" i="1"/>
  <c r="C89" i="1"/>
  <c r="I89" i="1"/>
  <c r="B89" i="1"/>
  <c r="W89" i="1"/>
  <c r="AY89" i="1"/>
  <c r="A90" i="1"/>
  <c r="BE90" i="1" s="1"/>
  <c r="AD89" i="1"/>
  <c r="AA89" i="1"/>
  <c r="F89" i="1"/>
  <c r="O89" i="1"/>
  <c r="N89" i="1"/>
  <c r="AI89" i="1"/>
  <c r="S89" i="1"/>
  <c r="G89" i="1"/>
  <c r="V89" i="1"/>
  <c r="J89" i="1"/>
  <c r="D89" i="1"/>
  <c r="AN89" i="1"/>
  <c r="M89" i="1"/>
  <c r="AZ88" i="1"/>
  <c r="BB88" i="1"/>
  <c r="BA88" i="1"/>
  <c r="M107" i="5" l="1"/>
  <c r="E107" i="5"/>
  <c r="Q107" i="5"/>
  <c r="P107" i="5"/>
  <c r="C107" i="5"/>
  <c r="L107" i="5"/>
  <c r="B107" i="5"/>
  <c r="A108" i="5"/>
  <c r="D107" i="5"/>
  <c r="AD107" i="5"/>
  <c r="AG107" i="5" s="1"/>
  <c r="AV107" i="5"/>
  <c r="AY107" i="5" s="1"/>
  <c r="X107" i="5"/>
  <c r="AE107" i="5"/>
  <c r="AK107" i="5"/>
  <c r="BD107" i="5"/>
  <c r="BG107" i="5" s="1"/>
  <c r="H107" i="5"/>
  <c r="AJ107" i="5"/>
  <c r="AM107" i="5" s="1"/>
  <c r="AP107" i="5"/>
  <c r="AS107" i="5" s="1"/>
  <c r="BL107" i="5"/>
  <c r="BO107" i="5" s="1"/>
  <c r="U107" i="5"/>
  <c r="AQ107" i="5"/>
  <c r="I107" i="5"/>
  <c r="AW107" i="5"/>
  <c r="AZ107" i="5" s="1"/>
  <c r="T107" i="5"/>
  <c r="BE107" i="5"/>
  <c r="BH107" i="5" s="1"/>
  <c r="Y107" i="5"/>
  <c r="BM107" i="5"/>
  <c r="BP107" i="5" s="1"/>
  <c r="Z98" i="4"/>
  <c r="W98" i="4"/>
  <c r="Q98" i="4"/>
  <c r="AD98" i="4"/>
  <c r="AH98" i="4"/>
  <c r="A100" i="4"/>
  <c r="I99" i="4"/>
  <c r="C99" i="4"/>
  <c r="B99" i="4"/>
  <c r="G99" i="4"/>
  <c r="M99" i="4"/>
  <c r="AG99" i="4"/>
  <c r="AC99" i="4"/>
  <c r="E99" i="4"/>
  <c r="V99" i="4"/>
  <c r="P99" i="4"/>
  <c r="S99" i="4"/>
  <c r="K99" i="4"/>
  <c r="Y99" i="4"/>
  <c r="T98" i="4"/>
  <c r="AK100" i="3"/>
  <c r="AJ100" i="3"/>
  <c r="B101" i="3"/>
  <c r="K101" i="3"/>
  <c r="J101" i="3"/>
  <c r="C101" i="3"/>
  <c r="E101" i="3"/>
  <c r="D101" i="3"/>
  <c r="N101" i="3"/>
  <c r="A102" i="3"/>
  <c r="M101" i="3"/>
  <c r="S101" i="3"/>
  <c r="AN101" i="3"/>
  <c r="AE101" i="3"/>
  <c r="G101" i="3"/>
  <c r="P101" i="3"/>
  <c r="H101" i="3"/>
  <c r="T101" i="3"/>
  <c r="Q101" i="3"/>
  <c r="W101" i="3"/>
  <c r="AS101" i="3"/>
  <c r="AI101" i="3"/>
  <c r="AA101" i="3"/>
  <c r="AU100" i="3"/>
  <c r="AT100" i="3"/>
  <c r="AG100" i="3"/>
  <c r="AF100" i="3"/>
  <c r="AP100" i="3"/>
  <c r="AO100" i="3"/>
  <c r="AC100" i="3"/>
  <c r="AB100" i="3"/>
  <c r="X100" i="3"/>
  <c r="Y100" i="3"/>
  <c r="BF90" i="1"/>
  <c r="BH90" i="1"/>
  <c r="BG90" i="1"/>
  <c r="CR115" i="2"/>
  <c r="CU115" i="2" s="1"/>
  <c r="CS115" i="2"/>
  <c r="CV115" i="2" s="1"/>
  <c r="A116" i="2"/>
  <c r="CG115" i="2"/>
  <c r="CJ115" i="2" s="1"/>
  <c r="BT115" i="2"/>
  <c r="BW115" i="2" s="1"/>
  <c r="BU115" i="2"/>
  <c r="BX115" i="2" s="1"/>
  <c r="CF115" i="2"/>
  <c r="CI115" i="2" s="1"/>
  <c r="BL115" i="2"/>
  <c r="BO115" i="2" s="1"/>
  <c r="BK115" i="2"/>
  <c r="BN115" i="2" s="1"/>
  <c r="BC115" i="2"/>
  <c r="BF115" i="2" s="1"/>
  <c r="BB115" i="2"/>
  <c r="BE115" i="2" s="1"/>
  <c r="AE114" i="2"/>
  <c r="Y114" i="2"/>
  <c r="S114" i="2"/>
  <c r="M114" i="2"/>
  <c r="X114" i="2"/>
  <c r="L114" i="2"/>
  <c r="AK114" i="2"/>
  <c r="AJ114" i="2"/>
  <c r="R114" i="2"/>
  <c r="G114" i="2"/>
  <c r="F114" i="2"/>
  <c r="AD114" i="2"/>
  <c r="AT114" i="2"/>
  <c r="AW114" i="2" s="1"/>
  <c r="AS114" i="2"/>
  <c r="AV114" i="2" s="1"/>
  <c r="CH113" i="2"/>
  <c r="W114" i="2"/>
  <c r="E114" i="2"/>
  <c r="D114" i="2"/>
  <c r="B114" i="2"/>
  <c r="C114" i="2"/>
  <c r="Q114" i="2"/>
  <c r="BJ114" i="2"/>
  <c r="AC114" i="2"/>
  <c r="K114" i="2"/>
  <c r="BS114" i="2"/>
  <c r="CQ114" i="2"/>
  <c r="AR114" i="2"/>
  <c r="AI114" i="2"/>
  <c r="BA114" i="2"/>
  <c r="CE114" i="2"/>
  <c r="BD113" i="2"/>
  <c r="BM113" i="2"/>
  <c r="AU113" i="2"/>
  <c r="CT113" i="2"/>
  <c r="BV113" i="2"/>
  <c r="AT89" i="1"/>
  <c r="AV89" i="1"/>
  <c r="AU89" i="1"/>
  <c r="AL89" i="1"/>
  <c r="AK89" i="1"/>
  <c r="AJ89" i="1"/>
  <c r="AG89" i="1"/>
  <c r="AF89" i="1"/>
  <c r="AE89" i="1"/>
  <c r="AO89" i="1"/>
  <c r="AP89" i="1"/>
  <c r="AQ89" i="1"/>
  <c r="Y90" i="1"/>
  <c r="D90" i="1"/>
  <c r="AN90" i="1"/>
  <c r="R90" i="1"/>
  <c r="V90" i="1"/>
  <c r="J90" i="1"/>
  <c r="E90" i="1"/>
  <c r="Q90" i="1"/>
  <c r="S90" i="1"/>
  <c r="A91" i="1"/>
  <c r="BE91" i="1" s="1"/>
  <c r="AI90" i="1"/>
  <c r="M90" i="1"/>
  <c r="K90" i="1"/>
  <c r="AA90" i="1"/>
  <c r="N90" i="1"/>
  <c r="AY90" i="1"/>
  <c r="AD90" i="1"/>
  <c r="G90" i="1"/>
  <c r="B90" i="1"/>
  <c r="F90" i="1"/>
  <c r="O90" i="1"/>
  <c r="I90" i="1"/>
  <c r="AS90" i="1"/>
  <c r="W90" i="1"/>
  <c r="C90" i="1"/>
  <c r="U90" i="1"/>
  <c r="Z90" i="1"/>
  <c r="BA89" i="1"/>
  <c r="AZ89" i="1"/>
  <c r="BB89" i="1"/>
  <c r="P108" i="5" l="1"/>
  <c r="B108" i="5"/>
  <c r="Q108" i="5"/>
  <c r="E108" i="5"/>
  <c r="A109" i="5"/>
  <c r="C108" i="5"/>
  <c r="M108" i="5"/>
  <c r="L108" i="5"/>
  <c r="D108" i="5"/>
  <c r="AE108" i="5"/>
  <c r="AD108" i="5"/>
  <c r="AG108" i="5" s="1"/>
  <c r="AK108" i="5"/>
  <c r="AJ108" i="5"/>
  <c r="AM108" i="5" s="1"/>
  <c r="BD108" i="5"/>
  <c r="BG108" i="5" s="1"/>
  <c r="X108" i="5"/>
  <c r="U108" i="5"/>
  <c r="T108" i="5"/>
  <c r="AP108" i="5"/>
  <c r="AS108" i="5" s="1"/>
  <c r="H108" i="5"/>
  <c r="I108" i="5"/>
  <c r="AV108" i="5"/>
  <c r="AY108" i="5" s="1"/>
  <c r="BL108" i="5"/>
  <c r="BO108" i="5" s="1"/>
  <c r="AQ108" i="5"/>
  <c r="BM108" i="5"/>
  <c r="BP108" i="5" s="1"/>
  <c r="BE108" i="5"/>
  <c r="BH108" i="5" s="1"/>
  <c r="Y108" i="5"/>
  <c r="AW108" i="5"/>
  <c r="AZ108" i="5" s="1"/>
  <c r="T99" i="4"/>
  <c r="AD99" i="4"/>
  <c r="A101" i="4"/>
  <c r="I100" i="4"/>
  <c r="C100" i="4"/>
  <c r="B100" i="4"/>
  <c r="G100" i="4"/>
  <c r="S100" i="4"/>
  <c r="M100" i="4"/>
  <c r="Y100" i="4"/>
  <c r="V100" i="4"/>
  <c r="AG100" i="4"/>
  <c r="P100" i="4"/>
  <c r="K100" i="4"/>
  <c r="E100" i="4"/>
  <c r="AC100" i="4"/>
  <c r="Q99" i="4"/>
  <c r="AH99" i="4"/>
  <c r="Z99" i="4"/>
  <c r="W99" i="4"/>
  <c r="AK101" i="3"/>
  <c r="AJ101" i="3"/>
  <c r="AO101" i="3"/>
  <c r="AP101" i="3"/>
  <c r="AU101" i="3"/>
  <c r="AT101" i="3"/>
  <c r="AC101" i="3"/>
  <c r="AB101" i="3"/>
  <c r="Y101" i="3"/>
  <c r="X101" i="3"/>
  <c r="N102" i="3"/>
  <c r="C102" i="3"/>
  <c r="M102" i="3"/>
  <c r="E102" i="3"/>
  <c r="D102" i="3"/>
  <c r="J102" i="3"/>
  <c r="B102" i="3"/>
  <c r="K102" i="3"/>
  <c r="A103" i="3"/>
  <c r="S102" i="3"/>
  <c r="AI102" i="3"/>
  <c r="AS102" i="3"/>
  <c r="AN102" i="3"/>
  <c r="G102" i="3"/>
  <c r="AE102" i="3"/>
  <c r="W102" i="3"/>
  <c r="H102" i="3"/>
  <c r="Q102" i="3"/>
  <c r="AA102" i="3"/>
  <c r="P102" i="3"/>
  <c r="T102" i="3"/>
  <c r="AF101" i="3"/>
  <c r="AG101" i="3"/>
  <c r="BG91" i="1"/>
  <c r="BF91" i="1"/>
  <c r="BH91" i="1"/>
  <c r="CS116" i="2"/>
  <c r="CV116" i="2" s="1"/>
  <c r="CR116" i="2"/>
  <c r="CU116" i="2" s="1"/>
  <c r="A117" i="2"/>
  <c r="CG116" i="2"/>
  <c r="CJ116" i="2" s="1"/>
  <c r="CF116" i="2"/>
  <c r="CI116" i="2" s="1"/>
  <c r="BU116" i="2"/>
  <c r="BX116" i="2" s="1"/>
  <c r="BT116" i="2"/>
  <c r="BW116" i="2" s="1"/>
  <c r="BK116" i="2"/>
  <c r="BN116" i="2" s="1"/>
  <c r="BC116" i="2"/>
  <c r="BF116" i="2" s="1"/>
  <c r="BB116" i="2"/>
  <c r="BE116" i="2" s="1"/>
  <c r="BL116" i="2"/>
  <c r="BO116" i="2" s="1"/>
  <c r="AK115" i="2"/>
  <c r="Y115" i="2"/>
  <c r="AJ115" i="2"/>
  <c r="AE115" i="2"/>
  <c r="X115" i="2"/>
  <c r="F115" i="2"/>
  <c r="S115" i="2"/>
  <c r="R115" i="2"/>
  <c r="AD115" i="2"/>
  <c r="G115" i="2"/>
  <c r="M115" i="2"/>
  <c r="L115" i="2"/>
  <c r="AS115" i="2"/>
  <c r="AV115" i="2" s="1"/>
  <c r="AT115" i="2"/>
  <c r="AW115" i="2" s="1"/>
  <c r="CT114" i="2"/>
  <c r="BV114" i="2"/>
  <c r="E115" i="2"/>
  <c r="W115" i="2"/>
  <c r="C115" i="2"/>
  <c r="Q115" i="2"/>
  <c r="B115" i="2"/>
  <c r="D115" i="2"/>
  <c r="CQ115" i="2"/>
  <c r="K115" i="2"/>
  <c r="AR115" i="2"/>
  <c r="BS115" i="2"/>
  <c r="BJ115" i="2"/>
  <c r="AI115" i="2"/>
  <c r="BA115" i="2"/>
  <c r="CE115" i="2"/>
  <c r="AC115" i="2"/>
  <c r="CH114" i="2"/>
  <c r="BD114" i="2"/>
  <c r="BM114" i="2"/>
  <c r="AU114" i="2"/>
  <c r="BB90" i="1"/>
  <c r="BA90" i="1"/>
  <c r="AZ90" i="1"/>
  <c r="AT90" i="1"/>
  <c r="AV90" i="1"/>
  <c r="AU90" i="1"/>
  <c r="AL90" i="1"/>
  <c r="AK90" i="1"/>
  <c r="AJ90" i="1"/>
  <c r="AO90" i="1"/>
  <c r="AQ90" i="1"/>
  <c r="AP90" i="1"/>
  <c r="Q91" i="1"/>
  <c r="Z91" i="1"/>
  <c r="E91" i="1"/>
  <c r="AN91" i="1"/>
  <c r="N91" i="1"/>
  <c r="Y91" i="1"/>
  <c r="C91" i="1"/>
  <c r="K91" i="1"/>
  <c r="U91" i="1"/>
  <c r="S91" i="1"/>
  <c r="AD91" i="1"/>
  <c r="A92" i="1"/>
  <c r="BE92" i="1" s="1"/>
  <c r="D91" i="1"/>
  <c r="AA91" i="1"/>
  <c r="F91" i="1"/>
  <c r="O91" i="1"/>
  <c r="I91" i="1"/>
  <c r="R91" i="1"/>
  <c r="AI91" i="1"/>
  <c r="AS91" i="1"/>
  <c r="V91" i="1"/>
  <c r="B91" i="1"/>
  <c r="AY91" i="1"/>
  <c r="G91" i="1"/>
  <c r="M91" i="1"/>
  <c r="J91" i="1"/>
  <c r="W91" i="1"/>
  <c r="AE90" i="1"/>
  <c r="AG90" i="1"/>
  <c r="AF90" i="1"/>
  <c r="A110" i="5" l="1"/>
  <c r="L109" i="5"/>
  <c r="D109" i="5"/>
  <c r="Q109" i="5"/>
  <c r="P109" i="5"/>
  <c r="E109" i="5"/>
  <c r="M109" i="5"/>
  <c r="B109" i="5"/>
  <c r="C109" i="5"/>
  <c r="AK109" i="5"/>
  <c r="AJ109" i="5"/>
  <c r="AM109" i="5" s="1"/>
  <c r="AV109" i="5"/>
  <c r="AY109" i="5" s="1"/>
  <c r="X109" i="5"/>
  <c r="AD109" i="5"/>
  <c r="AG109" i="5" s="1"/>
  <c r="AE109" i="5"/>
  <c r="BD109" i="5"/>
  <c r="BG109" i="5" s="1"/>
  <c r="BL109" i="5"/>
  <c r="BO109" i="5" s="1"/>
  <c r="I109" i="5"/>
  <c r="H109" i="5"/>
  <c r="AP109" i="5"/>
  <c r="AS109" i="5" s="1"/>
  <c r="T109" i="5"/>
  <c r="U109" i="5"/>
  <c r="AQ109" i="5"/>
  <c r="BE109" i="5"/>
  <c r="BH109" i="5" s="1"/>
  <c r="Y109" i="5"/>
  <c r="BM109" i="5"/>
  <c r="BP109" i="5" s="1"/>
  <c r="AW109" i="5"/>
  <c r="AZ109" i="5" s="1"/>
  <c r="AD100" i="4"/>
  <c r="W100" i="4"/>
  <c r="Z100" i="4"/>
  <c r="Q100" i="4"/>
  <c r="T100" i="4"/>
  <c r="A102" i="4"/>
  <c r="I101" i="4"/>
  <c r="C101" i="4"/>
  <c r="G101" i="4"/>
  <c r="B101" i="4"/>
  <c r="M101" i="4"/>
  <c r="AG101" i="4"/>
  <c r="S101" i="4"/>
  <c r="P101" i="4"/>
  <c r="K101" i="4"/>
  <c r="Y101" i="4"/>
  <c r="AC101" i="4"/>
  <c r="E101" i="4"/>
  <c r="V101" i="4"/>
  <c r="AH100" i="4"/>
  <c r="AJ102" i="3"/>
  <c r="AK102" i="3"/>
  <c r="AC102" i="3"/>
  <c r="AB102" i="3"/>
  <c r="X102" i="3"/>
  <c r="Y102" i="3"/>
  <c r="A104" i="3"/>
  <c r="J103" i="3"/>
  <c r="D103" i="3"/>
  <c r="K103" i="3"/>
  <c r="C103" i="3"/>
  <c r="N103" i="3"/>
  <c r="E103" i="3"/>
  <c r="M103" i="3"/>
  <c r="B103" i="3"/>
  <c r="AI103" i="3"/>
  <c r="P103" i="3"/>
  <c r="W103" i="3"/>
  <c r="H103" i="3"/>
  <c r="AE103" i="3"/>
  <c r="AN103" i="3"/>
  <c r="G103" i="3"/>
  <c r="T103" i="3"/>
  <c r="AS103" i="3"/>
  <c r="AA103" i="3"/>
  <c r="S103" i="3"/>
  <c r="Q103" i="3"/>
  <c r="AP102" i="3"/>
  <c r="AO102" i="3"/>
  <c r="AG102" i="3"/>
  <c r="AF102" i="3"/>
  <c r="AU102" i="3"/>
  <c r="AT102" i="3"/>
  <c r="BF92" i="1"/>
  <c r="BH92" i="1"/>
  <c r="BG92" i="1"/>
  <c r="A118" i="2"/>
  <c r="CR117" i="2"/>
  <c r="CU117" i="2" s="1"/>
  <c r="BK117" i="2"/>
  <c r="BN117" i="2" s="1"/>
  <c r="CG117" i="2"/>
  <c r="CJ117" i="2" s="1"/>
  <c r="BT117" i="2"/>
  <c r="BW117" i="2" s="1"/>
  <c r="CS117" i="2"/>
  <c r="CV117" i="2" s="1"/>
  <c r="BU117" i="2"/>
  <c r="BX117" i="2" s="1"/>
  <c r="BL117" i="2"/>
  <c r="BO117" i="2" s="1"/>
  <c r="BC117" i="2"/>
  <c r="BF117" i="2" s="1"/>
  <c r="CF117" i="2"/>
  <c r="CI117" i="2" s="1"/>
  <c r="BB117" i="2"/>
  <c r="BE117" i="2" s="1"/>
  <c r="AJ116" i="2"/>
  <c r="AD116" i="2"/>
  <c r="AE116" i="2"/>
  <c r="AK116" i="2"/>
  <c r="R116" i="2"/>
  <c r="M116" i="2"/>
  <c r="G116" i="2"/>
  <c r="L116" i="2"/>
  <c r="Y116" i="2"/>
  <c r="F116" i="2"/>
  <c r="X116" i="2"/>
  <c r="S116" i="2"/>
  <c r="AT116" i="2"/>
  <c r="AW116" i="2" s="1"/>
  <c r="AS116" i="2"/>
  <c r="AV116" i="2" s="1"/>
  <c r="BD115" i="2"/>
  <c r="AU115" i="2"/>
  <c r="CT115" i="2"/>
  <c r="BM115" i="2"/>
  <c r="B116" i="2"/>
  <c r="E116" i="2"/>
  <c r="Q116" i="2"/>
  <c r="C116" i="2"/>
  <c r="W116" i="2"/>
  <c r="D116" i="2"/>
  <c r="BJ116" i="2"/>
  <c r="CQ116" i="2"/>
  <c r="AC116" i="2"/>
  <c r="BS116" i="2"/>
  <c r="AR116" i="2"/>
  <c r="AI116" i="2"/>
  <c r="CE116" i="2"/>
  <c r="K116" i="2"/>
  <c r="BA116" i="2"/>
  <c r="CH115" i="2"/>
  <c r="BV115" i="2"/>
  <c r="AV91" i="1"/>
  <c r="AU91" i="1"/>
  <c r="AT91" i="1"/>
  <c r="J92" i="1"/>
  <c r="N92" i="1"/>
  <c r="AY92" i="1"/>
  <c r="AD92" i="1"/>
  <c r="G92" i="1"/>
  <c r="V92" i="1"/>
  <c r="I92" i="1"/>
  <c r="AS92" i="1"/>
  <c r="W92" i="1"/>
  <c r="C92" i="1"/>
  <c r="Z92" i="1"/>
  <c r="B92" i="1"/>
  <c r="Y92" i="1"/>
  <c r="AN92" i="1"/>
  <c r="R92" i="1"/>
  <c r="O92" i="1"/>
  <c r="U92" i="1"/>
  <c r="S92" i="1"/>
  <c r="AI92" i="1"/>
  <c r="Q92" i="1"/>
  <c r="K92" i="1"/>
  <c r="D92" i="1"/>
  <c r="AA92" i="1"/>
  <c r="A93" i="1"/>
  <c r="BE93" i="1" s="1"/>
  <c r="M92" i="1"/>
  <c r="E92" i="1"/>
  <c r="F92" i="1"/>
  <c r="AQ91" i="1"/>
  <c r="AP91" i="1"/>
  <c r="AO91" i="1"/>
  <c r="BA91" i="1"/>
  <c r="AZ91" i="1"/>
  <c r="BB91" i="1"/>
  <c r="AK91" i="1"/>
  <c r="AJ91" i="1"/>
  <c r="AL91" i="1"/>
  <c r="AG91" i="1"/>
  <c r="AF91" i="1"/>
  <c r="AE91" i="1"/>
  <c r="M110" i="5" l="1"/>
  <c r="E110" i="5"/>
  <c r="L110" i="5"/>
  <c r="C110" i="5"/>
  <c r="B110" i="5"/>
  <c r="A111" i="5"/>
  <c r="Q110" i="5"/>
  <c r="P110" i="5"/>
  <c r="D110" i="5"/>
  <c r="AE110" i="5"/>
  <c r="AD110" i="5"/>
  <c r="AG110" i="5" s="1"/>
  <c r="AK110" i="5"/>
  <c r="X110" i="5"/>
  <c r="AJ110" i="5"/>
  <c r="AM110" i="5" s="1"/>
  <c r="BD110" i="5"/>
  <c r="BG110" i="5" s="1"/>
  <c r="I110" i="5"/>
  <c r="AV110" i="5"/>
  <c r="AY110" i="5" s="1"/>
  <c r="BL110" i="5"/>
  <c r="BO110" i="5" s="1"/>
  <c r="H110" i="5"/>
  <c r="U110" i="5"/>
  <c r="AQ110" i="5"/>
  <c r="AP110" i="5"/>
  <c r="AS110" i="5" s="1"/>
  <c r="T110" i="5"/>
  <c r="Y110" i="5"/>
  <c r="BM110" i="5"/>
  <c r="BP110" i="5" s="1"/>
  <c r="AW110" i="5"/>
  <c r="AZ110" i="5" s="1"/>
  <c r="BE110" i="5"/>
  <c r="BH110" i="5" s="1"/>
  <c r="A103" i="4"/>
  <c r="I102" i="4"/>
  <c r="C102" i="4"/>
  <c r="G102" i="4"/>
  <c r="B102" i="4"/>
  <c r="Y102" i="4"/>
  <c r="V102" i="4"/>
  <c r="AC102" i="4"/>
  <c r="E102" i="4"/>
  <c r="K102" i="4"/>
  <c r="S102" i="4"/>
  <c r="M102" i="4"/>
  <c r="AG102" i="4"/>
  <c r="P102" i="4"/>
  <c r="T101" i="4"/>
  <c r="AD101" i="4"/>
  <c r="Z101" i="4"/>
  <c r="AH101" i="4"/>
  <c r="W101" i="4"/>
  <c r="Q101" i="4"/>
  <c r="AC103" i="3"/>
  <c r="AB103" i="3"/>
  <c r="AG103" i="3"/>
  <c r="AF103" i="3"/>
  <c r="AK103" i="3"/>
  <c r="AJ103" i="3"/>
  <c r="Y103" i="3"/>
  <c r="X103" i="3"/>
  <c r="AT103" i="3"/>
  <c r="AU103" i="3"/>
  <c r="B104" i="3"/>
  <c r="N104" i="3"/>
  <c r="A105" i="3"/>
  <c r="M104" i="3"/>
  <c r="K104" i="3"/>
  <c r="C104" i="3"/>
  <c r="J104" i="3"/>
  <c r="E104" i="3"/>
  <c r="D104" i="3"/>
  <c r="AI104" i="3"/>
  <c r="G104" i="3"/>
  <c r="AE104" i="3"/>
  <c r="S104" i="3"/>
  <c r="H104" i="3"/>
  <c r="Q104" i="3"/>
  <c r="T104" i="3"/>
  <c r="P104" i="3"/>
  <c r="W104" i="3"/>
  <c r="AA104" i="3"/>
  <c r="AN104" i="3"/>
  <c r="AS104" i="3"/>
  <c r="AP103" i="3"/>
  <c r="AO103" i="3"/>
  <c r="BF93" i="1"/>
  <c r="BH93" i="1"/>
  <c r="BG93" i="1"/>
  <c r="A119" i="2"/>
  <c r="CG118" i="2"/>
  <c r="CJ118" i="2" s="1"/>
  <c r="BU118" i="2"/>
  <c r="BX118" i="2" s="1"/>
  <c r="BT118" i="2"/>
  <c r="BW118" i="2" s="1"/>
  <c r="CR118" i="2"/>
  <c r="CU118" i="2" s="1"/>
  <c r="CF118" i="2"/>
  <c r="CI118" i="2" s="1"/>
  <c r="BB118" i="2"/>
  <c r="BE118" i="2" s="1"/>
  <c r="BC118" i="2"/>
  <c r="BF118" i="2" s="1"/>
  <c r="CS118" i="2"/>
  <c r="CV118" i="2" s="1"/>
  <c r="BL118" i="2"/>
  <c r="BO118" i="2" s="1"/>
  <c r="BK118" i="2"/>
  <c r="BN118" i="2" s="1"/>
  <c r="AD117" i="2"/>
  <c r="AK117" i="2"/>
  <c r="G117" i="2"/>
  <c r="R117" i="2"/>
  <c r="L117" i="2"/>
  <c r="F117" i="2"/>
  <c r="AE117" i="2"/>
  <c r="Y117" i="2"/>
  <c r="X117" i="2"/>
  <c r="M117" i="2"/>
  <c r="AJ117" i="2"/>
  <c r="S117" i="2"/>
  <c r="AT117" i="2"/>
  <c r="AW117" i="2" s="1"/>
  <c r="AS117" i="2"/>
  <c r="AV117" i="2" s="1"/>
  <c r="CH116" i="2"/>
  <c r="AU116" i="2"/>
  <c r="CT116" i="2"/>
  <c r="D117" i="2"/>
  <c r="Q117" i="2"/>
  <c r="B117" i="2"/>
  <c r="W117" i="2"/>
  <c r="C117" i="2"/>
  <c r="E117" i="2"/>
  <c r="AC117" i="2"/>
  <c r="BA117" i="2"/>
  <c r="AI117" i="2"/>
  <c r="BS117" i="2"/>
  <c r="K117" i="2"/>
  <c r="BJ117" i="2"/>
  <c r="CQ117" i="2"/>
  <c r="AR117" i="2"/>
  <c r="CE117" i="2"/>
  <c r="BV116" i="2"/>
  <c r="BM116" i="2"/>
  <c r="BD116" i="2"/>
  <c r="V93" i="1"/>
  <c r="B93" i="1"/>
  <c r="J93" i="1"/>
  <c r="D93" i="1"/>
  <c r="W93" i="1"/>
  <c r="AY93" i="1"/>
  <c r="AN93" i="1"/>
  <c r="K93" i="1"/>
  <c r="U93" i="1"/>
  <c r="Y93" i="1"/>
  <c r="AS93" i="1"/>
  <c r="C93" i="1"/>
  <c r="G93" i="1"/>
  <c r="AA93" i="1"/>
  <c r="F93" i="1"/>
  <c r="O93" i="1"/>
  <c r="N93" i="1"/>
  <c r="AI93" i="1"/>
  <c r="I93" i="1"/>
  <c r="S93" i="1"/>
  <c r="Z93" i="1"/>
  <c r="M93" i="1"/>
  <c r="Q93" i="1"/>
  <c r="E93" i="1"/>
  <c r="A94" i="1"/>
  <c r="BE94" i="1" s="1"/>
  <c r="AD93" i="1"/>
  <c r="R93" i="1"/>
  <c r="AV92" i="1"/>
  <c r="AU92" i="1"/>
  <c r="AT92" i="1"/>
  <c r="AF92" i="1"/>
  <c r="AE92" i="1"/>
  <c r="AG92" i="1"/>
  <c r="AJ92" i="1"/>
  <c r="AK92" i="1"/>
  <c r="AL92" i="1"/>
  <c r="BB92" i="1"/>
  <c r="BA92" i="1"/>
  <c r="AZ92" i="1"/>
  <c r="AP92" i="1"/>
  <c r="AO92" i="1"/>
  <c r="AQ92" i="1"/>
  <c r="Q111" i="5" l="1"/>
  <c r="C111" i="5"/>
  <c r="P111" i="5"/>
  <c r="B111" i="5"/>
  <c r="E111" i="5"/>
  <c r="A112" i="5"/>
  <c r="D111" i="5"/>
  <c r="M111" i="5"/>
  <c r="L111" i="5"/>
  <c r="AK111" i="5"/>
  <c r="BD111" i="5"/>
  <c r="BG111" i="5" s="1"/>
  <c r="AD111" i="5"/>
  <c r="AG111" i="5" s="1"/>
  <c r="AE111" i="5"/>
  <c r="AJ111" i="5"/>
  <c r="AM111" i="5" s="1"/>
  <c r="X111" i="5"/>
  <c r="AV111" i="5"/>
  <c r="AY111" i="5" s="1"/>
  <c r="I111" i="5"/>
  <c r="H111" i="5"/>
  <c r="U111" i="5"/>
  <c r="AQ111" i="5"/>
  <c r="AW111" i="5"/>
  <c r="AZ111" i="5" s="1"/>
  <c r="BL111" i="5"/>
  <c r="BO111" i="5" s="1"/>
  <c r="AP111" i="5"/>
  <c r="AS111" i="5" s="1"/>
  <c r="T111" i="5"/>
  <c r="Y111" i="5"/>
  <c r="BE111" i="5"/>
  <c r="BH111" i="5" s="1"/>
  <c r="BM111" i="5"/>
  <c r="BP111" i="5" s="1"/>
  <c r="W102" i="4"/>
  <c r="Z102" i="4"/>
  <c r="Q102" i="4"/>
  <c r="AH102" i="4"/>
  <c r="T102" i="4"/>
  <c r="AD102" i="4"/>
  <c r="A104" i="4"/>
  <c r="I103" i="4"/>
  <c r="C103" i="4"/>
  <c r="B103" i="4"/>
  <c r="G103" i="4"/>
  <c r="AG103" i="4"/>
  <c r="S103" i="4"/>
  <c r="Y103" i="4"/>
  <c r="E103" i="4"/>
  <c r="V103" i="4"/>
  <c r="K103" i="4"/>
  <c r="M103" i="4"/>
  <c r="AC103" i="4"/>
  <c r="P103" i="4"/>
  <c r="AK104" i="3"/>
  <c r="AJ104" i="3"/>
  <c r="AP104" i="3"/>
  <c r="AO104" i="3"/>
  <c r="AC104" i="3"/>
  <c r="AB104" i="3"/>
  <c r="N105" i="3"/>
  <c r="C105" i="3"/>
  <c r="E105" i="3"/>
  <c r="A106" i="3"/>
  <c r="K105" i="3"/>
  <c r="D105" i="3"/>
  <c r="J105" i="3"/>
  <c r="M105" i="3"/>
  <c r="B105" i="3"/>
  <c r="AN105" i="3"/>
  <c r="G105" i="3"/>
  <c r="S105" i="3"/>
  <c r="H105" i="3"/>
  <c r="Q105" i="3"/>
  <c r="T105" i="3"/>
  <c r="AS105" i="3"/>
  <c r="AE105" i="3"/>
  <c r="AI105" i="3"/>
  <c r="W105" i="3"/>
  <c r="P105" i="3"/>
  <c r="AA105" i="3"/>
  <c r="AF104" i="3"/>
  <c r="AG104" i="3"/>
  <c r="Y104" i="3"/>
  <c r="X104" i="3"/>
  <c r="AU104" i="3"/>
  <c r="AT104" i="3"/>
  <c r="BF94" i="1"/>
  <c r="BG94" i="1"/>
  <c r="BH94" i="1"/>
  <c r="CR119" i="2"/>
  <c r="CU119" i="2" s="1"/>
  <c r="A120" i="2"/>
  <c r="CG119" i="2"/>
  <c r="CJ119" i="2" s="1"/>
  <c r="BL119" i="2"/>
  <c r="BO119" i="2" s="1"/>
  <c r="CF119" i="2"/>
  <c r="CI119" i="2" s="1"/>
  <c r="BT119" i="2"/>
  <c r="BW119" i="2" s="1"/>
  <c r="BC119" i="2"/>
  <c r="BF119" i="2" s="1"/>
  <c r="BB119" i="2"/>
  <c r="BE119" i="2" s="1"/>
  <c r="CS119" i="2"/>
  <c r="CV119" i="2" s="1"/>
  <c r="BU119" i="2"/>
  <c r="BX119" i="2" s="1"/>
  <c r="BK119" i="2"/>
  <c r="BN119" i="2" s="1"/>
  <c r="AJ118" i="2"/>
  <c r="S118" i="2"/>
  <c r="M118" i="2"/>
  <c r="AE118" i="2"/>
  <c r="AD118" i="2"/>
  <c r="Y118" i="2"/>
  <c r="X118" i="2"/>
  <c r="L118" i="2"/>
  <c r="R118" i="2"/>
  <c r="AK118" i="2"/>
  <c r="G118" i="2"/>
  <c r="F118" i="2"/>
  <c r="AT118" i="2"/>
  <c r="AW118" i="2" s="1"/>
  <c r="AS118" i="2"/>
  <c r="AV118" i="2" s="1"/>
  <c r="BD117" i="2"/>
  <c r="BM117" i="2"/>
  <c r="W118" i="2"/>
  <c r="E118" i="2"/>
  <c r="C118" i="2"/>
  <c r="Q118" i="2"/>
  <c r="D118" i="2"/>
  <c r="B118" i="2"/>
  <c r="AI118" i="2"/>
  <c r="K118" i="2"/>
  <c r="AC118" i="2"/>
  <c r="CQ118" i="2"/>
  <c r="CE118" i="2"/>
  <c r="BJ118" i="2"/>
  <c r="AR118" i="2"/>
  <c r="BA118" i="2"/>
  <c r="BS118" i="2"/>
  <c r="CH117" i="2"/>
  <c r="BV117" i="2"/>
  <c r="CT117" i="2"/>
  <c r="AU117" i="2"/>
  <c r="AV93" i="1"/>
  <c r="AU93" i="1"/>
  <c r="AT93" i="1"/>
  <c r="AQ93" i="1"/>
  <c r="AP93" i="1"/>
  <c r="AO93" i="1"/>
  <c r="AE93" i="1"/>
  <c r="AG93" i="1"/>
  <c r="AF93" i="1"/>
  <c r="AK93" i="1"/>
  <c r="AL93" i="1"/>
  <c r="AJ93" i="1"/>
  <c r="BB93" i="1"/>
  <c r="BA93" i="1"/>
  <c r="AZ93" i="1"/>
  <c r="N94" i="1"/>
  <c r="AY94" i="1"/>
  <c r="AD94" i="1"/>
  <c r="G94" i="1"/>
  <c r="B94" i="1"/>
  <c r="O94" i="1"/>
  <c r="E94" i="1"/>
  <c r="I94" i="1"/>
  <c r="AS94" i="1"/>
  <c r="W94" i="1"/>
  <c r="C94" i="1"/>
  <c r="U94" i="1"/>
  <c r="Y94" i="1"/>
  <c r="D94" i="1"/>
  <c r="AN94" i="1"/>
  <c r="R94" i="1"/>
  <c r="V94" i="1"/>
  <c r="J94" i="1"/>
  <c r="F94" i="1"/>
  <c r="S94" i="1"/>
  <c r="A95" i="1"/>
  <c r="BE95" i="1" s="1"/>
  <c r="AI94" i="1"/>
  <c r="M94" i="1"/>
  <c r="K94" i="1"/>
  <c r="Q94" i="1"/>
  <c r="Z94" i="1"/>
  <c r="AA94" i="1"/>
  <c r="A113" i="5" l="1"/>
  <c r="L112" i="5"/>
  <c r="D112" i="5"/>
  <c r="C112" i="5"/>
  <c r="M112" i="5"/>
  <c r="B112" i="5"/>
  <c r="Q112" i="5"/>
  <c r="P112" i="5"/>
  <c r="E112" i="5"/>
  <c r="AK112" i="5"/>
  <c r="AJ112" i="5"/>
  <c r="AM112" i="5" s="1"/>
  <c r="AV112" i="5"/>
  <c r="AY112" i="5" s="1"/>
  <c r="AE112" i="5"/>
  <c r="AD112" i="5"/>
  <c r="AG112" i="5" s="1"/>
  <c r="X112" i="5"/>
  <c r="BD112" i="5"/>
  <c r="BG112" i="5" s="1"/>
  <c r="BL112" i="5"/>
  <c r="BO112" i="5" s="1"/>
  <c r="AW112" i="5"/>
  <c r="AZ112" i="5" s="1"/>
  <c r="I112" i="5"/>
  <c r="U112" i="5"/>
  <c r="AP112" i="5"/>
  <c r="AS112" i="5" s="1"/>
  <c r="AQ112" i="5"/>
  <c r="T112" i="5"/>
  <c r="H112" i="5"/>
  <c r="BM112" i="5"/>
  <c r="BP112" i="5" s="1"/>
  <c r="BE112" i="5"/>
  <c r="BH112" i="5" s="1"/>
  <c r="Y112" i="5"/>
  <c r="T103" i="4"/>
  <c r="AH103" i="4"/>
  <c r="W103" i="4"/>
  <c r="Q103" i="4"/>
  <c r="AD103" i="4"/>
  <c r="Z103" i="4"/>
  <c r="A105" i="4"/>
  <c r="I104" i="4"/>
  <c r="C104" i="4"/>
  <c r="G104" i="4"/>
  <c r="B104" i="4"/>
  <c r="AC104" i="4"/>
  <c r="E104" i="4"/>
  <c r="P104" i="4"/>
  <c r="K104" i="4"/>
  <c r="AG104" i="4"/>
  <c r="S104" i="4"/>
  <c r="Y104" i="4"/>
  <c r="M104" i="4"/>
  <c r="V104" i="4"/>
  <c r="X105" i="3"/>
  <c r="Y105" i="3"/>
  <c r="AO105" i="3"/>
  <c r="AP105" i="3"/>
  <c r="AG105" i="3"/>
  <c r="AF105" i="3"/>
  <c r="K106" i="3"/>
  <c r="E106" i="3"/>
  <c r="A107" i="3"/>
  <c r="J106" i="3"/>
  <c r="D106" i="3"/>
  <c r="B106" i="3"/>
  <c r="N106" i="3"/>
  <c r="C106" i="3"/>
  <c r="M106" i="3"/>
  <c r="S106" i="3"/>
  <c r="AN106" i="3"/>
  <c r="G106" i="3"/>
  <c r="AE106" i="3"/>
  <c r="AS106" i="3"/>
  <c r="AI106" i="3"/>
  <c r="H106" i="3"/>
  <c r="W106" i="3"/>
  <c r="P106" i="3"/>
  <c r="T106" i="3"/>
  <c r="Q106" i="3"/>
  <c r="AA106" i="3"/>
  <c r="AK105" i="3"/>
  <c r="AJ105" i="3"/>
  <c r="AB105" i="3"/>
  <c r="AC105" i="3"/>
  <c r="AU105" i="3"/>
  <c r="AT105" i="3"/>
  <c r="BH95" i="1"/>
  <c r="BG95" i="1"/>
  <c r="BF95" i="1"/>
  <c r="A121" i="2"/>
  <c r="CS120" i="2"/>
  <c r="CV120" i="2" s="1"/>
  <c r="CR120" i="2"/>
  <c r="CU120" i="2" s="1"/>
  <c r="CG120" i="2"/>
  <c r="CJ120" i="2" s="1"/>
  <c r="CF120" i="2"/>
  <c r="CI120" i="2" s="1"/>
  <c r="BU120" i="2"/>
  <c r="BX120" i="2" s="1"/>
  <c r="BL120" i="2"/>
  <c r="BO120" i="2" s="1"/>
  <c r="BT120" i="2"/>
  <c r="BW120" i="2" s="1"/>
  <c r="BB120" i="2"/>
  <c r="BE120" i="2" s="1"/>
  <c r="BK120" i="2"/>
  <c r="BN120" i="2" s="1"/>
  <c r="BC120" i="2"/>
  <c r="BF120" i="2" s="1"/>
  <c r="AD119" i="2"/>
  <c r="Y119" i="2"/>
  <c r="X119" i="2"/>
  <c r="L119" i="2"/>
  <c r="G119" i="2"/>
  <c r="AK119" i="2"/>
  <c r="AE119" i="2"/>
  <c r="M119" i="2"/>
  <c r="S119" i="2"/>
  <c r="F119" i="2"/>
  <c r="AJ119" i="2"/>
  <c r="R119" i="2"/>
  <c r="AT119" i="2"/>
  <c r="AW119" i="2" s="1"/>
  <c r="AS119" i="2"/>
  <c r="AV119" i="2" s="1"/>
  <c r="BM118" i="2"/>
  <c r="AU118" i="2"/>
  <c r="CH118" i="2"/>
  <c r="CT118" i="2"/>
  <c r="BD118" i="2"/>
  <c r="BV118" i="2"/>
  <c r="W119" i="2"/>
  <c r="E119" i="2"/>
  <c r="C119" i="2"/>
  <c r="B119" i="2"/>
  <c r="Q119" i="2"/>
  <c r="D119" i="2"/>
  <c r="BJ119" i="2"/>
  <c r="CQ119" i="2"/>
  <c r="CE119" i="2"/>
  <c r="AR119" i="2"/>
  <c r="AI119" i="2"/>
  <c r="BA119" i="2"/>
  <c r="BS119" i="2"/>
  <c r="AC119" i="2"/>
  <c r="K119" i="2"/>
  <c r="Q95" i="1"/>
  <c r="Z95" i="1"/>
  <c r="E95" i="1"/>
  <c r="AN95" i="1"/>
  <c r="Y95" i="1"/>
  <c r="C95" i="1"/>
  <c r="AI95" i="1"/>
  <c r="K95" i="1"/>
  <c r="S95" i="1"/>
  <c r="D95" i="1"/>
  <c r="B95" i="1"/>
  <c r="AY95" i="1"/>
  <c r="W95" i="1"/>
  <c r="U95" i="1"/>
  <c r="AD95" i="1"/>
  <c r="N95" i="1"/>
  <c r="V95" i="1"/>
  <c r="G95" i="1"/>
  <c r="A96" i="1"/>
  <c r="BE96" i="1" s="1"/>
  <c r="AA95" i="1"/>
  <c r="F95" i="1"/>
  <c r="O95" i="1"/>
  <c r="I95" i="1"/>
  <c r="R95" i="1"/>
  <c r="AS95" i="1"/>
  <c r="M95" i="1"/>
  <c r="J95" i="1"/>
  <c r="AU94" i="1"/>
  <c r="AV94" i="1"/>
  <c r="AT94" i="1"/>
  <c r="AO94" i="1"/>
  <c r="AP94" i="1"/>
  <c r="AQ94" i="1"/>
  <c r="AE94" i="1"/>
  <c r="AF94" i="1"/>
  <c r="AG94" i="1"/>
  <c r="AL94" i="1"/>
  <c r="AK94" i="1"/>
  <c r="AJ94" i="1"/>
  <c r="AZ94" i="1"/>
  <c r="BB94" i="1"/>
  <c r="BA94" i="1"/>
  <c r="M113" i="5" l="1"/>
  <c r="E113" i="5"/>
  <c r="L113" i="5"/>
  <c r="D113" i="5"/>
  <c r="A114" i="5"/>
  <c r="C113" i="5"/>
  <c r="P113" i="5"/>
  <c r="Q113" i="5"/>
  <c r="B113" i="5"/>
  <c r="X113" i="5"/>
  <c r="AV113" i="5"/>
  <c r="AY113" i="5" s="1"/>
  <c r="AD113" i="5"/>
  <c r="AG113" i="5" s="1"/>
  <c r="BL113" i="5"/>
  <c r="BO113" i="5" s="1"/>
  <c r="AE113" i="5"/>
  <c r="AK113" i="5"/>
  <c r="AJ113" i="5"/>
  <c r="AM113" i="5" s="1"/>
  <c r="I113" i="5"/>
  <c r="U113" i="5"/>
  <c r="T113" i="5"/>
  <c r="AQ113" i="5"/>
  <c r="BD113" i="5"/>
  <c r="BG113" i="5" s="1"/>
  <c r="H113" i="5"/>
  <c r="AP113" i="5"/>
  <c r="AS113" i="5" s="1"/>
  <c r="AW113" i="5"/>
  <c r="AZ113" i="5" s="1"/>
  <c r="BM113" i="5"/>
  <c r="BP113" i="5" s="1"/>
  <c r="Y113" i="5"/>
  <c r="BE113" i="5"/>
  <c r="BH113" i="5" s="1"/>
  <c r="Q104" i="4"/>
  <c r="Z104" i="4"/>
  <c r="AD104" i="4"/>
  <c r="T104" i="4"/>
  <c r="W104" i="4"/>
  <c r="AH104" i="4"/>
  <c r="A106" i="4"/>
  <c r="I105" i="4"/>
  <c r="C105" i="4"/>
  <c r="B105" i="4"/>
  <c r="G105" i="4"/>
  <c r="M105" i="4"/>
  <c r="S105" i="4"/>
  <c r="Y105" i="4"/>
  <c r="E105" i="4"/>
  <c r="V105" i="4"/>
  <c r="K105" i="4"/>
  <c r="P105" i="4"/>
  <c r="AC105" i="4"/>
  <c r="AG105" i="4"/>
  <c r="X106" i="3"/>
  <c r="Y106" i="3"/>
  <c r="AP106" i="3"/>
  <c r="AO106" i="3"/>
  <c r="M107" i="3"/>
  <c r="B107" i="3"/>
  <c r="K107" i="3"/>
  <c r="J107" i="3"/>
  <c r="C107" i="3"/>
  <c r="A108" i="3"/>
  <c r="D107" i="3"/>
  <c r="E107" i="3"/>
  <c r="N107" i="3"/>
  <c r="P107" i="3"/>
  <c r="T107" i="3"/>
  <c r="AN107" i="3"/>
  <c r="G107" i="3"/>
  <c r="AS107" i="3"/>
  <c r="S107" i="3"/>
  <c r="AI107" i="3"/>
  <c r="Q107" i="3"/>
  <c r="AE107" i="3"/>
  <c r="H107" i="3"/>
  <c r="AA107" i="3"/>
  <c r="W107" i="3"/>
  <c r="AJ106" i="3"/>
  <c r="AK106" i="3"/>
  <c r="AU106" i="3"/>
  <c r="AT106" i="3"/>
  <c r="AF106" i="3"/>
  <c r="AG106" i="3"/>
  <c r="AC106" i="3"/>
  <c r="AB106" i="3"/>
  <c r="BH96" i="1"/>
  <c r="BG96" i="1"/>
  <c r="BF96" i="1"/>
  <c r="A122" i="2"/>
  <c r="CR121" i="2"/>
  <c r="CU121" i="2" s="1"/>
  <c r="CF121" i="2"/>
  <c r="CI121" i="2" s="1"/>
  <c r="CS121" i="2"/>
  <c r="CV121" i="2" s="1"/>
  <c r="BK121" i="2"/>
  <c r="BN121" i="2" s="1"/>
  <c r="BU121" i="2"/>
  <c r="BX121" i="2" s="1"/>
  <c r="CG121" i="2"/>
  <c r="CJ121" i="2" s="1"/>
  <c r="BL121" i="2"/>
  <c r="BO121" i="2" s="1"/>
  <c r="BC121" i="2"/>
  <c r="BF121" i="2" s="1"/>
  <c r="BB121" i="2"/>
  <c r="BE121" i="2" s="1"/>
  <c r="BT121" i="2"/>
  <c r="BW121" i="2" s="1"/>
  <c r="AJ120" i="2"/>
  <c r="AD120" i="2"/>
  <c r="Y120" i="2"/>
  <c r="AK120" i="2"/>
  <c r="X120" i="2"/>
  <c r="S120" i="2"/>
  <c r="R120" i="2"/>
  <c r="L120" i="2"/>
  <c r="G120" i="2"/>
  <c r="F120" i="2"/>
  <c r="AE120" i="2"/>
  <c r="M120" i="2"/>
  <c r="AS120" i="2"/>
  <c r="AV120" i="2" s="1"/>
  <c r="AT120" i="2"/>
  <c r="AW120" i="2" s="1"/>
  <c r="AU119" i="2"/>
  <c r="CH119" i="2"/>
  <c r="BM119" i="2"/>
  <c r="B120" i="2"/>
  <c r="W120" i="2"/>
  <c r="E120" i="2"/>
  <c r="D120" i="2"/>
  <c r="C120" i="2"/>
  <c r="Q120" i="2"/>
  <c r="CQ120" i="2"/>
  <c r="AI120" i="2"/>
  <c r="CE120" i="2"/>
  <c r="BA120" i="2"/>
  <c r="K120" i="2"/>
  <c r="BJ120" i="2"/>
  <c r="AR120" i="2"/>
  <c r="BS120" i="2"/>
  <c r="AC120" i="2"/>
  <c r="BV119" i="2"/>
  <c r="BD119" i="2"/>
  <c r="CT119" i="2"/>
  <c r="BA95" i="1"/>
  <c r="AZ95" i="1"/>
  <c r="BB95" i="1"/>
  <c r="AO95" i="1"/>
  <c r="AP95" i="1"/>
  <c r="AQ95" i="1"/>
  <c r="N96" i="1"/>
  <c r="AY96" i="1"/>
  <c r="AD96" i="1"/>
  <c r="G96" i="1"/>
  <c r="F96" i="1"/>
  <c r="K96" i="1"/>
  <c r="U96" i="1"/>
  <c r="I96" i="1"/>
  <c r="AS96" i="1"/>
  <c r="W96" i="1"/>
  <c r="Z96" i="1"/>
  <c r="D96" i="1"/>
  <c r="R96" i="1"/>
  <c r="O96" i="1"/>
  <c r="S96" i="1"/>
  <c r="A97" i="1"/>
  <c r="BE97" i="1" s="1"/>
  <c r="AI96" i="1"/>
  <c r="M96" i="1"/>
  <c r="Q96" i="1"/>
  <c r="E96" i="1"/>
  <c r="B96" i="1"/>
  <c r="C96" i="1"/>
  <c r="J96" i="1"/>
  <c r="Y96" i="1"/>
  <c r="AA96" i="1"/>
  <c r="AN96" i="1"/>
  <c r="V96" i="1"/>
  <c r="AG95" i="1"/>
  <c r="AE95" i="1"/>
  <c r="AF95" i="1"/>
  <c r="AL95" i="1"/>
  <c r="AK95" i="1"/>
  <c r="AJ95" i="1"/>
  <c r="AU95" i="1"/>
  <c r="AT95" i="1"/>
  <c r="AV95" i="1"/>
  <c r="Q114" i="5" l="1"/>
  <c r="C114" i="5"/>
  <c r="P114" i="5"/>
  <c r="B114" i="5"/>
  <c r="A115" i="5"/>
  <c r="D114" i="5"/>
  <c r="M114" i="5"/>
  <c r="E114" i="5"/>
  <c r="L114" i="5"/>
  <c r="AE114" i="5"/>
  <c r="X114" i="5"/>
  <c r="AJ114" i="5"/>
  <c r="AM114" i="5" s="1"/>
  <c r="BD114" i="5"/>
  <c r="BG114" i="5" s="1"/>
  <c r="AK114" i="5"/>
  <c r="H114" i="5"/>
  <c r="BL114" i="5"/>
  <c r="BO114" i="5" s="1"/>
  <c r="AV114" i="5"/>
  <c r="AY114" i="5" s="1"/>
  <c r="AD114" i="5"/>
  <c r="AG114" i="5" s="1"/>
  <c r="AP114" i="5"/>
  <c r="AS114" i="5" s="1"/>
  <c r="T114" i="5"/>
  <c r="I114" i="5"/>
  <c r="U114" i="5"/>
  <c r="AQ114" i="5"/>
  <c r="BM114" i="5"/>
  <c r="BP114" i="5" s="1"/>
  <c r="BE114" i="5"/>
  <c r="BH114" i="5" s="1"/>
  <c r="Y114" i="5"/>
  <c r="AW114" i="5"/>
  <c r="AZ114" i="5" s="1"/>
  <c r="T105" i="4"/>
  <c r="Q105" i="4"/>
  <c r="AD105" i="4"/>
  <c r="AH105" i="4"/>
  <c r="W105" i="4"/>
  <c r="Z105" i="4"/>
  <c r="A107" i="4"/>
  <c r="I106" i="4"/>
  <c r="C106" i="4"/>
  <c r="B106" i="4"/>
  <c r="G106" i="4"/>
  <c r="P106" i="4"/>
  <c r="K106" i="4"/>
  <c r="M106" i="4"/>
  <c r="AG106" i="4"/>
  <c r="E106" i="4"/>
  <c r="AC106" i="4"/>
  <c r="V106" i="4"/>
  <c r="S106" i="4"/>
  <c r="Y106" i="4"/>
  <c r="AO107" i="3"/>
  <c r="AP107" i="3"/>
  <c r="AB107" i="3"/>
  <c r="AC107" i="3"/>
  <c r="N108" i="3"/>
  <c r="C108" i="3"/>
  <c r="E108" i="3"/>
  <c r="A109" i="3"/>
  <c r="D108" i="3"/>
  <c r="M108" i="3"/>
  <c r="B108" i="3"/>
  <c r="K108" i="3"/>
  <c r="J108" i="3"/>
  <c r="H108" i="3"/>
  <c r="AE108" i="3"/>
  <c r="T108" i="3"/>
  <c r="G108" i="3"/>
  <c r="AA108" i="3"/>
  <c r="AN108" i="3"/>
  <c r="P108" i="3"/>
  <c r="S108" i="3"/>
  <c r="AI108" i="3"/>
  <c r="AS108" i="3"/>
  <c r="W108" i="3"/>
  <c r="Q108" i="3"/>
  <c r="Y107" i="3"/>
  <c r="X107" i="3"/>
  <c r="AK107" i="3"/>
  <c r="AJ107" i="3"/>
  <c r="AF107" i="3"/>
  <c r="AG107" i="3"/>
  <c r="AT107" i="3"/>
  <c r="AU107" i="3"/>
  <c r="BH97" i="1"/>
  <c r="BF97" i="1"/>
  <c r="BG97" i="1"/>
  <c r="CS122" i="2"/>
  <c r="CV122" i="2" s="1"/>
  <c r="A123" i="2"/>
  <c r="CG122" i="2"/>
  <c r="CJ122" i="2" s="1"/>
  <c r="BU122" i="2"/>
  <c r="BX122" i="2" s="1"/>
  <c r="CR122" i="2"/>
  <c r="CU122" i="2" s="1"/>
  <c r="BT122" i="2"/>
  <c r="BW122" i="2" s="1"/>
  <c r="BB122" i="2"/>
  <c r="BE122" i="2" s="1"/>
  <c r="BL122" i="2"/>
  <c r="BO122" i="2" s="1"/>
  <c r="BC122" i="2"/>
  <c r="BF122" i="2" s="1"/>
  <c r="BK122" i="2"/>
  <c r="BN122" i="2" s="1"/>
  <c r="CF122" i="2"/>
  <c r="CI122" i="2" s="1"/>
  <c r="AJ121" i="2"/>
  <c r="AE121" i="2"/>
  <c r="AK121" i="2"/>
  <c r="G121" i="2"/>
  <c r="X121" i="2"/>
  <c r="S121" i="2"/>
  <c r="R121" i="2"/>
  <c r="M121" i="2"/>
  <c r="L121" i="2"/>
  <c r="F121" i="2"/>
  <c r="Y121" i="2"/>
  <c r="AD121" i="2"/>
  <c r="AS121" i="2"/>
  <c r="AV121" i="2" s="1"/>
  <c r="AT121" i="2"/>
  <c r="AW121" i="2" s="1"/>
  <c r="D121" i="2"/>
  <c r="W121" i="2"/>
  <c r="E121" i="2"/>
  <c r="Q121" i="2"/>
  <c r="B121" i="2"/>
  <c r="C121" i="2"/>
  <c r="BJ121" i="2"/>
  <c r="BS121" i="2"/>
  <c r="BA121" i="2"/>
  <c r="AC121" i="2"/>
  <c r="AR121" i="2"/>
  <c r="CQ121" i="2"/>
  <c r="K121" i="2"/>
  <c r="CE121" i="2"/>
  <c r="AI121" i="2"/>
  <c r="BV120" i="2"/>
  <c r="BD120" i="2"/>
  <c r="AU120" i="2"/>
  <c r="CH120" i="2"/>
  <c r="CT120" i="2"/>
  <c r="BM120" i="2"/>
  <c r="AZ96" i="1"/>
  <c r="BA96" i="1"/>
  <c r="BB96" i="1"/>
  <c r="AO96" i="1"/>
  <c r="AQ96" i="1"/>
  <c r="AP96" i="1"/>
  <c r="AU96" i="1"/>
  <c r="AT96" i="1"/>
  <c r="AV96" i="1"/>
  <c r="Q97" i="1"/>
  <c r="Z97" i="1"/>
  <c r="E97" i="1"/>
  <c r="A98" i="1"/>
  <c r="BE98" i="1" s="1"/>
  <c r="M97" i="1"/>
  <c r="R97" i="1"/>
  <c r="G97" i="1"/>
  <c r="AA97" i="1"/>
  <c r="O97" i="1"/>
  <c r="AI97" i="1"/>
  <c r="AY97" i="1"/>
  <c r="V97" i="1"/>
  <c r="D97" i="1"/>
  <c r="W97" i="1"/>
  <c r="K97" i="1"/>
  <c r="U97" i="1"/>
  <c r="Y97" i="1"/>
  <c r="AS97" i="1"/>
  <c r="C97" i="1"/>
  <c r="I97" i="1"/>
  <c r="F97" i="1"/>
  <c r="N97" i="1"/>
  <c r="S97" i="1"/>
  <c r="J97" i="1"/>
  <c r="AN97" i="1"/>
  <c r="B97" i="1"/>
  <c r="AD97" i="1"/>
  <c r="AL96" i="1"/>
  <c r="AK96" i="1"/>
  <c r="AJ96" i="1"/>
  <c r="AG96" i="1"/>
  <c r="AE96" i="1"/>
  <c r="AF96" i="1"/>
  <c r="A116" i="5" l="1"/>
  <c r="L115" i="5"/>
  <c r="D115" i="5"/>
  <c r="Q115" i="5"/>
  <c r="C115" i="5"/>
  <c r="P115" i="5"/>
  <c r="B115" i="5"/>
  <c r="M115" i="5"/>
  <c r="E115" i="5"/>
  <c r="AD115" i="5"/>
  <c r="AG115" i="5" s="1"/>
  <c r="BD115" i="5"/>
  <c r="BG115" i="5" s="1"/>
  <c r="X115" i="5"/>
  <c r="AK115" i="5"/>
  <c r="AV115" i="5"/>
  <c r="AY115" i="5" s="1"/>
  <c r="AE115" i="5"/>
  <c r="AJ115" i="5"/>
  <c r="AM115" i="5" s="1"/>
  <c r="BL115" i="5"/>
  <c r="BO115" i="5" s="1"/>
  <c r="I115" i="5"/>
  <c r="H115" i="5"/>
  <c r="T115" i="5"/>
  <c r="AQ115" i="5"/>
  <c r="U115" i="5"/>
  <c r="AP115" i="5"/>
  <c r="AS115" i="5" s="1"/>
  <c r="BM115" i="5"/>
  <c r="BP115" i="5" s="1"/>
  <c r="Y115" i="5"/>
  <c r="AW115" i="5"/>
  <c r="AZ115" i="5" s="1"/>
  <c r="BE115" i="5"/>
  <c r="BH115" i="5" s="1"/>
  <c r="W106" i="4"/>
  <c r="T106" i="4"/>
  <c r="AD106" i="4"/>
  <c r="Q106" i="4"/>
  <c r="Z106" i="4"/>
  <c r="AH106" i="4"/>
  <c r="A108" i="4"/>
  <c r="I107" i="4"/>
  <c r="C107" i="4"/>
  <c r="G107" i="4"/>
  <c r="B107" i="4"/>
  <c r="K107" i="4"/>
  <c r="P107" i="4"/>
  <c r="AC107" i="4"/>
  <c r="AG107" i="4"/>
  <c r="V107" i="4"/>
  <c r="S107" i="4"/>
  <c r="Y107" i="4"/>
  <c r="M107" i="4"/>
  <c r="E107" i="4"/>
  <c r="AO108" i="3"/>
  <c r="AP108" i="3"/>
  <c r="AU108" i="3"/>
  <c r="AT108" i="3"/>
  <c r="AB108" i="3"/>
  <c r="AC108" i="3"/>
  <c r="AG108" i="3"/>
  <c r="AF108" i="3"/>
  <c r="Y108" i="3"/>
  <c r="X108" i="3"/>
  <c r="AJ108" i="3"/>
  <c r="AK108" i="3"/>
  <c r="K109" i="3"/>
  <c r="E109" i="3"/>
  <c r="A110" i="3"/>
  <c r="J109" i="3"/>
  <c r="D109" i="3"/>
  <c r="N109" i="3"/>
  <c r="M109" i="3"/>
  <c r="B109" i="3"/>
  <c r="C109" i="3"/>
  <c r="S109" i="3"/>
  <c r="AN109" i="3"/>
  <c r="G109" i="3"/>
  <c r="H109" i="3"/>
  <c r="Q109" i="3"/>
  <c r="AE109" i="3"/>
  <c r="T109" i="3"/>
  <c r="P109" i="3"/>
  <c r="AI109" i="3"/>
  <c r="AS109" i="3"/>
  <c r="W109" i="3"/>
  <c r="AA109" i="3"/>
  <c r="BF98" i="1"/>
  <c r="BH98" i="1"/>
  <c r="BG98" i="1"/>
  <c r="CR123" i="2"/>
  <c r="CU123" i="2" s="1"/>
  <c r="A124" i="2"/>
  <c r="CS123" i="2"/>
  <c r="CV123" i="2" s="1"/>
  <c r="BT123" i="2"/>
  <c r="BW123" i="2" s="1"/>
  <c r="BU123" i="2"/>
  <c r="BX123" i="2" s="1"/>
  <c r="CG123" i="2"/>
  <c r="CJ123" i="2" s="1"/>
  <c r="CF123" i="2"/>
  <c r="CI123" i="2" s="1"/>
  <c r="BC123" i="2"/>
  <c r="BF123" i="2" s="1"/>
  <c r="BB123" i="2"/>
  <c r="BE123" i="2" s="1"/>
  <c r="BL123" i="2"/>
  <c r="BO123" i="2" s="1"/>
  <c r="BK123" i="2"/>
  <c r="BN123" i="2" s="1"/>
  <c r="AK122" i="2"/>
  <c r="AE122" i="2"/>
  <c r="S122" i="2"/>
  <c r="M122" i="2"/>
  <c r="L122" i="2"/>
  <c r="G122" i="2"/>
  <c r="F122" i="2"/>
  <c r="X122" i="2"/>
  <c r="AD122" i="2"/>
  <c r="R122" i="2"/>
  <c r="AJ122" i="2"/>
  <c r="Y122" i="2"/>
  <c r="AT122" i="2"/>
  <c r="AW122" i="2" s="1"/>
  <c r="AS122" i="2"/>
  <c r="AV122" i="2" s="1"/>
  <c r="BM121" i="2"/>
  <c r="AU121" i="2"/>
  <c r="CH121" i="2"/>
  <c r="BD121" i="2"/>
  <c r="W122" i="2"/>
  <c r="D122" i="2"/>
  <c r="C122" i="2"/>
  <c r="Q122" i="2"/>
  <c r="B122" i="2"/>
  <c r="E122" i="2"/>
  <c r="K122" i="2"/>
  <c r="BA122" i="2"/>
  <c r="AR122" i="2"/>
  <c r="BS122" i="2"/>
  <c r="CE122" i="2"/>
  <c r="CQ122" i="2"/>
  <c r="AI122" i="2"/>
  <c r="BJ122" i="2"/>
  <c r="AC122" i="2"/>
  <c r="CT121" i="2"/>
  <c r="BV121" i="2"/>
  <c r="AG97" i="1"/>
  <c r="AF97" i="1"/>
  <c r="AE97" i="1"/>
  <c r="AZ97" i="1"/>
  <c r="BA97" i="1"/>
  <c r="BB97" i="1"/>
  <c r="AT97" i="1"/>
  <c r="AU97" i="1"/>
  <c r="AV97" i="1"/>
  <c r="AL97" i="1"/>
  <c r="AJ97" i="1"/>
  <c r="AK97" i="1"/>
  <c r="AP97" i="1"/>
  <c r="AO97" i="1"/>
  <c r="AQ97" i="1"/>
  <c r="I98" i="1"/>
  <c r="AS98" i="1"/>
  <c r="W98" i="1"/>
  <c r="C98" i="1"/>
  <c r="U98" i="1"/>
  <c r="Z98" i="1"/>
  <c r="J98" i="1"/>
  <c r="N98" i="1"/>
  <c r="AY98" i="1"/>
  <c r="B98" i="1"/>
  <c r="F98" i="1"/>
  <c r="Y98" i="1"/>
  <c r="D98" i="1"/>
  <c r="AN98" i="1"/>
  <c r="R98" i="1"/>
  <c r="V98" i="1"/>
  <c r="E98" i="1"/>
  <c r="G98" i="1"/>
  <c r="S98" i="1"/>
  <c r="A99" i="1"/>
  <c r="BE99" i="1" s="1"/>
  <c r="AI98" i="1"/>
  <c r="M98" i="1"/>
  <c r="K98" i="1"/>
  <c r="AA98" i="1"/>
  <c r="Q98" i="1"/>
  <c r="AD98" i="1"/>
  <c r="O98" i="1"/>
  <c r="M116" i="5" l="1"/>
  <c r="E116" i="5"/>
  <c r="A117" i="5"/>
  <c r="Q116" i="5"/>
  <c r="D116" i="5"/>
  <c r="P116" i="5"/>
  <c r="L116" i="5"/>
  <c r="B116" i="5"/>
  <c r="C116" i="5"/>
  <c r="AD116" i="5"/>
  <c r="AG116" i="5" s="1"/>
  <c r="AJ116" i="5"/>
  <c r="AM116" i="5" s="1"/>
  <c r="BD116" i="5"/>
  <c r="BG116" i="5" s="1"/>
  <c r="AE116" i="5"/>
  <c r="AK116" i="5"/>
  <c r="AV116" i="5"/>
  <c r="AY116" i="5" s="1"/>
  <c r="AW116" i="5"/>
  <c r="AZ116" i="5" s="1"/>
  <c r="X116" i="5"/>
  <c r="BL116" i="5"/>
  <c r="BO116" i="5" s="1"/>
  <c r="H116" i="5"/>
  <c r="U116" i="5"/>
  <c r="AQ116" i="5"/>
  <c r="T116" i="5"/>
  <c r="I116" i="5"/>
  <c r="AP116" i="5"/>
  <c r="AS116" i="5" s="1"/>
  <c r="Y116" i="5"/>
  <c r="BM116" i="5"/>
  <c r="BP116" i="5" s="1"/>
  <c r="BE116" i="5"/>
  <c r="BH116" i="5" s="1"/>
  <c r="T107" i="4"/>
  <c r="AD107" i="4"/>
  <c r="W107" i="4"/>
  <c r="Q107" i="4"/>
  <c r="AH107" i="4"/>
  <c r="Z107" i="4"/>
  <c r="A109" i="4"/>
  <c r="I108" i="4"/>
  <c r="C108" i="4"/>
  <c r="G108" i="4"/>
  <c r="B108" i="4"/>
  <c r="K108" i="4"/>
  <c r="AG108" i="4"/>
  <c r="S108" i="4"/>
  <c r="E108" i="4"/>
  <c r="M108" i="4"/>
  <c r="AC108" i="4"/>
  <c r="V108" i="4"/>
  <c r="P108" i="4"/>
  <c r="Y108" i="4"/>
  <c r="AC109" i="3"/>
  <c r="AB109" i="3"/>
  <c r="X109" i="3"/>
  <c r="Y109" i="3"/>
  <c r="AG109" i="3"/>
  <c r="AF109" i="3"/>
  <c r="AP109" i="3"/>
  <c r="AO109" i="3"/>
  <c r="A111" i="3"/>
  <c r="M110" i="3"/>
  <c r="B110" i="3"/>
  <c r="E110" i="3"/>
  <c r="N110" i="3"/>
  <c r="D110" i="3"/>
  <c r="C110" i="3"/>
  <c r="K110" i="3"/>
  <c r="J110" i="3"/>
  <c r="Q110" i="3"/>
  <c r="P110" i="3"/>
  <c r="AS110" i="3"/>
  <c r="AI110" i="3"/>
  <c r="G110" i="3"/>
  <c r="H110" i="3"/>
  <c r="AE110" i="3"/>
  <c r="T110" i="3"/>
  <c r="AA110" i="3"/>
  <c r="AN110" i="3"/>
  <c r="W110" i="3"/>
  <c r="S110" i="3"/>
  <c r="AT109" i="3"/>
  <c r="AU109" i="3"/>
  <c r="AJ109" i="3"/>
  <c r="AK109" i="3"/>
  <c r="BH99" i="1"/>
  <c r="BG99" i="1"/>
  <c r="BF99" i="1"/>
  <c r="CS124" i="2"/>
  <c r="CV124" i="2" s="1"/>
  <c r="A125" i="2"/>
  <c r="CR124" i="2"/>
  <c r="CU124" i="2" s="1"/>
  <c r="CG124" i="2"/>
  <c r="CJ124" i="2" s="1"/>
  <c r="CF124" i="2"/>
  <c r="CI124" i="2" s="1"/>
  <c r="BT124" i="2"/>
  <c r="BW124" i="2" s="1"/>
  <c r="BK124" i="2"/>
  <c r="BN124" i="2" s="1"/>
  <c r="BU124" i="2"/>
  <c r="BX124" i="2" s="1"/>
  <c r="BC124" i="2"/>
  <c r="BF124" i="2" s="1"/>
  <c r="BB124" i="2"/>
  <c r="BE124" i="2" s="1"/>
  <c r="BL124" i="2"/>
  <c r="BO124" i="2" s="1"/>
  <c r="AE123" i="2"/>
  <c r="Y123" i="2"/>
  <c r="AD123" i="2"/>
  <c r="M123" i="2"/>
  <c r="AK123" i="2"/>
  <c r="S123" i="2"/>
  <c r="R123" i="2"/>
  <c r="AJ123" i="2"/>
  <c r="L123" i="2"/>
  <c r="X123" i="2"/>
  <c r="G123" i="2"/>
  <c r="F123" i="2"/>
  <c r="AT123" i="2"/>
  <c r="AW123" i="2" s="1"/>
  <c r="AS123" i="2"/>
  <c r="AV123" i="2" s="1"/>
  <c r="CT122" i="2"/>
  <c r="AU122" i="2"/>
  <c r="D123" i="2"/>
  <c r="W123" i="2"/>
  <c r="C123" i="2"/>
  <c r="Q123" i="2"/>
  <c r="E123" i="2"/>
  <c r="B123" i="2"/>
  <c r="BJ123" i="2"/>
  <c r="AI123" i="2"/>
  <c r="K123" i="2"/>
  <c r="AC123" i="2"/>
  <c r="CQ123" i="2"/>
  <c r="BS123" i="2"/>
  <c r="AR123" i="2"/>
  <c r="CE123" i="2"/>
  <c r="BA123" i="2"/>
  <c r="BD122" i="2"/>
  <c r="CH122" i="2"/>
  <c r="BM122" i="2"/>
  <c r="BV122" i="2"/>
  <c r="AK98" i="1"/>
  <c r="AJ98" i="1"/>
  <c r="AL98" i="1"/>
  <c r="BB98" i="1"/>
  <c r="AZ98" i="1"/>
  <c r="BA98" i="1"/>
  <c r="AN99" i="1"/>
  <c r="K99" i="1"/>
  <c r="U99" i="1"/>
  <c r="S99" i="1"/>
  <c r="G99" i="1"/>
  <c r="Y99" i="1"/>
  <c r="A100" i="1"/>
  <c r="BE100" i="1" s="1"/>
  <c r="AA99" i="1"/>
  <c r="O99" i="1"/>
  <c r="N99" i="1"/>
  <c r="D99" i="1"/>
  <c r="AY99" i="1"/>
  <c r="V99" i="1"/>
  <c r="B99" i="1"/>
  <c r="J99" i="1"/>
  <c r="AD99" i="1"/>
  <c r="AI99" i="1"/>
  <c r="W99" i="1"/>
  <c r="Z99" i="1"/>
  <c r="C99" i="1"/>
  <c r="F99" i="1"/>
  <c r="I99" i="1"/>
  <c r="AS99" i="1"/>
  <c r="E99" i="1"/>
  <c r="R99" i="1"/>
  <c r="Q99" i="1"/>
  <c r="M99" i="1"/>
  <c r="AE98" i="1"/>
  <c r="AG98" i="1"/>
  <c r="AF98" i="1"/>
  <c r="AP98" i="1"/>
  <c r="AO98" i="1"/>
  <c r="AQ98" i="1"/>
  <c r="AT98" i="1"/>
  <c r="AV98" i="1"/>
  <c r="AU98" i="1"/>
  <c r="Q117" i="5" l="1"/>
  <c r="C117" i="5"/>
  <c r="P117" i="5"/>
  <c r="B117" i="5"/>
  <c r="L117" i="5"/>
  <c r="A118" i="5"/>
  <c r="D117" i="5"/>
  <c r="M117" i="5"/>
  <c r="E117" i="5"/>
  <c r="AJ117" i="5"/>
  <c r="AM117" i="5" s="1"/>
  <c r="AV117" i="5"/>
  <c r="AY117" i="5" s="1"/>
  <c r="BD117" i="5"/>
  <c r="BG117" i="5" s="1"/>
  <c r="BL117" i="5"/>
  <c r="BO117" i="5" s="1"/>
  <c r="AK117" i="5"/>
  <c r="AD117" i="5"/>
  <c r="AG117" i="5" s="1"/>
  <c r="I117" i="5"/>
  <c r="X117" i="5"/>
  <c r="H117" i="5"/>
  <c r="AW117" i="5"/>
  <c r="AZ117" i="5" s="1"/>
  <c r="AP117" i="5"/>
  <c r="AS117" i="5" s="1"/>
  <c r="AQ117" i="5"/>
  <c r="AE117" i="5"/>
  <c r="U117" i="5"/>
  <c r="T117" i="5"/>
  <c r="BM117" i="5"/>
  <c r="BP117" i="5" s="1"/>
  <c r="BE117" i="5"/>
  <c r="BH117" i="5" s="1"/>
  <c r="Y117" i="5"/>
  <c r="Q108" i="4"/>
  <c r="W108" i="4"/>
  <c r="T108" i="4"/>
  <c r="AD108" i="4"/>
  <c r="AH108" i="4"/>
  <c r="Z108" i="4"/>
  <c r="A110" i="4"/>
  <c r="I109" i="4"/>
  <c r="C109" i="4"/>
  <c r="B109" i="4"/>
  <c r="G109" i="4"/>
  <c r="S109" i="4"/>
  <c r="Y109" i="4"/>
  <c r="K109" i="4"/>
  <c r="AC109" i="4"/>
  <c r="E109" i="4"/>
  <c r="V109" i="4"/>
  <c r="P109" i="4"/>
  <c r="M109" i="4"/>
  <c r="AG109" i="4"/>
  <c r="AU110" i="3"/>
  <c r="AT110" i="3"/>
  <c r="AF110" i="3"/>
  <c r="AG110" i="3"/>
  <c r="AB110" i="3"/>
  <c r="AC110" i="3"/>
  <c r="Y110" i="3"/>
  <c r="X110" i="3"/>
  <c r="AP110" i="3"/>
  <c r="AO110" i="3"/>
  <c r="AK110" i="3"/>
  <c r="AJ110" i="3"/>
  <c r="K111" i="3"/>
  <c r="E111" i="3"/>
  <c r="J111" i="3"/>
  <c r="A112" i="3"/>
  <c r="D111" i="3"/>
  <c r="C111" i="3"/>
  <c r="B111" i="3"/>
  <c r="N111" i="3"/>
  <c r="M111" i="3"/>
  <c r="T111" i="3"/>
  <c r="S111" i="3"/>
  <c r="AS111" i="3"/>
  <c r="P111" i="3"/>
  <c r="AN111" i="3"/>
  <c r="G111" i="3"/>
  <c r="AE111" i="3"/>
  <c r="AA111" i="3"/>
  <c r="AI111" i="3"/>
  <c r="H111" i="3"/>
  <c r="W111" i="3"/>
  <c r="Q111" i="3"/>
  <c r="BF100" i="1"/>
  <c r="BH100" i="1"/>
  <c r="BG100" i="1"/>
  <c r="A126" i="2"/>
  <c r="CR125" i="2"/>
  <c r="CU125" i="2" s="1"/>
  <c r="CF125" i="2"/>
  <c r="CI125" i="2" s="1"/>
  <c r="CG125" i="2"/>
  <c r="CJ125" i="2" s="1"/>
  <c r="BK125" i="2"/>
  <c r="BN125" i="2" s="1"/>
  <c r="BL125" i="2"/>
  <c r="BO125" i="2" s="1"/>
  <c r="BU125" i="2"/>
  <c r="BX125" i="2" s="1"/>
  <c r="BT125" i="2"/>
  <c r="BW125" i="2" s="1"/>
  <c r="BB125" i="2"/>
  <c r="BE125" i="2" s="1"/>
  <c r="CS125" i="2"/>
  <c r="CV125" i="2" s="1"/>
  <c r="BC125" i="2"/>
  <c r="BF125" i="2" s="1"/>
  <c r="AJ124" i="2"/>
  <c r="AD124" i="2"/>
  <c r="X124" i="2"/>
  <c r="AK124" i="2"/>
  <c r="F124" i="2"/>
  <c r="AE124" i="2"/>
  <c r="Y124" i="2"/>
  <c r="S124" i="2"/>
  <c r="R124" i="2"/>
  <c r="G124" i="2"/>
  <c r="M124" i="2"/>
  <c r="L124" i="2"/>
  <c r="AS124" i="2"/>
  <c r="AV124" i="2" s="1"/>
  <c r="AT124" i="2"/>
  <c r="AW124" i="2" s="1"/>
  <c r="AU123" i="2"/>
  <c r="BM123" i="2"/>
  <c r="CT123" i="2"/>
  <c r="BV123" i="2"/>
  <c r="BD123" i="2"/>
  <c r="B124" i="2"/>
  <c r="D124" i="2"/>
  <c r="Q124" i="2"/>
  <c r="E124" i="2"/>
  <c r="C124" i="2"/>
  <c r="W124" i="2"/>
  <c r="AR124" i="2"/>
  <c r="BA124" i="2"/>
  <c r="K124" i="2"/>
  <c r="BJ124" i="2"/>
  <c r="CE124" i="2"/>
  <c r="AI124" i="2"/>
  <c r="CQ124" i="2"/>
  <c r="BS124" i="2"/>
  <c r="AC124" i="2"/>
  <c r="CH123" i="2"/>
  <c r="AK99" i="1"/>
  <c r="AJ99" i="1"/>
  <c r="AL99" i="1"/>
  <c r="AO99" i="1"/>
  <c r="AQ99" i="1"/>
  <c r="AP99" i="1"/>
  <c r="AE99" i="1"/>
  <c r="AG99" i="1"/>
  <c r="AF99" i="1"/>
  <c r="BB99" i="1"/>
  <c r="BA99" i="1"/>
  <c r="AZ99" i="1"/>
  <c r="AT99" i="1"/>
  <c r="AV99" i="1"/>
  <c r="AU99" i="1"/>
  <c r="J100" i="1"/>
  <c r="N100" i="1"/>
  <c r="AN100" i="1"/>
  <c r="AA100" i="1"/>
  <c r="W100" i="1"/>
  <c r="A101" i="1"/>
  <c r="BE101" i="1" s="1"/>
  <c r="K100" i="1"/>
  <c r="S100" i="1"/>
  <c r="AS100" i="1"/>
  <c r="AI100" i="1"/>
  <c r="Z100" i="1"/>
  <c r="E100" i="1"/>
  <c r="I100" i="1"/>
  <c r="AD100" i="1"/>
  <c r="Q100" i="1"/>
  <c r="C100" i="1"/>
  <c r="M100" i="1"/>
  <c r="U100" i="1"/>
  <c r="Y100" i="1"/>
  <c r="D100" i="1"/>
  <c r="R100" i="1"/>
  <c r="F100" i="1"/>
  <c r="V100" i="1"/>
  <c r="O100" i="1"/>
  <c r="AY100" i="1"/>
  <c r="G100" i="1"/>
  <c r="B100" i="1"/>
  <c r="A119" i="5" l="1"/>
  <c r="L118" i="5"/>
  <c r="D118" i="5"/>
  <c r="Q118" i="5"/>
  <c r="P118" i="5"/>
  <c r="E118" i="5"/>
  <c r="M118" i="5"/>
  <c r="B118" i="5"/>
  <c r="C118" i="5"/>
  <c r="AJ118" i="5"/>
  <c r="AM118" i="5" s="1"/>
  <c r="AV118" i="5"/>
  <c r="AY118" i="5" s="1"/>
  <c r="X118" i="5"/>
  <c r="AD118" i="5"/>
  <c r="AG118" i="5" s="1"/>
  <c r="BD118" i="5"/>
  <c r="BG118" i="5" s="1"/>
  <c r="AK118" i="5"/>
  <c r="BL118" i="5"/>
  <c r="BO118" i="5" s="1"/>
  <c r="H118" i="5"/>
  <c r="AP118" i="5"/>
  <c r="AS118" i="5" s="1"/>
  <c r="T118" i="5"/>
  <c r="AQ118" i="5"/>
  <c r="AE118" i="5"/>
  <c r="I118" i="5"/>
  <c r="U118" i="5"/>
  <c r="BM118" i="5"/>
  <c r="BP118" i="5" s="1"/>
  <c r="Y118" i="5"/>
  <c r="BE118" i="5"/>
  <c r="BH118" i="5" s="1"/>
  <c r="AW118" i="5"/>
  <c r="AZ118" i="5" s="1"/>
  <c r="Z109" i="4"/>
  <c r="Q109" i="4"/>
  <c r="T109" i="4"/>
  <c r="W109" i="4"/>
  <c r="AH109" i="4"/>
  <c r="AD109" i="4"/>
  <c r="A111" i="4"/>
  <c r="I110" i="4"/>
  <c r="C110" i="4"/>
  <c r="G110" i="4"/>
  <c r="B110" i="4"/>
  <c r="S110" i="4"/>
  <c r="E110" i="4"/>
  <c r="M110" i="4"/>
  <c r="AC110" i="4"/>
  <c r="V110" i="4"/>
  <c r="P110" i="4"/>
  <c r="Y110" i="4"/>
  <c r="AG110" i="4"/>
  <c r="K110" i="4"/>
  <c r="AP111" i="3"/>
  <c r="AO111" i="3"/>
  <c r="AK111" i="3"/>
  <c r="AJ111" i="3"/>
  <c r="AU111" i="3"/>
  <c r="AT111" i="3"/>
  <c r="Y111" i="3"/>
  <c r="X111" i="3"/>
  <c r="AC111" i="3"/>
  <c r="AB111" i="3"/>
  <c r="AG111" i="3"/>
  <c r="AF111" i="3"/>
  <c r="N112" i="3"/>
  <c r="C112" i="3"/>
  <c r="M112" i="3"/>
  <c r="B112" i="3"/>
  <c r="E112" i="3"/>
  <c r="A113" i="3"/>
  <c r="D112" i="3"/>
  <c r="K112" i="3"/>
  <c r="J112" i="3"/>
  <c r="H112" i="3"/>
  <c r="P112" i="3"/>
  <c r="S112" i="3"/>
  <c r="AS112" i="3"/>
  <c r="AI112" i="3"/>
  <c r="G112" i="3"/>
  <c r="AE112" i="3"/>
  <c r="AN112" i="3"/>
  <c r="Q112" i="3"/>
  <c r="AA112" i="3"/>
  <c r="W112" i="3"/>
  <c r="T112" i="3"/>
  <c r="BH101" i="1"/>
  <c r="BG101" i="1"/>
  <c r="BF101" i="1"/>
  <c r="BU126" i="2"/>
  <c r="BX126" i="2" s="1"/>
  <c r="CF126" i="2"/>
  <c r="CI126" i="2" s="1"/>
  <c r="A127" i="2"/>
  <c r="CS126" i="2"/>
  <c r="CV126" i="2" s="1"/>
  <c r="BT126" i="2"/>
  <c r="BW126" i="2" s="1"/>
  <c r="BB126" i="2"/>
  <c r="BE126" i="2" s="1"/>
  <c r="CR126" i="2"/>
  <c r="CU126" i="2" s="1"/>
  <c r="BK126" i="2"/>
  <c r="BN126" i="2" s="1"/>
  <c r="CG126" i="2"/>
  <c r="CJ126" i="2" s="1"/>
  <c r="BL126" i="2"/>
  <c r="BO126" i="2" s="1"/>
  <c r="BC126" i="2"/>
  <c r="BF126" i="2" s="1"/>
  <c r="Y125" i="2"/>
  <c r="G125" i="2"/>
  <c r="AK125" i="2"/>
  <c r="AJ125" i="2"/>
  <c r="S125" i="2"/>
  <c r="AE125" i="2"/>
  <c r="X125" i="2"/>
  <c r="R125" i="2"/>
  <c r="M125" i="2"/>
  <c r="L125" i="2"/>
  <c r="F125" i="2"/>
  <c r="AD125" i="2"/>
  <c r="AT125" i="2"/>
  <c r="AW125" i="2" s="1"/>
  <c r="AS125" i="2"/>
  <c r="AV125" i="2" s="1"/>
  <c r="BV124" i="2"/>
  <c r="CT124" i="2"/>
  <c r="CH124" i="2"/>
  <c r="BD124" i="2"/>
  <c r="AU124" i="2"/>
  <c r="BM124" i="2"/>
  <c r="D125" i="2"/>
  <c r="C125" i="2"/>
  <c r="B125" i="2"/>
  <c r="Q125" i="2"/>
  <c r="E125" i="2"/>
  <c r="W125" i="2"/>
  <c r="K125" i="2"/>
  <c r="CQ125" i="2"/>
  <c r="BJ125" i="2"/>
  <c r="BS125" i="2"/>
  <c r="CE125" i="2"/>
  <c r="BA125" i="2"/>
  <c r="AI125" i="2"/>
  <c r="AR125" i="2"/>
  <c r="AC125" i="2"/>
  <c r="AV100" i="1"/>
  <c r="AU100" i="1"/>
  <c r="AT100" i="1"/>
  <c r="AP100" i="1"/>
  <c r="AQ100" i="1"/>
  <c r="AO100" i="1"/>
  <c r="BA100" i="1"/>
  <c r="AZ100" i="1"/>
  <c r="BB100" i="1"/>
  <c r="AF100" i="1"/>
  <c r="AE100" i="1"/>
  <c r="AG100" i="1"/>
  <c r="AJ100" i="1"/>
  <c r="AL100" i="1"/>
  <c r="AK100" i="1"/>
  <c r="AS101" i="1"/>
  <c r="W101" i="1"/>
  <c r="C101" i="1"/>
  <c r="K101" i="1"/>
  <c r="O101" i="1"/>
  <c r="D101" i="1"/>
  <c r="S101" i="1"/>
  <c r="F101" i="1"/>
  <c r="E101" i="1"/>
  <c r="V101" i="1"/>
  <c r="Y101" i="1"/>
  <c r="AN101" i="1"/>
  <c r="R101" i="1"/>
  <c r="AA101" i="1"/>
  <c r="J101" i="1"/>
  <c r="A102" i="1"/>
  <c r="BE102" i="1" s="1"/>
  <c r="AI101" i="1"/>
  <c r="B101" i="1"/>
  <c r="I101" i="1"/>
  <c r="G101" i="1"/>
  <c r="Z101" i="1"/>
  <c r="M101" i="1"/>
  <c r="AY101" i="1"/>
  <c r="AD101" i="1"/>
  <c r="Q101" i="1"/>
  <c r="N101" i="1"/>
  <c r="U101" i="1"/>
  <c r="M119" i="5" l="1"/>
  <c r="E119" i="5"/>
  <c r="L119" i="5"/>
  <c r="C119" i="5"/>
  <c r="B119" i="5"/>
  <c r="A120" i="5"/>
  <c r="Q119" i="5"/>
  <c r="D119" i="5"/>
  <c r="P119" i="5"/>
  <c r="BD119" i="5"/>
  <c r="BG119" i="5" s="1"/>
  <c r="X119" i="5"/>
  <c r="AD119" i="5"/>
  <c r="AG119" i="5" s="1"/>
  <c r="AE119" i="5"/>
  <c r="AK119" i="5"/>
  <c r="AV119" i="5"/>
  <c r="AY119" i="5" s="1"/>
  <c r="AJ119" i="5"/>
  <c r="AM119" i="5" s="1"/>
  <c r="H119" i="5"/>
  <c r="BL119" i="5"/>
  <c r="BO119" i="5" s="1"/>
  <c r="T119" i="5"/>
  <c r="AP119" i="5"/>
  <c r="AS119" i="5" s="1"/>
  <c r="I119" i="5"/>
  <c r="U119" i="5"/>
  <c r="AQ119" i="5"/>
  <c r="BM119" i="5"/>
  <c r="BP119" i="5" s="1"/>
  <c r="BE119" i="5"/>
  <c r="BH119" i="5" s="1"/>
  <c r="Y119" i="5"/>
  <c r="AW119" i="5"/>
  <c r="AZ119" i="5" s="1"/>
  <c r="T110" i="4"/>
  <c r="AH110" i="4"/>
  <c r="Q110" i="4"/>
  <c r="W110" i="4"/>
  <c r="AD110" i="4"/>
  <c r="Z110" i="4"/>
  <c r="G111" i="4"/>
  <c r="C111" i="4"/>
  <c r="A112" i="4"/>
  <c r="B111" i="4"/>
  <c r="I111" i="4"/>
  <c r="S111" i="4"/>
  <c r="AG111" i="4"/>
  <c r="K111" i="4"/>
  <c r="V111" i="4"/>
  <c r="P111" i="4"/>
  <c r="Y111" i="4"/>
  <c r="E111" i="4"/>
  <c r="M111" i="4"/>
  <c r="AC111" i="4"/>
  <c r="AK112" i="3"/>
  <c r="AJ112" i="3"/>
  <c r="AU112" i="3"/>
  <c r="AT112" i="3"/>
  <c r="AG112" i="3"/>
  <c r="AF112" i="3"/>
  <c r="A114" i="3"/>
  <c r="J113" i="3"/>
  <c r="D113" i="3"/>
  <c r="N113" i="3"/>
  <c r="M113" i="3"/>
  <c r="E113" i="3"/>
  <c r="K113" i="3"/>
  <c r="C113" i="3"/>
  <c r="B113" i="3"/>
  <c r="AS113" i="3"/>
  <c r="G113" i="3"/>
  <c r="Q113" i="3"/>
  <c r="AA113" i="3"/>
  <c r="P113" i="3"/>
  <c r="AE113" i="3"/>
  <c r="S113" i="3"/>
  <c r="AI113" i="3"/>
  <c r="H113" i="3"/>
  <c r="AN113" i="3"/>
  <c r="W113" i="3"/>
  <c r="T113" i="3"/>
  <c r="Y112" i="3"/>
  <c r="X112" i="3"/>
  <c r="AP112" i="3"/>
  <c r="AO112" i="3"/>
  <c r="AC112" i="3"/>
  <c r="AB112" i="3"/>
  <c r="BF102" i="1"/>
  <c r="BH102" i="1"/>
  <c r="BG102" i="1"/>
  <c r="CR127" i="2"/>
  <c r="CU127" i="2" s="1"/>
  <c r="CS127" i="2"/>
  <c r="CV127" i="2" s="1"/>
  <c r="CF127" i="2"/>
  <c r="CI127" i="2" s="1"/>
  <c r="BU127" i="2"/>
  <c r="BX127" i="2" s="1"/>
  <c r="BT127" i="2"/>
  <c r="BW127" i="2" s="1"/>
  <c r="CG127" i="2"/>
  <c r="CJ127" i="2" s="1"/>
  <c r="A128" i="2"/>
  <c r="BL127" i="2"/>
  <c r="BO127" i="2" s="1"/>
  <c r="BB127" i="2"/>
  <c r="BE127" i="2" s="1"/>
  <c r="BK127" i="2"/>
  <c r="BN127" i="2" s="1"/>
  <c r="BC127" i="2"/>
  <c r="BF127" i="2" s="1"/>
  <c r="AJ126" i="2"/>
  <c r="AE126" i="2"/>
  <c r="S126" i="2"/>
  <c r="M126" i="2"/>
  <c r="AD126" i="2"/>
  <c r="Y126" i="2"/>
  <c r="R126" i="2"/>
  <c r="X126" i="2"/>
  <c r="L126" i="2"/>
  <c r="AK126" i="2"/>
  <c r="G126" i="2"/>
  <c r="F126" i="2"/>
  <c r="AT126" i="2"/>
  <c r="AW126" i="2" s="1"/>
  <c r="AS126" i="2"/>
  <c r="AV126" i="2" s="1"/>
  <c r="BD125" i="2"/>
  <c r="CH125" i="2"/>
  <c r="W126" i="2"/>
  <c r="E126" i="2"/>
  <c r="B126" i="2"/>
  <c r="Q126" i="2"/>
  <c r="D126" i="2"/>
  <c r="C126" i="2"/>
  <c r="AC126" i="2"/>
  <c r="BA126" i="2"/>
  <c r="K126" i="2"/>
  <c r="AR126" i="2"/>
  <c r="CE126" i="2"/>
  <c r="AI126" i="2"/>
  <c r="BS126" i="2"/>
  <c r="CQ126" i="2"/>
  <c r="BJ126" i="2"/>
  <c r="BV125" i="2"/>
  <c r="AU125" i="2"/>
  <c r="BM125" i="2"/>
  <c r="CT125" i="2"/>
  <c r="AJ101" i="1"/>
  <c r="AL101" i="1"/>
  <c r="AK101" i="1"/>
  <c r="AV101" i="1"/>
  <c r="AU101" i="1"/>
  <c r="AT101" i="1"/>
  <c r="AG101" i="1"/>
  <c r="AF101" i="1"/>
  <c r="AE101" i="1"/>
  <c r="J102" i="1"/>
  <c r="N102" i="1"/>
  <c r="AS102" i="1"/>
  <c r="C102" i="1"/>
  <c r="Z102" i="1"/>
  <c r="E102" i="1"/>
  <c r="I102" i="1"/>
  <c r="AI102" i="1"/>
  <c r="V102" i="1"/>
  <c r="R102" i="1"/>
  <c r="AY102" i="1"/>
  <c r="U102" i="1"/>
  <c r="Y102" i="1"/>
  <c r="D102" i="1"/>
  <c r="W102" i="1"/>
  <c r="K102" i="1"/>
  <c r="Q102" i="1"/>
  <c r="G102" i="1"/>
  <c r="O102" i="1"/>
  <c r="S102" i="1"/>
  <c r="M102" i="1"/>
  <c r="AD102" i="1"/>
  <c r="AN102" i="1"/>
  <c r="A103" i="1"/>
  <c r="BE103" i="1" s="1"/>
  <c r="B102" i="1"/>
  <c r="F102" i="1"/>
  <c r="AA102" i="1"/>
  <c r="AO101" i="1"/>
  <c r="AQ101" i="1"/>
  <c r="AP101" i="1"/>
  <c r="BA101" i="1"/>
  <c r="AZ101" i="1"/>
  <c r="BB101" i="1"/>
  <c r="Q120" i="5" l="1"/>
  <c r="C120" i="5"/>
  <c r="P120" i="5"/>
  <c r="B120" i="5"/>
  <c r="E120" i="5"/>
  <c r="L120" i="5"/>
  <c r="A121" i="5"/>
  <c r="M120" i="5"/>
  <c r="D120" i="5"/>
  <c r="X120" i="5"/>
  <c r="AE120" i="5"/>
  <c r="AV120" i="5"/>
  <c r="AY120" i="5" s="1"/>
  <c r="BD120" i="5"/>
  <c r="BG120" i="5" s="1"/>
  <c r="AK120" i="5"/>
  <c r="AD120" i="5"/>
  <c r="AG120" i="5" s="1"/>
  <c r="AJ120" i="5"/>
  <c r="AM120" i="5" s="1"/>
  <c r="I120" i="5"/>
  <c r="BL120" i="5"/>
  <c r="BO120" i="5" s="1"/>
  <c r="AP120" i="5"/>
  <c r="AS120" i="5" s="1"/>
  <c r="AQ120" i="5"/>
  <c r="H120" i="5"/>
  <c r="T120" i="5"/>
  <c r="U120" i="5"/>
  <c r="BE120" i="5"/>
  <c r="BH120" i="5" s="1"/>
  <c r="AW120" i="5"/>
  <c r="AZ120" i="5" s="1"/>
  <c r="BM120" i="5"/>
  <c r="BP120" i="5" s="1"/>
  <c r="Y120" i="5"/>
  <c r="Z111" i="4"/>
  <c r="AH111" i="4"/>
  <c r="T111" i="4"/>
  <c r="AD111" i="4"/>
  <c r="G112" i="4"/>
  <c r="B112" i="4"/>
  <c r="A113" i="4"/>
  <c r="I112" i="4"/>
  <c r="C112" i="4"/>
  <c r="M112" i="4"/>
  <c r="P112" i="4"/>
  <c r="AC112" i="4"/>
  <c r="V112" i="4"/>
  <c r="K112" i="4"/>
  <c r="E112" i="4"/>
  <c r="Y112" i="4"/>
  <c r="S112" i="4"/>
  <c r="AG112" i="4"/>
  <c r="Q111" i="4"/>
  <c r="W111" i="4"/>
  <c r="Y113" i="3"/>
  <c r="X113" i="3"/>
  <c r="AG113" i="3"/>
  <c r="AF113" i="3"/>
  <c r="AU113" i="3"/>
  <c r="AT113" i="3"/>
  <c r="AP113" i="3"/>
  <c r="AO113" i="3"/>
  <c r="K114" i="3"/>
  <c r="E114" i="3"/>
  <c r="N114" i="3"/>
  <c r="D114" i="3"/>
  <c r="M114" i="3"/>
  <c r="A115" i="3"/>
  <c r="J114" i="3"/>
  <c r="C114" i="3"/>
  <c r="B114" i="3"/>
  <c r="AS114" i="3"/>
  <c r="P114" i="3"/>
  <c r="T114" i="3"/>
  <c r="H114" i="3"/>
  <c r="G114" i="3"/>
  <c r="AN114" i="3"/>
  <c r="W114" i="3"/>
  <c r="AI114" i="3"/>
  <c r="Q114" i="3"/>
  <c r="AE114" i="3"/>
  <c r="AA114" i="3"/>
  <c r="S114" i="3"/>
  <c r="AK113" i="3"/>
  <c r="AJ113" i="3"/>
  <c r="AC113" i="3"/>
  <c r="AB113" i="3"/>
  <c r="BG103" i="1"/>
  <c r="BF103" i="1"/>
  <c r="BH103" i="1"/>
  <c r="A129" i="2"/>
  <c r="CS128" i="2"/>
  <c r="CV128" i="2" s="1"/>
  <c r="CR128" i="2"/>
  <c r="CU128" i="2" s="1"/>
  <c r="CG128" i="2"/>
  <c r="CJ128" i="2" s="1"/>
  <c r="BU128" i="2"/>
  <c r="BX128" i="2" s="1"/>
  <c r="CF128" i="2"/>
  <c r="CI128" i="2" s="1"/>
  <c r="BK128" i="2"/>
  <c r="BN128" i="2" s="1"/>
  <c r="BT128" i="2"/>
  <c r="BW128" i="2" s="1"/>
  <c r="BC128" i="2"/>
  <c r="BF128" i="2" s="1"/>
  <c r="BL128" i="2"/>
  <c r="BO128" i="2" s="1"/>
  <c r="BB128" i="2"/>
  <c r="BE128" i="2" s="1"/>
  <c r="AJ127" i="2"/>
  <c r="Y127" i="2"/>
  <c r="AK127" i="2"/>
  <c r="AE127" i="2"/>
  <c r="X127" i="2"/>
  <c r="R127" i="2"/>
  <c r="M127" i="2"/>
  <c r="G127" i="2"/>
  <c r="AD127" i="2"/>
  <c r="L127" i="2"/>
  <c r="F127" i="2"/>
  <c r="S127" i="2"/>
  <c r="AT127" i="2"/>
  <c r="AW127" i="2" s="1"/>
  <c r="AS127" i="2"/>
  <c r="AV127" i="2" s="1"/>
  <c r="CT126" i="2"/>
  <c r="BD126" i="2"/>
  <c r="W127" i="2"/>
  <c r="E127" i="2"/>
  <c r="D127" i="2"/>
  <c r="B127" i="2"/>
  <c r="C127" i="2"/>
  <c r="Q127" i="2"/>
  <c r="BA127" i="2"/>
  <c r="BJ127" i="2"/>
  <c r="BS127" i="2"/>
  <c r="AR127" i="2"/>
  <c r="AI127" i="2"/>
  <c r="K127" i="2"/>
  <c r="CQ127" i="2"/>
  <c r="AC127" i="2"/>
  <c r="CE127" i="2"/>
  <c r="CH126" i="2"/>
  <c r="BV126" i="2"/>
  <c r="AU126" i="2"/>
  <c r="BM126" i="2"/>
  <c r="BA102" i="1"/>
  <c r="AZ102" i="1"/>
  <c r="BB102" i="1"/>
  <c r="AU102" i="1"/>
  <c r="AT102" i="1"/>
  <c r="AV102" i="1"/>
  <c r="AG102" i="1"/>
  <c r="AF102" i="1"/>
  <c r="AE102" i="1"/>
  <c r="AO102" i="1"/>
  <c r="AP102" i="1"/>
  <c r="AQ102" i="1"/>
  <c r="AN103" i="1"/>
  <c r="R103" i="1"/>
  <c r="AA103" i="1"/>
  <c r="F103" i="1"/>
  <c r="S103" i="1"/>
  <c r="Y103" i="1"/>
  <c r="G103" i="1"/>
  <c r="U103" i="1"/>
  <c r="O103" i="1"/>
  <c r="AS103" i="1"/>
  <c r="C103" i="1"/>
  <c r="J103" i="1"/>
  <c r="N103" i="1"/>
  <c r="A104" i="1"/>
  <c r="BE104" i="1" s="1"/>
  <c r="AI103" i="1"/>
  <c r="M103" i="1"/>
  <c r="V103" i="1"/>
  <c r="B103" i="1"/>
  <c r="I103" i="1"/>
  <c r="D103" i="1"/>
  <c r="AY103" i="1"/>
  <c r="AD103" i="1"/>
  <c r="Q103" i="1"/>
  <c r="Z103" i="1"/>
  <c r="W103" i="1"/>
  <c r="K103" i="1"/>
  <c r="E103" i="1"/>
  <c r="AL102" i="1"/>
  <c r="AJ102" i="1"/>
  <c r="AK102" i="1"/>
  <c r="P121" i="5" l="1"/>
  <c r="B121" i="5"/>
  <c r="E121" i="5"/>
  <c r="M121" i="5"/>
  <c r="D121" i="5"/>
  <c r="A122" i="5"/>
  <c r="Q121" i="5"/>
  <c r="C121" i="5"/>
  <c r="L121" i="5"/>
  <c r="AE121" i="5"/>
  <c r="BL121" i="5"/>
  <c r="BO121" i="5" s="1"/>
  <c r="X121" i="5"/>
  <c r="AD121" i="5"/>
  <c r="AG121" i="5" s="1"/>
  <c r="AK121" i="5"/>
  <c r="AV121" i="5"/>
  <c r="AY121" i="5" s="1"/>
  <c r="BD121" i="5"/>
  <c r="BG121" i="5" s="1"/>
  <c r="AJ121" i="5"/>
  <c r="AM121" i="5" s="1"/>
  <c r="U121" i="5"/>
  <c r="H121" i="5"/>
  <c r="I121" i="5"/>
  <c r="T121" i="5"/>
  <c r="AP121" i="5"/>
  <c r="AS121" i="5" s="1"/>
  <c r="AQ121" i="5"/>
  <c r="BE121" i="5"/>
  <c r="BH121" i="5" s="1"/>
  <c r="Y121" i="5"/>
  <c r="AW121" i="5"/>
  <c r="AZ121" i="5" s="1"/>
  <c r="BM121" i="5"/>
  <c r="BP121" i="5" s="1"/>
  <c r="T112" i="4"/>
  <c r="AH112" i="4"/>
  <c r="W112" i="4"/>
  <c r="G113" i="4"/>
  <c r="B113" i="4"/>
  <c r="C113" i="4"/>
  <c r="A114" i="4"/>
  <c r="I113" i="4"/>
  <c r="S113" i="4"/>
  <c r="AG113" i="4"/>
  <c r="K113" i="4"/>
  <c r="Y113" i="4"/>
  <c r="M113" i="4"/>
  <c r="AC113" i="4"/>
  <c r="P113" i="4"/>
  <c r="E113" i="4"/>
  <c r="V113" i="4"/>
  <c r="AD112" i="4"/>
  <c r="Z112" i="4"/>
  <c r="Q112" i="4"/>
  <c r="AK114" i="3"/>
  <c r="AJ114" i="3"/>
  <c r="Y114" i="3"/>
  <c r="X114" i="3"/>
  <c r="AP114" i="3"/>
  <c r="AO114" i="3"/>
  <c r="N115" i="3"/>
  <c r="C115" i="3"/>
  <c r="M115" i="3"/>
  <c r="B115" i="3"/>
  <c r="A116" i="3"/>
  <c r="D115" i="3"/>
  <c r="K115" i="3"/>
  <c r="E115" i="3"/>
  <c r="J115" i="3"/>
  <c r="G115" i="3"/>
  <c r="P115" i="3"/>
  <c r="AE115" i="3"/>
  <c r="AS115" i="3"/>
  <c r="Q115" i="3"/>
  <c r="T115" i="3"/>
  <c r="S115" i="3"/>
  <c r="AI115" i="3"/>
  <c r="H115" i="3"/>
  <c r="AA115" i="3"/>
  <c r="AN115" i="3"/>
  <c r="W115" i="3"/>
  <c r="AC114" i="3"/>
  <c r="AB114" i="3"/>
  <c r="AU114" i="3"/>
  <c r="AT114" i="3"/>
  <c r="AG114" i="3"/>
  <c r="AF114" i="3"/>
  <c r="BH104" i="1"/>
  <c r="BF104" i="1"/>
  <c r="BG104" i="1"/>
  <c r="A130" i="2"/>
  <c r="CR129" i="2"/>
  <c r="CU129" i="2" s="1"/>
  <c r="CS129" i="2"/>
  <c r="CV129" i="2" s="1"/>
  <c r="CF129" i="2"/>
  <c r="CI129" i="2" s="1"/>
  <c r="BK129" i="2"/>
  <c r="BN129" i="2" s="1"/>
  <c r="CG129" i="2"/>
  <c r="CJ129" i="2" s="1"/>
  <c r="BT129" i="2"/>
  <c r="BW129" i="2" s="1"/>
  <c r="BU129" i="2"/>
  <c r="BX129" i="2" s="1"/>
  <c r="BB129" i="2"/>
  <c r="BE129" i="2" s="1"/>
  <c r="BL129" i="2"/>
  <c r="BO129" i="2" s="1"/>
  <c r="BC129" i="2"/>
  <c r="BF129" i="2" s="1"/>
  <c r="AJ128" i="2"/>
  <c r="AD128" i="2"/>
  <c r="AE128" i="2"/>
  <c r="Y128" i="2"/>
  <c r="L128" i="2"/>
  <c r="G128" i="2"/>
  <c r="AK128" i="2"/>
  <c r="M128" i="2"/>
  <c r="F128" i="2"/>
  <c r="S128" i="2"/>
  <c r="X128" i="2"/>
  <c r="R128" i="2"/>
  <c r="AS128" i="2"/>
  <c r="AV128" i="2" s="1"/>
  <c r="AT128" i="2"/>
  <c r="AW128" i="2" s="1"/>
  <c r="CT127" i="2"/>
  <c r="BM127" i="2"/>
  <c r="AU127" i="2"/>
  <c r="B128" i="2"/>
  <c r="W128" i="2"/>
  <c r="E128" i="2"/>
  <c r="D128" i="2"/>
  <c r="Q128" i="2"/>
  <c r="C128" i="2"/>
  <c r="CQ128" i="2"/>
  <c r="AI128" i="2"/>
  <c r="BA128" i="2"/>
  <c r="AR128" i="2"/>
  <c r="AC128" i="2"/>
  <c r="CE128" i="2"/>
  <c r="K128" i="2"/>
  <c r="BS128" i="2"/>
  <c r="BJ128" i="2"/>
  <c r="BD127" i="2"/>
  <c r="CH127" i="2"/>
  <c r="BV127" i="2"/>
  <c r="AL103" i="1"/>
  <c r="AK103" i="1"/>
  <c r="AJ103" i="1"/>
  <c r="AE103" i="1"/>
  <c r="AF103" i="1"/>
  <c r="AG103" i="1"/>
  <c r="Z104" i="1"/>
  <c r="E104" i="1"/>
  <c r="I104" i="1"/>
  <c r="AD104" i="1"/>
  <c r="Q104" i="1"/>
  <c r="M104" i="1"/>
  <c r="B104" i="1"/>
  <c r="U104" i="1"/>
  <c r="Y104" i="1"/>
  <c r="D104" i="1"/>
  <c r="R104" i="1"/>
  <c r="F104" i="1"/>
  <c r="K104" i="1"/>
  <c r="W104" i="1"/>
  <c r="J104" i="1"/>
  <c r="AI104" i="1"/>
  <c r="C104" i="1"/>
  <c r="O104" i="1"/>
  <c r="S104" i="1"/>
  <c r="AY104" i="1"/>
  <c r="G104" i="1"/>
  <c r="A105" i="1"/>
  <c r="BE105" i="1" s="1"/>
  <c r="AS104" i="1"/>
  <c r="V104" i="1"/>
  <c r="N104" i="1"/>
  <c r="AN104" i="1"/>
  <c r="AA104" i="1"/>
  <c r="AU103" i="1"/>
  <c r="AT103" i="1"/>
  <c r="AV103" i="1"/>
  <c r="BB103" i="1"/>
  <c r="BA103" i="1"/>
  <c r="AZ103" i="1"/>
  <c r="AO103" i="1"/>
  <c r="AQ103" i="1"/>
  <c r="AP103" i="1"/>
  <c r="E122" i="5" l="1"/>
  <c r="M122" i="5"/>
  <c r="D122" i="5"/>
  <c r="L122" i="5"/>
  <c r="A123" i="5"/>
  <c r="Q122" i="5"/>
  <c r="C122" i="5"/>
  <c r="B122" i="5"/>
  <c r="P122" i="5"/>
  <c r="BD122" i="5"/>
  <c r="BG122" i="5" s="1"/>
  <c r="AJ122" i="5"/>
  <c r="AM122" i="5" s="1"/>
  <c r="AK122" i="5"/>
  <c r="AD122" i="5"/>
  <c r="AG122" i="5" s="1"/>
  <c r="AV122" i="5"/>
  <c r="AY122" i="5" s="1"/>
  <c r="I122" i="5"/>
  <c r="AE122" i="5"/>
  <c r="H122" i="5"/>
  <c r="U122" i="5"/>
  <c r="AP122" i="5"/>
  <c r="AS122" i="5" s="1"/>
  <c r="AQ122" i="5"/>
  <c r="X122" i="5"/>
  <c r="BL122" i="5"/>
  <c r="BO122" i="5" s="1"/>
  <c r="T122" i="5"/>
  <c r="BE122" i="5"/>
  <c r="BH122" i="5" s="1"/>
  <c r="BM122" i="5"/>
  <c r="BP122" i="5" s="1"/>
  <c r="AW122" i="5"/>
  <c r="AZ122" i="5" s="1"/>
  <c r="Y122" i="5"/>
  <c r="Q113" i="4"/>
  <c r="AH113" i="4"/>
  <c r="T113" i="4"/>
  <c r="W113" i="4"/>
  <c r="AD113" i="4"/>
  <c r="G114" i="4"/>
  <c r="B114" i="4"/>
  <c r="C114" i="4"/>
  <c r="A115" i="4"/>
  <c r="I114" i="4"/>
  <c r="K114" i="4"/>
  <c r="AG114" i="4"/>
  <c r="E114" i="4"/>
  <c r="AC114" i="4"/>
  <c r="S114" i="4"/>
  <c r="P114" i="4"/>
  <c r="V114" i="4"/>
  <c r="M114" i="4"/>
  <c r="Y114" i="4"/>
  <c r="Z113" i="4"/>
  <c r="AC115" i="3"/>
  <c r="AB115" i="3"/>
  <c r="AP115" i="3"/>
  <c r="AO115" i="3"/>
  <c r="AU115" i="3"/>
  <c r="AT115" i="3"/>
  <c r="A117" i="3"/>
  <c r="J116" i="3"/>
  <c r="D116" i="3"/>
  <c r="E116" i="3"/>
  <c r="N116" i="3"/>
  <c r="M116" i="3"/>
  <c r="C116" i="3"/>
  <c r="B116" i="3"/>
  <c r="K116" i="3"/>
  <c r="T116" i="3"/>
  <c r="P116" i="3"/>
  <c r="Q116" i="3"/>
  <c r="AS116" i="3"/>
  <c r="S116" i="3"/>
  <c r="AE116" i="3"/>
  <c r="AN116" i="3"/>
  <c r="G116" i="3"/>
  <c r="W116" i="3"/>
  <c r="AA116" i="3"/>
  <c r="AI116" i="3"/>
  <c r="H116" i="3"/>
  <c r="Y115" i="3"/>
  <c r="X115" i="3"/>
  <c r="AK115" i="3"/>
  <c r="AJ115" i="3"/>
  <c r="AG115" i="3"/>
  <c r="AF115" i="3"/>
  <c r="BF105" i="1"/>
  <c r="BH105" i="1"/>
  <c r="BG105" i="1"/>
  <c r="CS130" i="2"/>
  <c r="CV130" i="2" s="1"/>
  <c r="BU130" i="2"/>
  <c r="BX130" i="2" s="1"/>
  <c r="CG130" i="2"/>
  <c r="CJ130" i="2" s="1"/>
  <c r="CF130" i="2"/>
  <c r="CI130" i="2" s="1"/>
  <c r="A131" i="2"/>
  <c r="BK130" i="2"/>
  <c r="BN130" i="2" s="1"/>
  <c r="BB130" i="2"/>
  <c r="BE130" i="2" s="1"/>
  <c r="CR130" i="2"/>
  <c r="CU130" i="2" s="1"/>
  <c r="BT130" i="2"/>
  <c r="BW130" i="2" s="1"/>
  <c r="BL130" i="2"/>
  <c r="BO130" i="2" s="1"/>
  <c r="BC130" i="2"/>
  <c r="BF130" i="2" s="1"/>
  <c r="AD129" i="2"/>
  <c r="G129" i="2"/>
  <c r="AJ129" i="2"/>
  <c r="L129" i="2"/>
  <c r="F129" i="2"/>
  <c r="AK129" i="2"/>
  <c r="S129" i="2"/>
  <c r="Y129" i="2"/>
  <c r="R129" i="2"/>
  <c r="X129" i="2"/>
  <c r="AE129" i="2"/>
  <c r="M129" i="2"/>
  <c r="AS129" i="2"/>
  <c r="AV129" i="2" s="1"/>
  <c r="AT129" i="2"/>
  <c r="AW129" i="2" s="1"/>
  <c r="BM128" i="2"/>
  <c r="BV128" i="2"/>
  <c r="AU128" i="2"/>
  <c r="BD128" i="2"/>
  <c r="CT128" i="2"/>
  <c r="CH128" i="2"/>
  <c r="D129" i="2"/>
  <c r="W129" i="2"/>
  <c r="E129" i="2"/>
  <c r="C129" i="2"/>
  <c r="B129" i="2"/>
  <c r="Q129" i="2"/>
  <c r="BJ129" i="2"/>
  <c r="BA129" i="2"/>
  <c r="K129" i="2"/>
  <c r="BS129" i="2"/>
  <c r="AR129" i="2"/>
  <c r="AI129" i="2"/>
  <c r="AC129" i="2"/>
  <c r="CE129" i="2"/>
  <c r="CQ129" i="2"/>
  <c r="AP104" i="1"/>
  <c r="AO104" i="1"/>
  <c r="AQ104" i="1"/>
  <c r="AS105" i="1"/>
  <c r="W105" i="1"/>
  <c r="C105" i="1"/>
  <c r="K105" i="1"/>
  <c r="O105" i="1"/>
  <c r="D105" i="1"/>
  <c r="I105" i="1"/>
  <c r="AD105" i="1"/>
  <c r="Q105" i="1"/>
  <c r="J105" i="1"/>
  <c r="AN105" i="1"/>
  <c r="R105" i="1"/>
  <c r="AA105" i="1"/>
  <c r="F105" i="1"/>
  <c r="E105" i="1"/>
  <c r="U105" i="1"/>
  <c r="G105" i="1"/>
  <c r="N105" i="1"/>
  <c r="A106" i="1"/>
  <c r="BE106" i="1" s="1"/>
  <c r="AI105" i="1"/>
  <c r="M105" i="1"/>
  <c r="V105" i="1"/>
  <c r="B105" i="1"/>
  <c r="Y105" i="1"/>
  <c r="S105" i="1"/>
  <c r="AY105" i="1"/>
  <c r="Z105" i="1"/>
  <c r="BA104" i="1"/>
  <c r="BB104" i="1"/>
  <c r="AZ104" i="1"/>
  <c r="AK104" i="1"/>
  <c r="AL104" i="1"/>
  <c r="AJ104" i="1"/>
  <c r="AG104" i="1"/>
  <c r="AE104" i="1"/>
  <c r="AF104" i="1"/>
  <c r="AT104" i="1"/>
  <c r="AV104" i="1"/>
  <c r="AU104" i="1"/>
  <c r="M123" i="5" l="1"/>
  <c r="E123" i="5"/>
  <c r="D123" i="5"/>
  <c r="L123" i="5"/>
  <c r="A124" i="5"/>
  <c r="P123" i="5"/>
  <c r="B123" i="5"/>
  <c r="C123" i="5"/>
  <c r="Q123" i="5"/>
  <c r="AD123" i="5"/>
  <c r="AG123" i="5" s="1"/>
  <c r="AK123" i="5"/>
  <c r="X123" i="5"/>
  <c r="AE123" i="5"/>
  <c r="AJ123" i="5"/>
  <c r="AM123" i="5" s="1"/>
  <c r="AV123" i="5"/>
  <c r="AY123" i="5" s="1"/>
  <c r="BL123" i="5"/>
  <c r="BO123" i="5" s="1"/>
  <c r="BD123" i="5"/>
  <c r="BG123" i="5" s="1"/>
  <c r="AP123" i="5"/>
  <c r="AS123" i="5" s="1"/>
  <c r="T123" i="5"/>
  <c r="AQ123" i="5"/>
  <c r="U123" i="5"/>
  <c r="H123" i="5"/>
  <c r="I123" i="5"/>
  <c r="Y123" i="5"/>
  <c r="BE123" i="5"/>
  <c r="BH123" i="5" s="1"/>
  <c r="AW123" i="5"/>
  <c r="AZ123" i="5" s="1"/>
  <c r="BM123" i="5"/>
  <c r="BP123" i="5" s="1"/>
  <c r="Z114" i="4"/>
  <c r="T114" i="4"/>
  <c r="G115" i="4"/>
  <c r="B115" i="4"/>
  <c r="A116" i="4"/>
  <c r="I115" i="4"/>
  <c r="C115" i="4"/>
  <c r="K115" i="4"/>
  <c r="S115" i="4"/>
  <c r="AG115" i="4"/>
  <c r="Y115" i="4"/>
  <c r="V115" i="4"/>
  <c r="M115" i="4"/>
  <c r="E115" i="4"/>
  <c r="AC115" i="4"/>
  <c r="P115" i="4"/>
  <c r="AD114" i="4"/>
  <c r="Q114" i="4"/>
  <c r="W114" i="4"/>
  <c r="AH114" i="4"/>
  <c r="AP116" i="3"/>
  <c r="AO116" i="3"/>
  <c r="AK116" i="3"/>
  <c r="AJ116" i="3"/>
  <c r="AG116" i="3"/>
  <c r="AF116" i="3"/>
  <c r="AC116" i="3"/>
  <c r="AB116" i="3"/>
  <c r="AU116" i="3"/>
  <c r="AT116" i="3"/>
  <c r="K117" i="3"/>
  <c r="E117" i="3"/>
  <c r="N117" i="3"/>
  <c r="C117" i="3"/>
  <c r="M117" i="3"/>
  <c r="B117" i="3"/>
  <c r="D117" i="3"/>
  <c r="A118" i="3"/>
  <c r="J117" i="3"/>
  <c r="T117" i="3"/>
  <c r="AN117" i="3"/>
  <c r="G117" i="3"/>
  <c r="P117" i="3"/>
  <c r="W117" i="3"/>
  <c r="AS117" i="3"/>
  <c r="Q117" i="3"/>
  <c r="S117" i="3"/>
  <c r="AE117" i="3"/>
  <c r="AA117" i="3"/>
  <c r="AI117" i="3"/>
  <c r="H117" i="3"/>
  <c r="Y116" i="3"/>
  <c r="X116" i="3"/>
  <c r="BG106" i="1"/>
  <c r="BF106" i="1"/>
  <c r="BH106" i="1"/>
  <c r="CR131" i="2"/>
  <c r="CU131" i="2" s="1"/>
  <c r="CG131" i="2"/>
  <c r="CJ131" i="2" s="1"/>
  <c r="CF131" i="2"/>
  <c r="CI131" i="2" s="1"/>
  <c r="CS131" i="2"/>
  <c r="CV131" i="2" s="1"/>
  <c r="A132" i="2"/>
  <c r="BC131" i="2"/>
  <c r="BF131" i="2" s="1"/>
  <c r="BL131" i="2"/>
  <c r="BO131" i="2" s="1"/>
  <c r="BU131" i="2"/>
  <c r="BX131" i="2" s="1"/>
  <c r="BT131" i="2"/>
  <c r="BW131" i="2" s="1"/>
  <c r="BK131" i="2"/>
  <c r="BN131" i="2" s="1"/>
  <c r="BB131" i="2"/>
  <c r="BE131" i="2" s="1"/>
  <c r="AK130" i="2"/>
  <c r="AD130" i="2"/>
  <c r="Y130" i="2"/>
  <c r="S130" i="2"/>
  <c r="M130" i="2"/>
  <c r="R130" i="2"/>
  <c r="AJ130" i="2"/>
  <c r="X130" i="2"/>
  <c r="G130" i="2"/>
  <c r="F130" i="2"/>
  <c r="AE130" i="2"/>
  <c r="L130" i="2"/>
  <c r="AT130" i="2"/>
  <c r="AW130" i="2" s="1"/>
  <c r="AS130" i="2"/>
  <c r="AV130" i="2" s="1"/>
  <c r="CT129" i="2"/>
  <c r="W130" i="2"/>
  <c r="D130" i="2"/>
  <c r="E130" i="2"/>
  <c r="C130" i="2"/>
  <c r="B130" i="2"/>
  <c r="Q130" i="2"/>
  <c r="BJ130" i="2"/>
  <c r="AR130" i="2"/>
  <c r="CE130" i="2"/>
  <c r="AI130" i="2"/>
  <c r="BA130" i="2"/>
  <c r="CQ130" i="2"/>
  <c r="AC130" i="2"/>
  <c r="BS130" i="2"/>
  <c r="K130" i="2"/>
  <c r="BV129" i="2"/>
  <c r="AU129" i="2"/>
  <c r="BM129" i="2"/>
  <c r="CH129" i="2"/>
  <c r="BD129" i="2"/>
  <c r="AU105" i="1"/>
  <c r="AV105" i="1"/>
  <c r="AT105" i="1"/>
  <c r="AJ105" i="1"/>
  <c r="AL105" i="1"/>
  <c r="AK105" i="1"/>
  <c r="AG105" i="1"/>
  <c r="AE105" i="1"/>
  <c r="AF105" i="1"/>
  <c r="J106" i="1"/>
  <c r="N106" i="1"/>
  <c r="AS106" i="1"/>
  <c r="C106" i="1"/>
  <c r="AY106" i="1"/>
  <c r="F106" i="1"/>
  <c r="E106" i="1"/>
  <c r="I106" i="1"/>
  <c r="AI106" i="1"/>
  <c r="AD106" i="1"/>
  <c r="R106" i="1"/>
  <c r="U106" i="1"/>
  <c r="Y106" i="1"/>
  <c r="W106" i="1"/>
  <c r="K106" i="1"/>
  <c r="Z106" i="1"/>
  <c r="V106" i="1"/>
  <c r="D106" i="1"/>
  <c r="G106" i="1"/>
  <c r="Q106" i="1"/>
  <c r="O106" i="1"/>
  <c r="M106" i="1"/>
  <c r="AA106" i="1"/>
  <c r="S106" i="1"/>
  <c r="A107" i="1"/>
  <c r="BE107" i="1" s="1"/>
  <c r="AN106" i="1"/>
  <c r="B106" i="1"/>
  <c r="AO105" i="1"/>
  <c r="AQ105" i="1"/>
  <c r="AP105" i="1"/>
  <c r="BA105" i="1"/>
  <c r="AZ105" i="1"/>
  <c r="BB105" i="1"/>
  <c r="P124" i="5" l="1"/>
  <c r="B124" i="5"/>
  <c r="M124" i="5"/>
  <c r="D124" i="5"/>
  <c r="L124" i="5"/>
  <c r="Q124" i="5"/>
  <c r="C124" i="5"/>
  <c r="E124" i="5"/>
  <c r="A125" i="5"/>
  <c r="AK124" i="5"/>
  <c r="AV124" i="5"/>
  <c r="AY124" i="5" s="1"/>
  <c r="AE124" i="5"/>
  <c r="H124" i="5"/>
  <c r="X124" i="5"/>
  <c r="AD124" i="5"/>
  <c r="AG124" i="5" s="1"/>
  <c r="BL124" i="5"/>
  <c r="BO124" i="5" s="1"/>
  <c r="T124" i="5"/>
  <c r="U124" i="5"/>
  <c r="AP124" i="5"/>
  <c r="AS124" i="5" s="1"/>
  <c r="AJ124" i="5"/>
  <c r="AM124" i="5" s="1"/>
  <c r="BD124" i="5"/>
  <c r="BG124" i="5" s="1"/>
  <c r="I124" i="5"/>
  <c r="AQ124" i="5"/>
  <c r="AW124" i="5"/>
  <c r="AZ124" i="5" s="1"/>
  <c r="BM124" i="5"/>
  <c r="BP124" i="5" s="1"/>
  <c r="BE124" i="5"/>
  <c r="BH124" i="5" s="1"/>
  <c r="Y124" i="5"/>
  <c r="AD115" i="4"/>
  <c r="Z115" i="4"/>
  <c r="G116" i="4"/>
  <c r="B116" i="4"/>
  <c r="I116" i="4"/>
  <c r="C116" i="4"/>
  <c r="A117" i="4"/>
  <c r="S116" i="4"/>
  <c r="AG116" i="4"/>
  <c r="E116" i="4"/>
  <c r="V116" i="4"/>
  <c r="K116" i="4"/>
  <c r="M116" i="4"/>
  <c r="P116" i="4"/>
  <c r="AC116" i="4"/>
  <c r="Y116" i="4"/>
  <c r="AH115" i="4"/>
  <c r="T115" i="4"/>
  <c r="Q115" i="4"/>
  <c r="W115" i="4"/>
  <c r="AP117" i="3"/>
  <c r="AO117" i="3"/>
  <c r="AK117" i="3"/>
  <c r="AJ117" i="3"/>
  <c r="AC117" i="3"/>
  <c r="AB117" i="3"/>
  <c r="AU117" i="3"/>
  <c r="AT117" i="3"/>
  <c r="AG117" i="3"/>
  <c r="AF117" i="3"/>
  <c r="N118" i="3"/>
  <c r="C118" i="3"/>
  <c r="M118" i="3"/>
  <c r="B118" i="3"/>
  <c r="A119" i="3"/>
  <c r="J118" i="3"/>
  <c r="D118" i="3"/>
  <c r="K118" i="3"/>
  <c r="E118" i="3"/>
  <c r="P118" i="3"/>
  <c r="T118" i="3"/>
  <c r="AE118" i="3"/>
  <c r="Q118" i="3"/>
  <c r="AN118" i="3"/>
  <c r="AA118" i="3"/>
  <c r="H118" i="3"/>
  <c r="S118" i="3"/>
  <c r="W118" i="3"/>
  <c r="AI118" i="3"/>
  <c r="AS118" i="3"/>
  <c r="G118" i="3"/>
  <c r="Y117" i="3"/>
  <c r="X117" i="3"/>
  <c r="BG107" i="1"/>
  <c r="BF107" i="1"/>
  <c r="BH107" i="1"/>
  <c r="CS132" i="2"/>
  <c r="CV132" i="2" s="1"/>
  <c r="A133" i="2"/>
  <c r="CR132" i="2"/>
  <c r="CU132" i="2" s="1"/>
  <c r="BT132" i="2"/>
  <c r="BW132" i="2" s="1"/>
  <c r="BU132" i="2"/>
  <c r="BX132" i="2" s="1"/>
  <c r="CF132" i="2"/>
  <c r="CI132" i="2" s="1"/>
  <c r="BL132" i="2"/>
  <c r="BO132" i="2" s="1"/>
  <c r="CG132" i="2"/>
  <c r="CJ132" i="2" s="1"/>
  <c r="BK132" i="2"/>
  <c r="BN132" i="2" s="1"/>
  <c r="BB132" i="2"/>
  <c r="BE132" i="2" s="1"/>
  <c r="BC132" i="2"/>
  <c r="BF132" i="2" s="1"/>
  <c r="AK131" i="2"/>
  <c r="AJ131" i="2"/>
  <c r="AE131" i="2"/>
  <c r="Y131" i="2"/>
  <c r="R131" i="2"/>
  <c r="S131" i="2"/>
  <c r="M131" i="2"/>
  <c r="X131" i="2"/>
  <c r="AD131" i="2"/>
  <c r="L131" i="2"/>
  <c r="F131" i="2"/>
  <c r="G131" i="2"/>
  <c r="AT131" i="2"/>
  <c r="AW131" i="2" s="1"/>
  <c r="AS131" i="2"/>
  <c r="AV131" i="2" s="1"/>
  <c r="D131" i="2"/>
  <c r="B131" i="2"/>
  <c r="Q131" i="2"/>
  <c r="C131" i="2"/>
  <c r="W131" i="2"/>
  <c r="E131" i="2"/>
  <c r="BJ131" i="2"/>
  <c r="AR131" i="2"/>
  <c r="K131" i="2"/>
  <c r="AC131" i="2"/>
  <c r="CE131" i="2"/>
  <c r="CQ131" i="2"/>
  <c r="BA131" i="2"/>
  <c r="BS131" i="2"/>
  <c r="AI131" i="2"/>
  <c r="BD130" i="2"/>
  <c r="CH130" i="2"/>
  <c r="BV130" i="2"/>
  <c r="CT130" i="2"/>
  <c r="AU130" i="2"/>
  <c r="BM130" i="2"/>
  <c r="AU106" i="1"/>
  <c r="AT106" i="1"/>
  <c r="AV106" i="1"/>
  <c r="AQ106" i="1"/>
  <c r="AO106" i="1"/>
  <c r="AP106" i="1"/>
  <c r="AF106" i="1"/>
  <c r="AE106" i="1"/>
  <c r="AG106" i="1"/>
  <c r="BA106" i="1"/>
  <c r="AZ106" i="1"/>
  <c r="BB106" i="1"/>
  <c r="K107" i="1"/>
  <c r="AN107" i="1"/>
  <c r="R107" i="1"/>
  <c r="AA107" i="1"/>
  <c r="F107" i="1"/>
  <c r="S107" i="1"/>
  <c r="E107" i="1"/>
  <c r="AI107" i="1"/>
  <c r="V107" i="1"/>
  <c r="D107" i="1"/>
  <c r="Z107" i="1"/>
  <c r="AS107" i="1"/>
  <c r="J107" i="1"/>
  <c r="A108" i="1"/>
  <c r="BE108" i="1" s="1"/>
  <c r="M107" i="1"/>
  <c r="B107" i="1"/>
  <c r="I107" i="1"/>
  <c r="W107" i="1"/>
  <c r="N107" i="1"/>
  <c r="AY107" i="1"/>
  <c r="AD107" i="1"/>
  <c r="G107" i="1"/>
  <c r="Q107" i="1"/>
  <c r="U107" i="1"/>
  <c r="O107" i="1"/>
  <c r="C107" i="1"/>
  <c r="Y107" i="1"/>
  <c r="AK106" i="1"/>
  <c r="AJ106" i="1"/>
  <c r="AL106" i="1"/>
  <c r="A126" i="5" l="1"/>
  <c r="M125" i="5"/>
  <c r="D125" i="5"/>
  <c r="L125" i="5"/>
  <c r="C125" i="5"/>
  <c r="Q125" i="5"/>
  <c r="E125" i="5"/>
  <c r="P125" i="5"/>
  <c r="B125" i="5"/>
  <c r="X125" i="5"/>
  <c r="AD125" i="5"/>
  <c r="AG125" i="5" s="1"/>
  <c r="BD125" i="5"/>
  <c r="BG125" i="5" s="1"/>
  <c r="AK125" i="5"/>
  <c r="AV125" i="5"/>
  <c r="AY125" i="5" s="1"/>
  <c r="AJ125" i="5"/>
  <c r="AM125" i="5" s="1"/>
  <c r="BL125" i="5"/>
  <c r="BO125" i="5" s="1"/>
  <c r="AE125" i="5"/>
  <c r="U125" i="5"/>
  <c r="AP125" i="5"/>
  <c r="AS125" i="5" s="1"/>
  <c r="AQ125" i="5"/>
  <c r="I125" i="5"/>
  <c r="T125" i="5"/>
  <c r="H125" i="5"/>
  <c r="AW125" i="5"/>
  <c r="AZ125" i="5" s="1"/>
  <c r="BM125" i="5"/>
  <c r="BP125" i="5" s="1"/>
  <c r="Y125" i="5"/>
  <c r="BE125" i="5"/>
  <c r="BH125" i="5" s="1"/>
  <c r="AD116" i="4"/>
  <c r="T116" i="4"/>
  <c r="AH116" i="4"/>
  <c r="Q116" i="4"/>
  <c r="Z116" i="4"/>
  <c r="W116" i="4"/>
  <c r="G117" i="4"/>
  <c r="B117" i="4"/>
  <c r="C117" i="4"/>
  <c r="A118" i="4"/>
  <c r="I117" i="4"/>
  <c r="K117" i="4"/>
  <c r="M117" i="4"/>
  <c r="Y117" i="4"/>
  <c r="S117" i="4"/>
  <c r="AG117" i="4"/>
  <c r="P117" i="4"/>
  <c r="AC117" i="4"/>
  <c r="E117" i="4"/>
  <c r="V117" i="4"/>
  <c r="AU118" i="3"/>
  <c r="AT118" i="3"/>
  <c r="AP118" i="3"/>
  <c r="AO118" i="3"/>
  <c r="AG118" i="3"/>
  <c r="AF118" i="3"/>
  <c r="A120" i="3"/>
  <c r="J119" i="3"/>
  <c r="D119" i="3"/>
  <c r="K119" i="3"/>
  <c r="E119" i="3"/>
  <c r="C119" i="3"/>
  <c r="B119" i="3"/>
  <c r="N119" i="3"/>
  <c r="M119" i="3"/>
  <c r="AS119" i="3"/>
  <c r="T119" i="3"/>
  <c r="G119" i="3"/>
  <c r="AI119" i="3"/>
  <c r="AN119" i="3"/>
  <c r="AE119" i="3"/>
  <c r="AA119" i="3"/>
  <c r="S119" i="3"/>
  <c r="Q119" i="3"/>
  <c r="H119" i="3"/>
  <c r="P119" i="3"/>
  <c r="W119" i="3"/>
  <c r="AK118" i="3"/>
  <c r="AJ118" i="3"/>
  <c r="Y118" i="3"/>
  <c r="X118" i="3"/>
  <c r="AC118" i="3"/>
  <c r="AB118" i="3"/>
  <c r="BF108" i="1"/>
  <c r="BH108" i="1"/>
  <c r="BG108" i="1"/>
  <c r="A134" i="2"/>
  <c r="CR133" i="2"/>
  <c r="CU133" i="2" s="1"/>
  <c r="CF133" i="2"/>
  <c r="CI133" i="2" s="1"/>
  <c r="CS133" i="2"/>
  <c r="CV133" i="2" s="1"/>
  <c r="BK133" i="2"/>
  <c r="BN133" i="2" s="1"/>
  <c r="CG133" i="2"/>
  <c r="CJ133" i="2" s="1"/>
  <c r="BT133" i="2"/>
  <c r="BW133" i="2" s="1"/>
  <c r="BL133" i="2"/>
  <c r="BO133" i="2" s="1"/>
  <c r="BC133" i="2"/>
  <c r="BF133" i="2" s="1"/>
  <c r="BU133" i="2"/>
  <c r="BX133" i="2" s="1"/>
  <c r="BB133" i="2"/>
  <c r="BE133" i="2" s="1"/>
  <c r="AJ132" i="2"/>
  <c r="AD132" i="2"/>
  <c r="Y132" i="2"/>
  <c r="M132" i="2"/>
  <c r="R132" i="2"/>
  <c r="G132" i="2"/>
  <c r="L132" i="2"/>
  <c r="F132" i="2"/>
  <c r="X132" i="2"/>
  <c r="S132" i="2"/>
  <c r="AE132" i="2"/>
  <c r="AK132" i="2"/>
  <c r="AS132" i="2"/>
  <c r="AV132" i="2" s="1"/>
  <c r="AT132" i="2"/>
  <c r="AW132" i="2" s="1"/>
  <c r="AU131" i="2"/>
  <c r="BM131" i="2"/>
  <c r="BD131" i="2"/>
  <c r="CH131" i="2"/>
  <c r="B132" i="2"/>
  <c r="D132" i="2"/>
  <c r="E132" i="2"/>
  <c r="W132" i="2"/>
  <c r="Q132" i="2"/>
  <c r="C132" i="2"/>
  <c r="BA132" i="2"/>
  <c r="AI132" i="2"/>
  <c r="K132" i="2"/>
  <c r="BS132" i="2"/>
  <c r="AR132" i="2"/>
  <c r="CE132" i="2"/>
  <c r="AC132" i="2"/>
  <c r="CQ132" i="2"/>
  <c r="BJ132" i="2"/>
  <c r="BV131" i="2"/>
  <c r="CT131" i="2"/>
  <c r="BA107" i="1"/>
  <c r="AZ107" i="1"/>
  <c r="BB107" i="1"/>
  <c r="AV107" i="1"/>
  <c r="AU107" i="1"/>
  <c r="AT107" i="1"/>
  <c r="AJ107" i="1"/>
  <c r="AL107" i="1"/>
  <c r="AK107" i="1"/>
  <c r="K108" i="1"/>
  <c r="U108" i="1"/>
  <c r="S108" i="1"/>
  <c r="AD108" i="1"/>
  <c r="D108" i="1"/>
  <c r="N108" i="1"/>
  <c r="AA108" i="1"/>
  <c r="R108" i="1"/>
  <c r="A109" i="1"/>
  <c r="BE109" i="1" s="1"/>
  <c r="V108" i="1"/>
  <c r="B108" i="1"/>
  <c r="J108" i="1"/>
  <c r="AY108" i="1"/>
  <c r="G108" i="1"/>
  <c r="W108" i="1"/>
  <c r="M108" i="1"/>
  <c r="F108" i="1"/>
  <c r="O108" i="1"/>
  <c r="I108" i="1"/>
  <c r="AS108" i="1"/>
  <c r="Q108" i="1"/>
  <c r="Z108" i="1"/>
  <c r="E108" i="1"/>
  <c r="AN108" i="1"/>
  <c r="Y108" i="1"/>
  <c r="C108" i="1"/>
  <c r="AI108" i="1"/>
  <c r="AO107" i="1"/>
  <c r="AQ107" i="1"/>
  <c r="AP107" i="1"/>
  <c r="AG107" i="1"/>
  <c r="AE107" i="1"/>
  <c r="AF107" i="1"/>
  <c r="M126" i="5" l="1"/>
  <c r="E126" i="5"/>
  <c r="A127" i="5"/>
  <c r="Q126" i="5"/>
  <c r="D126" i="5"/>
  <c r="P126" i="5"/>
  <c r="B126" i="5"/>
  <c r="L126" i="5"/>
  <c r="C126" i="5"/>
  <c r="AK126" i="5"/>
  <c r="AJ126" i="5"/>
  <c r="AM126" i="5" s="1"/>
  <c r="AE126" i="5"/>
  <c r="BD126" i="5"/>
  <c r="BG126" i="5" s="1"/>
  <c r="X126" i="5"/>
  <c r="AV126" i="5"/>
  <c r="AY126" i="5" s="1"/>
  <c r="AW126" i="5"/>
  <c r="AZ126" i="5" s="1"/>
  <c r="AD126" i="5"/>
  <c r="AG126" i="5" s="1"/>
  <c r="I126" i="5"/>
  <c r="U126" i="5"/>
  <c r="T126" i="5"/>
  <c r="BL126" i="5"/>
  <c r="BO126" i="5" s="1"/>
  <c r="H126" i="5"/>
  <c r="AP126" i="5"/>
  <c r="AS126" i="5" s="1"/>
  <c r="AQ126" i="5"/>
  <c r="BM126" i="5"/>
  <c r="BP126" i="5" s="1"/>
  <c r="Y126" i="5"/>
  <c r="BE126" i="5"/>
  <c r="BH126" i="5" s="1"/>
  <c r="Z117" i="4"/>
  <c r="Q117" i="4"/>
  <c r="AH117" i="4"/>
  <c r="W117" i="4"/>
  <c r="T117" i="4"/>
  <c r="AD117" i="4"/>
  <c r="G118" i="4"/>
  <c r="B118" i="4"/>
  <c r="I118" i="4"/>
  <c r="A119" i="4"/>
  <c r="C118" i="4"/>
  <c r="P118" i="4"/>
  <c r="S118" i="4"/>
  <c r="AG118" i="4"/>
  <c r="V118" i="4"/>
  <c r="AC118" i="4"/>
  <c r="K118" i="4"/>
  <c r="M118" i="4"/>
  <c r="Y118" i="4"/>
  <c r="E118" i="4"/>
  <c r="AG119" i="3"/>
  <c r="AF119" i="3"/>
  <c r="AU119" i="3"/>
  <c r="AT119" i="3"/>
  <c r="AK119" i="3"/>
  <c r="AJ119" i="3"/>
  <c r="AP119" i="3"/>
  <c r="AO119" i="3"/>
  <c r="K120" i="3"/>
  <c r="E120" i="3"/>
  <c r="N120" i="3"/>
  <c r="C120" i="3"/>
  <c r="M120" i="3"/>
  <c r="B120" i="3"/>
  <c r="A121" i="3"/>
  <c r="J120" i="3"/>
  <c r="D120" i="3"/>
  <c r="AN120" i="3"/>
  <c r="P120" i="3"/>
  <c r="AE120" i="3"/>
  <c r="S120" i="3"/>
  <c r="Q120" i="3"/>
  <c r="AI120" i="3"/>
  <c r="T120" i="3"/>
  <c r="G120" i="3"/>
  <c r="AS120" i="3"/>
  <c r="W120" i="3"/>
  <c r="H120" i="3"/>
  <c r="AA120" i="3"/>
  <c r="Y119" i="3"/>
  <c r="X119" i="3"/>
  <c r="AC119" i="3"/>
  <c r="AB119" i="3"/>
  <c r="BH109" i="1"/>
  <c r="BG109" i="1"/>
  <c r="BF109" i="1"/>
  <c r="CS134" i="2"/>
  <c r="CV134" i="2" s="1"/>
  <c r="BU134" i="2"/>
  <c r="BX134" i="2" s="1"/>
  <c r="A135" i="2"/>
  <c r="CR134" i="2"/>
  <c r="CU134" i="2" s="1"/>
  <c r="BT134" i="2"/>
  <c r="BW134" i="2" s="1"/>
  <c r="BL134" i="2"/>
  <c r="BO134" i="2" s="1"/>
  <c r="BB134" i="2"/>
  <c r="BE134" i="2" s="1"/>
  <c r="BK134" i="2"/>
  <c r="BN134" i="2" s="1"/>
  <c r="CG134" i="2"/>
  <c r="CJ134" i="2" s="1"/>
  <c r="BC134" i="2"/>
  <c r="BF134" i="2" s="1"/>
  <c r="CF134" i="2"/>
  <c r="CI134" i="2" s="1"/>
  <c r="AD133" i="2"/>
  <c r="AK133" i="2"/>
  <c r="X133" i="2"/>
  <c r="G133" i="2"/>
  <c r="F133" i="2"/>
  <c r="L133" i="2"/>
  <c r="Y133" i="2"/>
  <c r="AE133" i="2"/>
  <c r="AJ133" i="2"/>
  <c r="M133" i="2"/>
  <c r="S133" i="2"/>
  <c r="R133" i="2"/>
  <c r="AS133" i="2"/>
  <c r="AV133" i="2" s="1"/>
  <c r="AT133" i="2"/>
  <c r="AW133" i="2" s="1"/>
  <c r="BV132" i="2"/>
  <c r="CT132" i="2"/>
  <c r="BD132" i="2"/>
  <c r="AU132" i="2"/>
  <c r="BM132" i="2"/>
  <c r="CH132" i="2"/>
  <c r="D133" i="2"/>
  <c r="C133" i="2"/>
  <c r="E133" i="2"/>
  <c r="W133" i="2"/>
  <c r="Q133" i="2"/>
  <c r="B133" i="2"/>
  <c r="AC133" i="2"/>
  <c r="AI133" i="2"/>
  <c r="AR133" i="2"/>
  <c r="BS133" i="2"/>
  <c r="CE133" i="2"/>
  <c r="BA133" i="2"/>
  <c r="K133" i="2"/>
  <c r="BJ133" i="2"/>
  <c r="CQ133" i="2"/>
  <c r="AL108" i="1"/>
  <c r="AK108" i="1"/>
  <c r="AJ108" i="1"/>
  <c r="BB108" i="1"/>
  <c r="BA108" i="1"/>
  <c r="AZ108" i="1"/>
  <c r="S109" i="1"/>
  <c r="A110" i="1"/>
  <c r="BE110" i="1" s="1"/>
  <c r="AI109" i="1"/>
  <c r="M109" i="1"/>
  <c r="Q109" i="1"/>
  <c r="E109" i="1"/>
  <c r="V109" i="1"/>
  <c r="N109" i="1"/>
  <c r="AY109" i="1"/>
  <c r="AD109" i="1"/>
  <c r="G109" i="1"/>
  <c r="F109" i="1"/>
  <c r="U109" i="1"/>
  <c r="K109" i="1"/>
  <c r="Y109" i="1"/>
  <c r="AA109" i="1"/>
  <c r="I109" i="1"/>
  <c r="AS109" i="1"/>
  <c r="W109" i="1"/>
  <c r="C109" i="1"/>
  <c r="Z109" i="1"/>
  <c r="J109" i="1"/>
  <c r="D109" i="1"/>
  <c r="AN109" i="1"/>
  <c r="R109" i="1"/>
  <c r="O109" i="1"/>
  <c r="B109" i="1"/>
  <c r="AQ108" i="1"/>
  <c r="AP108" i="1"/>
  <c r="AO108" i="1"/>
  <c r="AT108" i="1"/>
  <c r="AV108" i="1"/>
  <c r="AU108" i="1"/>
  <c r="AE108" i="1"/>
  <c r="AF108" i="1"/>
  <c r="AG108" i="1"/>
  <c r="Q127" i="5" l="1"/>
  <c r="C127" i="5"/>
  <c r="P127" i="5"/>
  <c r="B127" i="5"/>
  <c r="L127" i="5"/>
  <c r="A128" i="5"/>
  <c r="D127" i="5"/>
  <c r="M127" i="5"/>
  <c r="E127" i="5"/>
  <c r="AV127" i="5"/>
  <c r="AY127" i="5" s="1"/>
  <c r="X127" i="5"/>
  <c r="AJ127" i="5"/>
  <c r="AM127" i="5" s="1"/>
  <c r="AD127" i="5"/>
  <c r="AG127" i="5" s="1"/>
  <c r="AK127" i="5"/>
  <c r="BL127" i="5"/>
  <c r="BO127" i="5" s="1"/>
  <c r="AE127" i="5"/>
  <c r="AP127" i="5"/>
  <c r="AS127" i="5" s="1"/>
  <c r="H127" i="5"/>
  <c r="BD127" i="5"/>
  <c r="BG127" i="5" s="1"/>
  <c r="I127" i="5"/>
  <c r="AQ127" i="5"/>
  <c r="T127" i="5"/>
  <c r="U127" i="5"/>
  <c r="BE127" i="5"/>
  <c r="BH127" i="5" s="1"/>
  <c r="BM127" i="5"/>
  <c r="BP127" i="5" s="1"/>
  <c r="Y127" i="5"/>
  <c r="AW127" i="5"/>
  <c r="AZ127" i="5" s="1"/>
  <c r="T118" i="4"/>
  <c r="AD118" i="4"/>
  <c r="Q118" i="4"/>
  <c r="W118" i="4"/>
  <c r="G119" i="4"/>
  <c r="B119" i="4"/>
  <c r="C119" i="4"/>
  <c r="A120" i="4"/>
  <c r="I119" i="4"/>
  <c r="K119" i="4"/>
  <c r="Y119" i="4"/>
  <c r="E119" i="4"/>
  <c r="V119" i="4"/>
  <c r="P119" i="4"/>
  <c r="AC119" i="4"/>
  <c r="M119" i="4"/>
  <c r="S119" i="4"/>
  <c r="AG119" i="4"/>
  <c r="Z118" i="4"/>
  <c r="AH118" i="4"/>
  <c r="AU120" i="3"/>
  <c r="AT120" i="3"/>
  <c r="AC120" i="3"/>
  <c r="AB120" i="3"/>
  <c r="AP120" i="3"/>
  <c r="AO120" i="3"/>
  <c r="Y120" i="3"/>
  <c r="X120" i="3"/>
  <c r="AG120" i="3"/>
  <c r="AF120" i="3"/>
  <c r="N121" i="3"/>
  <c r="C121" i="3"/>
  <c r="M121" i="3"/>
  <c r="B121" i="3"/>
  <c r="A122" i="3"/>
  <c r="J121" i="3"/>
  <c r="D121" i="3"/>
  <c r="E121" i="3"/>
  <c r="K121" i="3"/>
  <c r="T121" i="3"/>
  <c r="P121" i="3"/>
  <c r="S121" i="3"/>
  <c r="AE121" i="3"/>
  <c r="AA121" i="3"/>
  <c r="AI121" i="3"/>
  <c r="AN121" i="3"/>
  <c r="G121" i="3"/>
  <c r="Q121" i="3"/>
  <c r="H121" i="3"/>
  <c r="W121" i="3"/>
  <c r="AS121" i="3"/>
  <c r="AK120" i="3"/>
  <c r="AJ120" i="3"/>
  <c r="BG110" i="1"/>
  <c r="BF110" i="1"/>
  <c r="BH110" i="1"/>
  <c r="CR135" i="2"/>
  <c r="CU135" i="2" s="1"/>
  <c r="CS135" i="2"/>
  <c r="CV135" i="2" s="1"/>
  <c r="A136" i="2"/>
  <c r="CG135" i="2"/>
  <c r="CJ135" i="2" s="1"/>
  <c r="CF135" i="2"/>
  <c r="CI135" i="2" s="1"/>
  <c r="BT135" i="2"/>
  <c r="BW135" i="2" s="1"/>
  <c r="BU135" i="2"/>
  <c r="BX135" i="2" s="1"/>
  <c r="BB135" i="2"/>
  <c r="BE135" i="2" s="1"/>
  <c r="BK135" i="2"/>
  <c r="BN135" i="2" s="1"/>
  <c r="BL135" i="2"/>
  <c r="BO135" i="2" s="1"/>
  <c r="BC135" i="2"/>
  <c r="BF135" i="2" s="1"/>
  <c r="AE134" i="2"/>
  <c r="S134" i="2"/>
  <c r="M134" i="2"/>
  <c r="AD134" i="2"/>
  <c r="X134" i="2"/>
  <c r="AK134" i="2"/>
  <c r="AJ134" i="2"/>
  <c r="G134" i="2"/>
  <c r="L134" i="2"/>
  <c r="F134" i="2"/>
  <c r="Y134" i="2"/>
  <c r="R134" i="2"/>
  <c r="AS134" i="2"/>
  <c r="AV134" i="2" s="1"/>
  <c r="AT134" i="2"/>
  <c r="AW134" i="2" s="1"/>
  <c r="CH133" i="2"/>
  <c r="BM133" i="2"/>
  <c r="AU133" i="2"/>
  <c r="CT133" i="2"/>
  <c r="BV133" i="2"/>
  <c r="W134" i="2"/>
  <c r="C134" i="2"/>
  <c r="D134" i="2"/>
  <c r="Q134" i="2"/>
  <c r="B134" i="2"/>
  <c r="E134" i="2"/>
  <c r="CE134" i="2"/>
  <c r="AI134" i="2"/>
  <c r="AR134" i="2"/>
  <c r="CQ134" i="2"/>
  <c r="K134" i="2"/>
  <c r="BJ134" i="2"/>
  <c r="AC134" i="2"/>
  <c r="BA134" i="2"/>
  <c r="BS134" i="2"/>
  <c r="BD133" i="2"/>
  <c r="AF109" i="1"/>
  <c r="AE109" i="1"/>
  <c r="AG109" i="1"/>
  <c r="BA109" i="1"/>
  <c r="AZ109" i="1"/>
  <c r="BB109" i="1"/>
  <c r="AT109" i="1"/>
  <c r="AV109" i="1"/>
  <c r="AU109" i="1"/>
  <c r="Q110" i="1"/>
  <c r="E110" i="1"/>
  <c r="M110" i="1"/>
  <c r="G110" i="1"/>
  <c r="U110" i="1"/>
  <c r="AS110" i="1"/>
  <c r="K110" i="1"/>
  <c r="C110" i="1"/>
  <c r="AD110" i="1"/>
  <c r="AA110" i="1"/>
  <c r="F110" i="1"/>
  <c r="O110" i="1"/>
  <c r="N110" i="1"/>
  <c r="AI110" i="1"/>
  <c r="S110" i="1"/>
  <c r="AY110" i="1"/>
  <c r="V110" i="1"/>
  <c r="B110" i="1"/>
  <c r="J110" i="1"/>
  <c r="D110" i="1"/>
  <c r="W110" i="1"/>
  <c r="AN110" i="1"/>
  <c r="I110" i="1"/>
  <c r="Z110" i="1"/>
  <c r="A111" i="1"/>
  <c r="BE111" i="1" s="1"/>
  <c r="R110" i="1"/>
  <c r="Y110" i="1"/>
  <c r="AQ109" i="1"/>
  <c r="AP109" i="1"/>
  <c r="AO109" i="1"/>
  <c r="AJ109" i="1"/>
  <c r="AL109" i="1"/>
  <c r="AK109" i="1"/>
  <c r="A129" i="5" l="1"/>
  <c r="L128" i="5"/>
  <c r="D128" i="5"/>
  <c r="Q128" i="5"/>
  <c r="P128" i="5"/>
  <c r="E128" i="5"/>
  <c r="M128" i="5"/>
  <c r="C128" i="5"/>
  <c r="B128" i="5"/>
  <c r="AE128" i="5"/>
  <c r="X128" i="5"/>
  <c r="AD128" i="5"/>
  <c r="AG128" i="5" s="1"/>
  <c r="AJ128" i="5"/>
  <c r="AM128" i="5" s="1"/>
  <c r="AV128" i="5"/>
  <c r="AY128" i="5" s="1"/>
  <c r="AK128" i="5"/>
  <c r="BL128" i="5"/>
  <c r="BO128" i="5" s="1"/>
  <c r="BD128" i="5"/>
  <c r="BG128" i="5" s="1"/>
  <c r="I128" i="5"/>
  <c r="T128" i="5"/>
  <c r="U128" i="5"/>
  <c r="H128" i="5"/>
  <c r="AQ128" i="5"/>
  <c r="AP128" i="5"/>
  <c r="AS128" i="5" s="1"/>
  <c r="BE128" i="5"/>
  <c r="BH128" i="5" s="1"/>
  <c r="Y128" i="5"/>
  <c r="AW128" i="5"/>
  <c r="AZ128" i="5" s="1"/>
  <c r="BM128" i="5"/>
  <c r="BP128" i="5" s="1"/>
  <c r="W119" i="4"/>
  <c r="AH119" i="4"/>
  <c r="A121" i="4"/>
  <c r="G120" i="4"/>
  <c r="B120" i="4"/>
  <c r="I120" i="4"/>
  <c r="C120" i="4"/>
  <c r="AC120" i="4"/>
  <c r="AG120" i="4"/>
  <c r="P120" i="4"/>
  <c r="V120" i="4"/>
  <c r="S120" i="4"/>
  <c r="K120" i="4"/>
  <c r="M120" i="4"/>
  <c r="Y120" i="4"/>
  <c r="E120" i="4"/>
  <c r="Q119" i="4"/>
  <c r="T119" i="4"/>
  <c r="Z119" i="4"/>
  <c r="AD119" i="4"/>
  <c r="Y121" i="3"/>
  <c r="X121" i="3"/>
  <c r="AK121" i="3"/>
  <c r="AJ121" i="3"/>
  <c r="A123" i="3"/>
  <c r="J122" i="3"/>
  <c r="D122" i="3"/>
  <c r="K122" i="3"/>
  <c r="E122" i="3"/>
  <c r="C122" i="3"/>
  <c r="B122" i="3"/>
  <c r="N122" i="3"/>
  <c r="M122" i="3"/>
  <c r="AI122" i="3"/>
  <c r="W122" i="3"/>
  <c r="AN122" i="3"/>
  <c r="H122" i="3"/>
  <c r="P122" i="3"/>
  <c r="Q122" i="3"/>
  <c r="T122" i="3"/>
  <c r="S122" i="3"/>
  <c r="AS122" i="3"/>
  <c r="G122" i="3"/>
  <c r="AA122" i="3"/>
  <c r="AE122" i="3"/>
  <c r="AU121" i="3"/>
  <c r="AT121" i="3"/>
  <c r="AP121" i="3"/>
  <c r="AO121" i="3"/>
  <c r="AC121" i="3"/>
  <c r="AB121" i="3"/>
  <c r="AG121" i="3"/>
  <c r="AF121" i="3"/>
  <c r="BG111" i="1"/>
  <c r="BH111" i="1"/>
  <c r="BF111" i="1"/>
  <c r="A137" i="2"/>
  <c r="CS136" i="2"/>
  <c r="CV136" i="2" s="1"/>
  <c r="CF136" i="2"/>
  <c r="CI136" i="2" s="1"/>
  <c r="CG136" i="2"/>
  <c r="CJ136" i="2" s="1"/>
  <c r="BU136" i="2"/>
  <c r="BX136" i="2" s="1"/>
  <c r="CR136" i="2"/>
  <c r="CU136" i="2" s="1"/>
  <c r="BT136" i="2"/>
  <c r="BW136" i="2" s="1"/>
  <c r="BB136" i="2"/>
  <c r="BE136" i="2" s="1"/>
  <c r="BL136" i="2"/>
  <c r="BO136" i="2" s="1"/>
  <c r="BK136" i="2"/>
  <c r="BN136" i="2" s="1"/>
  <c r="BC136" i="2"/>
  <c r="BF136" i="2" s="1"/>
  <c r="Y135" i="2"/>
  <c r="AK135" i="2"/>
  <c r="S135" i="2"/>
  <c r="AJ135" i="2"/>
  <c r="AE135" i="2"/>
  <c r="AD135" i="2"/>
  <c r="G135" i="2"/>
  <c r="M135" i="2"/>
  <c r="F135" i="2"/>
  <c r="L135" i="2"/>
  <c r="R135" i="2"/>
  <c r="X135" i="2"/>
  <c r="AS135" i="2"/>
  <c r="AV135" i="2" s="1"/>
  <c r="AT135" i="2"/>
  <c r="AW135" i="2" s="1"/>
  <c r="CT134" i="2"/>
  <c r="BV134" i="2"/>
  <c r="CH134" i="2"/>
  <c r="AU134" i="2"/>
  <c r="BD134" i="2"/>
  <c r="BM134" i="2"/>
  <c r="C135" i="2"/>
  <c r="E135" i="2"/>
  <c r="B135" i="2"/>
  <c r="Q135" i="2"/>
  <c r="W135" i="2"/>
  <c r="D135" i="2"/>
  <c r="CE135" i="2"/>
  <c r="AI135" i="2"/>
  <c r="CQ135" i="2"/>
  <c r="BS135" i="2"/>
  <c r="BA135" i="2"/>
  <c r="AR135" i="2"/>
  <c r="BJ135" i="2"/>
  <c r="AC135" i="2"/>
  <c r="K135" i="2"/>
  <c r="AO110" i="1"/>
  <c r="AQ110" i="1"/>
  <c r="AP110" i="1"/>
  <c r="AL110" i="1"/>
  <c r="AK110" i="1"/>
  <c r="AJ110" i="1"/>
  <c r="AV110" i="1"/>
  <c r="AU110" i="1"/>
  <c r="AT110" i="1"/>
  <c r="S111" i="1"/>
  <c r="A112" i="1"/>
  <c r="BE112" i="1" s="1"/>
  <c r="AI111" i="1"/>
  <c r="M111" i="1"/>
  <c r="K111" i="1"/>
  <c r="AA111" i="1"/>
  <c r="Q111" i="1"/>
  <c r="N111" i="1"/>
  <c r="AY111" i="1"/>
  <c r="AD111" i="1"/>
  <c r="G111" i="1"/>
  <c r="B111" i="1"/>
  <c r="F111" i="1"/>
  <c r="O111" i="1"/>
  <c r="I111" i="1"/>
  <c r="AS111" i="1"/>
  <c r="W111" i="1"/>
  <c r="C111" i="1"/>
  <c r="U111" i="1"/>
  <c r="Z111" i="1"/>
  <c r="Y111" i="1"/>
  <c r="D111" i="1"/>
  <c r="AN111" i="1"/>
  <c r="R111" i="1"/>
  <c r="V111" i="1"/>
  <c r="J111" i="1"/>
  <c r="E111" i="1"/>
  <c r="AG110" i="1"/>
  <c r="AF110" i="1"/>
  <c r="AE110" i="1"/>
  <c r="AZ110" i="1"/>
  <c r="BB110" i="1"/>
  <c r="BA110" i="1"/>
  <c r="M129" i="5" l="1"/>
  <c r="E129" i="5"/>
  <c r="L129" i="5"/>
  <c r="C129" i="5"/>
  <c r="B129" i="5"/>
  <c r="D129" i="5"/>
  <c r="Q129" i="5"/>
  <c r="A130" i="5"/>
  <c r="P129" i="5"/>
  <c r="AJ129" i="5"/>
  <c r="AM129" i="5" s="1"/>
  <c r="AK129" i="5"/>
  <c r="AV129" i="5"/>
  <c r="AY129" i="5" s="1"/>
  <c r="AE129" i="5"/>
  <c r="AD129" i="5"/>
  <c r="AG129" i="5" s="1"/>
  <c r="BD129" i="5"/>
  <c r="BG129" i="5" s="1"/>
  <c r="X129" i="5"/>
  <c r="I129" i="5"/>
  <c r="BL129" i="5"/>
  <c r="BO129" i="5" s="1"/>
  <c r="T129" i="5"/>
  <c r="H129" i="5"/>
  <c r="AQ129" i="5"/>
  <c r="AP129" i="5"/>
  <c r="AS129" i="5" s="1"/>
  <c r="U129" i="5"/>
  <c r="Y129" i="5"/>
  <c r="AW129" i="5"/>
  <c r="AZ129" i="5" s="1"/>
  <c r="BM129" i="5"/>
  <c r="BP129" i="5" s="1"/>
  <c r="BE129" i="5"/>
  <c r="BH129" i="5" s="1"/>
  <c r="Z120" i="4"/>
  <c r="G121" i="4"/>
  <c r="B121" i="4"/>
  <c r="I121" i="4"/>
  <c r="A122" i="4"/>
  <c r="C121" i="4"/>
  <c r="Y121" i="4"/>
  <c r="E121" i="4"/>
  <c r="M121" i="4"/>
  <c r="P121" i="4"/>
  <c r="S121" i="4"/>
  <c r="AC121" i="4"/>
  <c r="AG121" i="4"/>
  <c r="K121" i="4"/>
  <c r="V121" i="4"/>
  <c r="AH120" i="4"/>
  <c r="T120" i="4"/>
  <c r="W120" i="4"/>
  <c r="AD120" i="4"/>
  <c r="Q120" i="4"/>
  <c r="AU122" i="3"/>
  <c r="AT122" i="3"/>
  <c r="AK122" i="3"/>
  <c r="AJ122" i="3"/>
  <c r="AP122" i="3"/>
  <c r="AO122" i="3"/>
  <c r="Y122" i="3"/>
  <c r="X122" i="3"/>
  <c r="AG122" i="3"/>
  <c r="AF122" i="3"/>
  <c r="AC122" i="3"/>
  <c r="AB122" i="3"/>
  <c r="K123" i="3"/>
  <c r="E123" i="3"/>
  <c r="N123" i="3"/>
  <c r="C123" i="3"/>
  <c r="M123" i="3"/>
  <c r="B123" i="3"/>
  <c r="J123" i="3"/>
  <c r="D123" i="3"/>
  <c r="A124" i="3"/>
  <c r="Q123" i="3"/>
  <c r="W123" i="3"/>
  <c r="AI123" i="3"/>
  <c r="AE123" i="3"/>
  <c r="AA123" i="3"/>
  <c r="H123" i="3"/>
  <c r="S123" i="3"/>
  <c r="AN123" i="3"/>
  <c r="T123" i="3"/>
  <c r="P123" i="3"/>
  <c r="G123" i="3"/>
  <c r="AS123" i="3"/>
  <c r="BF112" i="1"/>
  <c r="BH112" i="1"/>
  <c r="BG112" i="1"/>
  <c r="A138" i="2"/>
  <c r="CR137" i="2"/>
  <c r="CU137" i="2" s="1"/>
  <c r="CF137" i="2"/>
  <c r="CI137" i="2" s="1"/>
  <c r="BK137" i="2"/>
  <c r="BN137" i="2" s="1"/>
  <c r="BU137" i="2"/>
  <c r="BX137" i="2" s="1"/>
  <c r="CG137" i="2"/>
  <c r="CJ137" i="2" s="1"/>
  <c r="BL137" i="2"/>
  <c r="BO137" i="2" s="1"/>
  <c r="CS137" i="2"/>
  <c r="CV137" i="2" s="1"/>
  <c r="BT137" i="2"/>
  <c r="BW137" i="2" s="1"/>
  <c r="BB137" i="2"/>
  <c r="BE137" i="2" s="1"/>
  <c r="BC137" i="2"/>
  <c r="BF137" i="2" s="1"/>
  <c r="AJ136" i="2"/>
  <c r="AD136" i="2"/>
  <c r="AK136" i="2"/>
  <c r="AE136" i="2"/>
  <c r="X136" i="2"/>
  <c r="S136" i="2"/>
  <c r="R136" i="2"/>
  <c r="M136" i="2"/>
  <c r="L136" i="2"/>
  <c r="G136" i="2"/>
  <c r="Y136" i="2"/>
  <c r="F136" i="2"/>
  <c r="AT136" i="2"/>
  <c r="AW136" i="2" s="1"/>
  <c r="AS136" i="2"/>
  <c r="AV136" i="2" s="1"/>
  <c r="CT135" i="2"/>
  <c r="B136" i="2"/>
  <c r="C136" i="2"/>
  <c r="D136" i="2"/>
  <c r="Q136" i="2"/>
  <c r="W136" i="2"/>
  <c r="E136" i="2"/>
  <c r="CQ136" i="2"/>
  <c r="BA136" i="2"/>
  <c r="AC136" i="2"/>
  <c r="AI136" i="2"/>
  <c r="BJ136" i="2"/>
  <c r="BS136" i="2"/>
  <c r="CE136" i="2"/>
  <c r="K136" i="2"/>
  <c r="AR136" i="2"/>
  <c r="BV135" i="2"/>
  <c r="BM135" i="2"/>
  <c r="AU135" i="2"/>
  <c r="BD135" i="2"/>
  <c r="CH135" i="2"/>
  <c r="AP111" i="1"/>
  <c r="AQ111" i="1"/>
  <c r="AO111" i="1"/>
  <c r="AJ111" i="1"/>
  <c r="AL111" i="1"/>
  <c r="AK111" i="1"/>
  <c r="AF111" i="1"/>
  <c r="AE111" i="1"/>
  <c r="AG111" i="1"/>
  <c r="F112" i="1"/>
  <c r="AI112" i="1"/>
  <c r="V112" i="1"/>
  <c r="B112" i="1"/>
  <c r="J112" i="1"/>
  <c r="AY112" i="1"/>
  <c r="G112" i="1"/>
  <c r="M112" i="1"/>
  <c r="Y112" i="1"/>
  <c r="O112" i="1"/>
  <c r="R112" i="1"/>
  <c r="Q112" i="1"/>
  <c r="Z112" i="1"/>
  <c r="E112" i="1"/>
  <c r="AN112" i="1"/>
  <c r="N112" i="1"/>
  <c r="D112" i="1"/>
  <c r="W112" i="1"/>
  <c r="K112" i="1"/>
  <c r="U112" i="1"/>
  <c r="S112" i="1"/>
  <c r="AD112" i="1"/>
  <c r="A113" i="1"/>
  <c r="BE113" i="1" s="1"/>
  <c r="AS112" i="1"/>
  <c r="AA112" i="1"/>
  <c r="I112" i="1"/>
  <c r="C112" i="1"/>
  <c r="AZ111" i="1"/>
  <c r="BB111" i="1"/>
  <c r="BA111" i="1"/>
  <c r="AT111" i="1"/>
  <c r="AV111" i="1"/>
  <c r="AU111" i="1"/>
  <c r="P130" i="5" l="1"/>
  <c r="B130" i="5"/>
  <c r="M130" i="5"/>
  <c r="D130" i="5"/>
  <c r="L130" i="5"/>
  <c r="A131" i="5"/>
  <c r="E130" i="5"/>
  <c r="Q130" i="5"/>
  <c r="C130" i="5"/>
  <c r="AJ130" i="5"/>
  <c r="AM130" i="5" s="1"/>
  <c r="X130" i="5"/>
  <c r="AK130" i="5"/>
  <c r="AD130" i="5"/>
  <c r="AG130" i="5" s="1"/>
  <c r="BL130" i="5"/>
  <c r="BO130" i="5" s="1"/>
  <c r="BD130" i="5"/>
  <c r="BG130" i="5" s="1"/>
  <c r="H130" i="5"/>
  <c r="AV130" i="5"/>
  <c r="AY130" i="5" s="1"/>
  <c r="U130" i="5"/>
  <c r="I130" i="5"/>
  <c r="AP130" i="5"/>
  <c r="AS130" i="5" s="1"/>
  <c r="AE130" i="5"/>
  <c r="AQ130" i="5"/>
  <c r="T130" i="5"/>
  <c r="BM130" i="5"/>
  <c r="BP130" i="5" s="1"/>
  <c r="BE130" i="5"/>
  <c r="BH130" i="5" s="1"/>
  <c r="Y130" i="5"/>
  <c r="AW130" i="5"/>
  <c r="AZ130" i="5" s="1"/>
  <c r="T121" i="4"/>
  <c r="Z121" i="4"/>
  <c r="W121" i="4"/>
  <c r="Q121" i="4"/>
  <c r="AH121" i="4"/>
  <c r="C122" i="4"/>
  <c r="A123" i="4"/>
  <c r="I122" i="4"/>
  <c r="G122" i="4"/>
  <c r="B122" i="4"/>
  <c r="E122" i="4"/>
  <c r="S122" i="4"/>
  <c r="V122" i="4"/>
  <c r="AC122" i="4"/>
  <c r="Y122" i="4"/>
  <c r="K122" i="4"/>
  <c r="M122" i="4"/>
  <c r="P122" i="4"/>
  <c r="AG122" i="4"/>
  <c r="AD121" i="4"/>
  <c r="AP123" i="3"/>
  <c r="AO123" i="3"/>
  <c r="AU123" i="3"/>
  <c r="AT123" i="3"/>
  <c r="Y123" i="3"/>
  <c r="X123" i="3"/>
  <c r="AC123" i="3"/>
  <c r="AB123" i="3"/>
  <c r="AG123" i="3"/>
  <c r="AF123" i="3"/>
  <c r="AK123" i="3"/>
  <c r="AJ123" i="3"/>
  <c r="N124" i="3"/>
  <c r="C124" i="3"/>
  <c r="M124" i="3"/>
  <c r="B124" i="3"/>
  <c r="A125" i="3"/>
  <c r="J124" i="3"/>
  <c r="D124" i="3"/>
  <c r="E124" i="3"/>
  <c r="K124" i="3"/>
  <c r="G124" i="3"/>
  <c r="AE124" i="3"/>
  <c r="AA124" i="3"/>
  <c r="AI124" i="3"/>
  <c r="AN124" i="3"/>
  <c r="W124" i="3"/>
  <c r="T124" i="3"/>
  <c r="S124" i="3"/>
  <c r="AS124" i="3"/>
  <c r="H124" i="3"/>
  <c r="Q124" i="3"/>
  <c r="P124" i="3"/>
  <c r="BF113" i="1"/>
  <c r="BH113" i="1"/>
  <c r="BG113" i="1"/>
  <c r="A139" i="2"/>
  <c r="CR138" i="2"/>
  <c r="CU138" i="2" s="1"/>
  <c r="BU138" i="2"/>
  <c r="BX138" i="2" s="1"/>
  <c r="CG138" i="2"/>
  <c r="CJ138" i="2" s="1"/>
  <c r="BB138" i="2"/>
  <c r="BE138" i="2" s="1"/>
  <c r="CF138" i="2"/>
  <c r="CI138" i="2" s="1"/>
  <c r="BK138" i="2"/>
  <c r="BN138" i="2" s="1"/>
  <c r="CS138" i="2"/>
  <c r="CV138" i="2" s="1"/>
  <c r="BT138" i="2"/>
  <c r="BW138" i="2" s="1"/>
  <c r="BC138" i="2"/>
  <c r="BF138" i="2" s="1"/>
  <c r="BL138" i="2"/>
  <c r="BO138" i="2" s="1"/>
  <c r="AE137" i="2"/>
  <c r="AJ137" i="2"/>
  <c r="AD137" i="2"/>
  <c r="Y137" i="2"/>
  <c r="G137" i="2"/>
  <c r="L137" i="2"/>
  <c r="AK137" i="2"/>
  <c r="R137" i="2"/>
  <c r="M137" i="2"/>
  <c r="F137" i="2"/>
  <c r="S137" i="2"/>
  <c r="X137" i="2"/>
  <c r="AT137" i="2"/>
  <c r="AW137" i="2" s="1"/>
  <c r="AS137" i="2"/>
  <c r="AV137" i="2" s="1"/>
  <c r="D137" i="2"/>
  <c r="Q137" i="2"/>
  <c r="B137" i="2"/>
  <c r="W137" i="2"/>
  <c r="E137" i="2"/>
  <c r="C137" i="2"/>
  <c r="AC137" i="2"/>
  <c r="AR137" i="2"/>
  <c r="CE137" i="2"/>
  <c r="CQ137" i="2"/>
  <c r="BJ137" i="2"/>
  <c r="BS137" i="2"/>
  <c r="BA137" i="2"/>
  <c r="K137" i="2"/>
  <c r="AI137" i="2"/>
  <c r="BM136" i="2"/>
  <c r="BV136" i="2"/>
  <c r="AU136" i="2"/>
  <c r="CH136" i="2"/>
  <c r="BD136" i="2"/>
  <c r="CT136" i="2"/>
  <c r="Y113" i="1"/>
  <c r="D113" i="1"/>
  <c r="AN113" i="1"/>
  <c r="R113" i="1"/>
  <c r="AA113" i="1"/>
  <c r="O113" i="1"/>
  <c r="U113" i="1"/>
  <c r="AS113" i="1"/>
  <c r="W113" i="1"/>
  <c r="B113" i="1"/>
  <c r="S113" i="1"/>
  <c r="A114" i="1"/>
  <c r="BE114" i="1" s="1"/>
  <c r="AI113" i="1"/>
  <c r="M113" i="1"/>
  <c r="Q113" i="1"/>
  <c r="E113" i="1"/>
  <c r="K113" i="1"/>
  <c r="N113" i="1"/>
  <c r="AD113" i="1"/>
  <c r="G113" i="1"/>
  <c r="V113" i="1"/>
  <c r="C113" i="1"/>
  <c r="AY113" i="1"/>
  <c r="F113" i="1"/>
  <c r="J113" i="1"/>
  <c r="I113" i="1"/>
  <c r="Z113" i="1"/>
  <c r="AQ112" i="1"/>
  <c r="AP112" i="1"/>
  <c r="AO112" i="1"/>
  <c r="AF112" i="1"/>
  <c r="AE112" i="1"/>
  <c r="AG112" i="1"/>
  <c r="AZ112" i="1"/>
  <c r="BA112" i="1"/>
  <c r="BB112" i="1"/>
  <c r="AJ112" i="1"/>
  <c r="AK112" i="1"/>
  <c r="AL112" i="1"/>
  <c r="AT112" i="1"/>
  <c r="AV112" i="1"/>
  <c r="AU112" i="1"/>
  <c r="M131" i="5" l="1"/>
  <c r="D131" i="5"/>
  <c r="L131" i="5"/>
  <c r="C131" i="5"/>
  <c r="P131" i="5"/>
  <c r="B131" i="5"/>
  <c r="E131" i="5"/>
  <c r="Q131" i="5"/>
  <c r="A132" i="5"/>
  <c r="AE131" i="5"/>
  <c r="AV131" i="5"/>
  <c r="AY131" i="5" s="1"/>
  <c r="X131" i="5"/>
  <c r="AD131" i="5"/>
  <c r="AG131" i="5" s="1"/>
  <c r="AK131" i="5"/>
  <c r="BL131" i="5"/>
  <c r="BO131" i="5" s="1"/>
  <c r="I131" i="5"/>
  <c r="AJ131" i="5"/>
  <c r="AM131" i="5" s="1"/>
  <c r="U131" i="5"/>
  <c r="BD131" i="5"/>
  <c r="BG131" i="5" s="1"/>
  <c r="AQ131" i="5"/>
  <c r="H131" i="5"/>
  <c r="T131" i="5"/>
  <c r="AP131" i="5"/>
  <c r="AS131" i="5" s="1"/>
  <c r="BM131" i="5"/>
  <c r="BP131" i="5" s="1"/>
  <c r="BE131" i="5"/>
  <c r="BH131" i="5" s="1"/>
  <c r="AW131" i="5"/>
  <c r="AZ131" i="5" s="1"/>
  <c r="Y131" i="5"/>
  <c r="W122" i="4"/>
  <c r="Q122" i="4"/>
  <c r="T122" i="4"/>
  <c r="G123" i="4"/>
  <c r="B123" i="4"/>
  <c r="I123" i="4"/>
  <c r="A124" i="4"/>
  <c r="C123" i="4"/>
  <c r="P123" i="4"/>
  <c r="Y123" i="4"/>
  <c r="M123" i="4"/>
  <c r="S123" i="4"/>
  <c r="AG123" i="4"/>
  <c r="K123" i="4"/>
  <c r="AC123" i="4"/>
  <c r="E123" i="4"/>
  <c r="V123" i="4"/>
  <c r="Z122" i="4"/>
  <c r="AH122" i="4"/>
  <c r="AD122" i="4"/>
  <c r="AK124" i="3"/>
  <c r="AJ124" i="3"/>
  <c r="AU124" i="3"/>
  <c r="AT124" i="3"/>
  <c r="AC124" i="3"/>
  <c r="AB124" i="3"/>
  <c r="AG124" i="3"/>
  <c r="AF124" i="3"/>
  <c r="Y124" i="3"/>
  <c r="X124" i="3"/>
  <c r="A126" i="3"/>
  <c r="J125" i="3"/>
  <c r="D125" i="3"/>
  <c r="K125" i="3"/>
  <c r="E125" i="3"/>
  <c r="N125" i="3"/>
  <c r="M125" i="3"/>
  <c r="C125" i="3"/>
  <c r="B125" i="3"/>
  <c r="AI125" i="3"/>
  <c r="H125" i="3"/>
  <c r="P125" i="3"/>
  <c r="W125" i="3"/>
  <c r="Q125" i="3"/>
  <c r="T125" i="3"/>
  <c r="S125" i="3"/>
  <c r="AE125" i="3"/>
  <c r="AA125" i="3"/>
  <c r="AN125" i="3"/>
  <c r="AS125" i="3"/>
  <c r="G125" i="3"/>
  <c r="AP124" i="3"/>
  <c r="AO124" i="3"/>
  <c r="BG114" i="1"/>
  <c r="BF114" i="1"/>
  <c r="BH114" i="1"/>
  <c r="CR139" i="2"/>
  <c r="CU139" i="2" s="1"/>
  <c r="A140" i="2"/>
  <c r="CF139" i="2"/>
  <c r="CI139" i="2" s="1"/>
  <c r="BT139" i="2"/>
  <c r="BW139" i="2" s="1"/>
  <c r="BK139" i="2"/>
  <c r="BN139" i="2" s="1"/>
  <c r="CG139" i="2"/>
  <c r="CJ139" i="2" s="1"/>
  <c r="CS139" i="2"/>
  <c r="CV139" i="2" s="1"/>
  <c r="BU139" i="2"/>
  <c r="BX139" i="2" s="1"/>
  <c r="BL139" i="2"/>
  <c r="BO139" i="2" s="1"/>
  <c r="BB139" i="2"/>
  <c r="BE139" i="2" s="1"/>
  <c r="BC139" i="2"/>
  <c r="BF139" i="2" s="1"/>
  <c r="AJ138" i="2"/>
  <c r="S138" i="2"/>
  <c r="M138" i="2"/>
  <c r="Y138" i="2"/>
  <c r="F138" i="2"/>
  <c r="AD138" i="2"/>
  <c r="L138" i="2"/>
  <c r="G138" i="2"/>
  <c r="AE138" i="2"/>
  <c r="R138" i="2"/>
  <c r="X138" i="2"/>
  <c r="AK138" i="2"/>
  <c r="AT138" i="2"/>
  <c r="AW138" i="2" s="1"/>
  <c r="AS138" i="2"/>
  <c r="AV138" i="2" s="1"/>
  <c r="AU137" i="2"/>
  <c r="BD137" i="2"/>
  <c r="CT137" i="2"/>
  <c r="BV137" i="2"/>
  <c r="BM137" i="2"/>
  <c r="CH137" i="2"/>
  <c r="E138" i="2"/>
  <c r="Q138" i="2"/>
  <c r="D138" i="2"/>
  <c r="B138" i="2"/>
  <c r="C138" i="2"/>
  <c r="W138" i="2"/>
  <c r="AC138" i="2"/>
  <c r="BS138" i="2"/>
  <c r="K138" i="2"/>
  <c r="CE138" i="2"/>
  <c r="BA138" i="2"/>
  <c r="AR138" i="2"/>
  <c r="CQ138" i="2"/>
  <c r="BJ138" i="2"/>
  <c r="AI138" i="2"/>
  <c r="AV113" i="1"/>
  <c r="AU113" i="1"/>
  <c r="AT113" i="1"/>
  <c r="AZ113" i="1"/>
  <c r="BA113" i="1"/>
  <c r="BB113" i="1"/>
  <c r="AE113" i="1"/>
  <c r="AG113" i="1"/>
  <c r="AF113" i="1"/>
  <c r="AP113" i="1"/>
  <c r="AO113" i="1"/>
  <c r="AQ113" i="1"/>
  <c r="K114" i="1"/>
  <c r="Y114" i="1"/>
  <c r="G114" i="1"/>
  <c r="F114" i="1"/>
  <c r="O114" i="1"/>
  <c r="AI114" i="1"/>
  <c r="S114" i="1"/>
  <c r="J114" i="1"/>
  <c r="R114" i="1"/>
  <c r="B114" i="1"/>
  <c r="W114" i="1"/>
  <c r="Q114" i="1"/>
  <c r="Z114" i="1"/>
  <c r="E114" i="1"/>
  <c r="A115" i="1"/>
  <c r="BE115" i="1" s="1"/>
  <c r="M114" i="1"/>
  <c r="AD114" i="1"/>
  <c r="AN114" i="1"/>
  <c r="U114" i="1"/>
  <c r="AS114" i="1"/>
  <c r="C114" i="1"/>
  <c r="AA114" i="1"/>
  <c r="N114" i="1"/>
  <c r="I114" i="1"/>
  <c r="V114" i="1"/>
  <c r="D114" i="1"/>
  <c r="AY114" i="1"/>
  <c r="AK113" i="1"/>
  <c r="AJ113" i="1"/>
  <c r="AL113" i="1"/>
  <c r="M132" i="5" l="1"/>
  <c r="E132" i="5"/>
  <c r="A133" i="5"/>
  <c r="L132" i="5"/>
  <c r="C132" i="5"/>
  <c r="P132" i="5"/>
  <c r="D132" i="5"/>
  <c r="B132" i="5"/>
  <c r="Q132" i="5"/>
  <c r="X132" i="5"/>
  <c r="AD132" i="5"/>
  <c r="AG132" i="5" s="1"/>
  <c r="AJ132" i="5"/>
  <c r="AM132" i="5" s="1"/>
  <c r="AE132" i="5"/>
  <c r="BD132" i="5"/>
  <c r="BG132" i="5" s="1"/>
  <c r="H132" i="5"/>
  <c r="AV132" i="5"/>
  <c r="AY132" i="5" s="1"/>
  <c r="I132" i="5"/>
  <c r="BL132" i="5"/>
  <c r="BO132" i="5" s="1"/>
  <c r="AK132" i="5"/>
  <c r="AQ132" i="5"/>
  <c r="U132" i="5"/>
  <c r="AP132" i="5"/>
  <c r="AS132" i="5" s="1"/>
  <c r="T132" i="5"/>
  <c r="Y132" i="5"/>
  <c r="BE132" i="5"/>
  <c r="BH132" i="5" s="1"/>
  <c r="BM132" i="5"/>
  <c r="BP132" i="5" s="1"/>
  <c r="AW132" i="5"/>
  <c r="AZ132" i="5" s="1"/>
  <c r="Z123" i="4"/>
  <c r="Q123" i="4"/>
  <c r="W123" i="4"/>
  <c r="T123" i="4"/>
  <c r="G124" i="4"/>
  <c r="B124" i="4"/>
  <c r="I124" i="4"/>
  <c r="A125" i="4"/>
  <c r="C124" i="4"/>
  <c r="AC124" i="4"/>
  <c r="AG124" i="4"/>
  <c r="E124" i="4"/>
  <c r="K124" i="4"/>
  <c r="P124" i="4"/>
  <c r="V124" i="4"/>
  <c r="S124" i="4"/>
  <c r="M124" i="4"/>
  <c r="Y124" i="4"/>
  <c r="AH123" i="4"/>
  <c r="AD123" i="4"/>
  <c r="AG125" i="3"/>
  <c r="AF125" i="3"/>
  <c r="AU125" i="3"/>
  <c r="AT125" i="3"/>
  <c r="AK125" i="3"/>
  <c r="AJ125" i="3"/>
  <c r="K126" i="3"/>
  <c r="E126" i="3"/>
  <c r="N126" i="3"/>
  <c r="C126" i="3"/>
  <c r="M126" i="3"/>
  <c r="B126" i="3"/>
  <c r="D126" i="3"/>
  <c r="J126" i="3"/>
  <c r="A127" i="3"/>
  <c r="AE126" i="3"/>
  <c r="W126" i="3"/>
  <c r="AA126" i="3"/>
  <c r="H126" i="3"/>
  <c r="G126" i="3"/>
  <c r="P126" i="3"/>
  <c r="AI126" i="3"/>
  <c r="AS126" i="3"/>
  <c r="Q126" i="3"/>
  <c r="AN126" i="3"/>
  <c r="S126" i="3"/>
  <c r="T126" i="3"/>
  <c r="AP125" i="3"/>
  <c r="AO125" i="3"/>
  <c r="AC125" i="3"/>
  <c r="AB125" i="3"/>
  <c r="Y125" i="3"/>
  <c r="X125" i="3"/>
  <c r="BG115" i="1"/>
  <c r="BH115" i="1"/>
  <c r="BF115" i="1"/>
  <c r="CS140" i="2"/>
  <c r="CV140" i="2" s="1"/>
  <c r="CG140" i="2"/>
  <c r="CJ140" i="2" s="1"/>
  <c r="A141" i="2"/>
  <c r="CR140" i="2"/>
  <c r="CU140" i="2" s="1"/>
  <c r="CF140" i="2"/>
  <c r="CI140" i="2" s="1"/>
  <c r="BU140" i="2"/>
  <c r="BX140" i="2" s="1"/>
  <c r="BT140" i="2"/>
  <c r="BW140" i="2" s="1"/>
  <c r="BC140" i="2"/>
  <c r="BF140" i="2" s="1"/>
  <c r="BK140" i="2"/>
  <c r="BN140" i="2" s="1"/>
  <c r="BB140" i="2"/>
  <c r="BE140" i="2" s="1"/>
  <c r="BL140" i="2"/>
  <c r="BO140" i="2" s="1"/>
  <c r="Y139" i="2"/>
  <c r="AJ139" i="2"/>
  <c r="X139" i="2"/>
  <c r="AD139" i="2"/>
  <c r="S139" i="2"/>
  <c r="R139" i="2"/>
  <c r="AK139" i="2"/>
  <c r="M139" i="2"/>
  <c r="AE139" i="2"/>
  <c r="L139" i="2"/>
  <c r="G139" i="2"/>
  <c r="F139" i="2"/>
  <c r="AS139" i="2"/>
  <c r="AV139" i="2" s="1"/>
  <c r="AT139" i="2"/>
  <c r="AW139" i="2" s="1"/>
  <c r="CT138" i="2"/>
  <c r="B139" i="2"/>
  <c r="W139" i="2"/>
  <c r="C139" i="2"/>
  <c r="Q139" i="2"/>
  <c r="E139" i="2"/>
  <c r="D139" i="2"/>
  <c r="CQ139" i="2"/>
  <c r="AI139" i="2"/>
  <c r="AR139" i="2"/>
  <c r="BS139" i="2"/>
  <c r="BJ139" i="2"/>
  <c r="CE139" i="2"/>
  <c r="K139" i="2"/>
  <c r="BA139" i="2"/>
  <c r="AC139" i="2"/>
  <c r="AU138" i="2"/>
  <c r="CH138" i="2"/>
  <c r="BM138" i="2"/>
  <c r="BV138" i="2"/>
  <c r="BD138" i="2"/>
  <c r="AV114" i="1"/>
  <c r="AU114" i="1"/>
  <c r="AT114" i="1"/>
  <c r="BA114" i="1"/>
  <c r="BB114" i="1"/>
  <c r="AZ114" i="1"/>
  <c r="M115" i="1"/>
  <c r="Q115" i="1"/>
  <c r="U115" i="1"/>
  <c r="N115" i="1"/>
  <c r="AY115" i="1"/>
  <c r="AD115" i="1"/>
  <c r="G115" i="1"/>
  <c r="B115" i="1"/>
  <c r="O115" i="1"/>
  <c r="Z115" i="1"/>
  <c r="I115" i="1"/>
  <c r="AS115" i="1"/>
  <c r="W115" i="1"/>
  <c r="C115" i="1"/>
  <c r="F115" i="1"/>
  <c r="Y115" i="1"/>
  <c r="D115" i="1"/>
  <c r="AN115" i="1"/>
  <c r="R115" i="1"/>
  <c r="V115" i="1"/>
  <c r="J115" i="1"/>
  <c r="E115" i="1"/>
  <c r="S115" i="1"/>
  <c r="A116" i="1"/>
  <c r="BE116" i="1" s="1"/>
  <c r="AI115" i="1"/>
  <c r="K115" i="1"/>
  <c r="AA115" i="1"/>
  <c r="AQ114" i="1"/>
  <c r="AP114" i="1"/>
  <c r="AO114" i="1"/>
  <c r="AJ114" i="1"/>
  <c r="AK114" i="1"/>
  <c r="AL114" i="1"/>
  <c r="AF114" i="1"/>
  <c r="AE114" i="1"/>
  <c r="AG114" i="1"/>
  <c r="P133" i="5" l="1"/>
  <c r="B133" i="5"/>
  <c r="A134" i="5"/>
  <c r="Q133" i="5"/>
  <c r="D133" i="5"/>
  <c r="M133" i="5"/>
  <c r="E133" i="5"/>
  <c r="C133" i="5"/>
  <c r="L133" i="5"/>
  <c r="X133" i="5"/>
  <c r="AD133" i="5"/>
  <c r="AG133" i="5" s="1"/>
  <c r="AV133" i="5"/>
  <c r="AY133" i="5" s="1"/>
  <c r="AE133" i="5"/>
  <c r="AJ133" i="5"/>
  <c r="AM133" i="5" s="1"/>
  <c r="BL133" i="5"/>
  <c r="BO133" i="5" s="1"/>
  <c r="AK133" i="5"/>
  <c r="BD133" i="5"/>
  <c r="BG133" i="5" s="1"/>
  <c r="H133" i="5"/>
  <c r="AP133" i="5"/>
  <c r="AS133" i="5" s="1"/>
  <c r="I133" i="5"/>
  <c r="U133" i="5"/>
  <c r="T133" i="5"/>
  <c r="AQ133" i="5"/>
  <c r="Y133" i="5"/>
  <c r="BM133" i="5"/>
  <c r="BP133" i="5" s="1"/>
  <c r="AW133" i="5"/>
  <c r="AZ133" i="5" s="1"/>
  <c r="BE133" i="5"/>
  <c r="BH133" i="5" s="1"/>
  <c r="Q124" i="4"/>
  <c r="AD124" i="4"/>
  <c r="Z124" i="4"/>
  <c r="G125" i="4"/>
  <c r="B125" i="4"/>
  <c r="I125" i="4"/>
  <c r="C125" i="4"/>
  <c r="A126" i="4"/>
  <c r="M125" i="4"/>
  <c r="S125" i="4"/>
  <c r="P125" i="4"/>
  <c r="AG125" i="4"/>
  <c r="AC125" i="4"/>
  <c r="E125" i="4"/>
  <c r="V125" i="4"/>
  <c r="Y125" i="4"/>
  <c r="K125" i="4"/>
  <c r="AH124" i="4"/>
  <c r="T124" i="4"/>
  <c r="W124" i="4"/>
  <c r="A128" i="3"/>
  <c r="N127" i="3"/>
  <c r="C127" i="3"/>
  <c r="M127" i="3"/>
  <c r="B127" i="3"/>
  <c r="J127" i="3"/>
  <c r="D127" i="3"/>
  <c r="K127" i="3"/>
  <c r="E127" i="3"/>
  <c r="AI127" i="3"/>
  <c r="AE127" i="3"/>
  <c r="W127" i="3"/>
  <c r="H127" i="3"/>
  <c r="AN127" i="3"/>
  <c r="P127" i="3"/>
  <c r="Q127" i="3"/>
  <c r="AA127" i="3"/>
  <c r="G127" i="3"/>
  <c r="S127" i="3"/>
  <c r="AS127" i="3"/>
  <c r="T127" i="3"/>
  <c r="Y126" i="3"/>
  <c r="X126" i="3"/>
  <c r="AG126" i="3"/>
  <c r="AF126" i="3"/>
  <c r="AK126" i="3"/>
  <c r="AJ126" i="3"/>
  <c r="AP126" i="3"/>
  <c r="AO126" i="3"/>
  <c r="AU126" i="3"/>
  <c r="AT126" i="3"/>
  <c r="AB126" i="3"/>
  <c r="AC126" i="3"/>
  <c r="BH116" i="1"/>
  <c r="BG116" i="1"/>
  <c r="BF116" i="1"/>
  <c r="A142" i="2"/>
  <c r="CR141" i="2"/>
  <c r="CU141" i="2" s="1"/>
  <c r="CF141" i="2"/>
  <c r="CI141" i="2" s="1"/>
  <c r="CS141" i="2"/>
  <c r="CV141" i="2" s="1"/>
  <c r="CG141" i="2"/>
  <c r="CJ141" i="2" s="1"/>
  <c r="BT141" i="2"/>
  <c r="BW141" i="2" s="1"/>
  <c r="BK141" i="2"/>
  <c r="BN141" i="2" s="1"/>
  <c r="BU141" i="2"/>
  <c r="BX141" i="2" s="1"/>
  <c r="BB141" i="2"/>
  <c r="BE141" i="2" s="1"/>
  <c r="BL141" i="2"/>
  <c r="BO141" i="2" s="1"/>
  <c r="BC141" i="2"/>
  <c r="BF141" i="2" s="1"/>
  <c r="AJ140" i="2"/>
  <c r="AD140" i="2"/>
  <c r="AE140" i="2"/>
  <c r="R140" i="2"/>
  <c r="Y140" i="2"/>
  <c r="X140" i="2"/>
  <c r="G140" i="2"/>
  <c r="AK140" i="2"/>
  <c r="F140" i="2"/>
  <c r="S140" i="2"/>
  <c r="M140" i="2"/>
  <c r="L140" i="2"/>
  <c r="AS140" i="2"/>
  <c r="AV140" i="2" s="1"/>
  <c r="AT140" i="2"/>
  <c r="AW140" i="2" s="1"/>
  <c r="BV139" i="2"/>
  <c r="CT139" i="2"/>
  <c r="BD139" i="2"/>
  <c r="BM139" i="2"/>
  <c r="D140" i="2"/>
  <c r="C140" i="2"/>
  <c r="W140" i="2"/>
  <c r="B140" i="2"/>
  <c r="Q140" i="2"/>
  <c r="E140" i="2"/>
  <c r="BJ140" i="2"/>
  <c r="AI140" i="2"/>
  <c r="CE140" i="2"/>
  <c r="K140" i="2"/>
  <c r="BS140" i="2"/>
  <c r="CQ140" i="2"/>
  <c r="BA140" i="2"/>
  <c r="AR140" i="2"/>
  <c r="AC140" i="2"/>
  <c r="AU139" i="2"/>
  <c r="CH139" i="2"/>
  <c r="AP115" i="1"/>
  <c r="AQ115" i="1"/>
  <c r="AO115" i="1"/>
  <c r="AG115" i="1"/>
  <c r="AE115" i="1"/>
  <c r="AF115" i="1"/>
  <c r="AJ115" i="1"/>
  <c r="AL115" i="1"/>
  <c r="AK115" i="1"/>
  <c r="BA115" i="1"/>
  <c r="BB115" i="1"/>
  <c r="AZ115" i="1"/>
  <c r="AA116" i="1"/>
  <c r="F116" i="1"/>
  <c r="O116" i="1"/>
  <c r="I116" i="1"/>
  <c r="R116" i="1"/>
  <c r="AS116" i="1"/>
  <c r="A117" i="1"/>
  <c r="BE117" i="1" s="1"/>
  <c r="V116" i="1"/>
  <c r="B116" i="1"/>
  <c r="J116" i="1"/>
  <c r="AY116" i="1"/>
  <c r="G116" i="1"/>
  <c r="W116" i="1"/>
  <c r="N116" i="1"/>
  <c r="S116" i="1"/>
  <c r="D116" i="1"/>
  <c r="Q116" i="1"/>
  <c r="Z116" i="1"/>
  <c r="E116" i="1"/>
  <c r="AN116" i="1"/>
  <c r="Y116" i="1"/>
  <c r="C116" i="1"/>
  <c r="M116" i="1"/>
  <c r="U116" i="1"/>
  <c r="AD116" i="1"/>
  <c r="AI116" i="1"/>
  <c r="K116" i="1"/>
  <c r="AT115" i="1"/>
  <c r="AV115" i="1"/>
  <c r="AU115" i="1"/>
  <c r="Q134" i="5" l="1"/>
  <c r="C134" i="5"/>
  <c r="L134" i="5"/>
  <c r="A135" i="5"/>
  <c r="D134" i="5"/>
  <c r="P134" i="5"/>
  <c r="B134" i="5"/>
  <c r="E134" i="5"/>
  <c r="M134" i="5"/>
  <c r="X134" i="5"/>
  <c r="AD134" i="5"/>
  <c r="AG134" i="5" s="1"/>
  <c r="AJ134" i="5"/>
  <c r="AM134" i="5" s="1"/>
  <c r="AK134" i="5"/>
  <c r="AV134" i="5"/>
  <c r="AY134" i="5" s="1"/>
  <c r="BD134" i="5"/>
  <c r="BG134" i="5" s="1"/>
  <c r="AE134" i="5"/>
  <c r="H134" i="5"/>
  <c r="BL134" i="5"/>
  <c r="BO134" i="5" s="1"/>
  <c r="I134" i="5"/>
  <c r="T134" i="5"/>
  <c r="AQ134" i="5"/>
  <c r="AP134" i="5"/>
  <c r="AS134" i="5" s="1"/>
  <c r="U134" i="5"/>
  <c r="BM134" i="5"/>
  <c r="BP134" i="5" s="1"/>
  <c r="BE134" i="5"/>
  <c r="BH134" i="5" s="1"/>
  <c r="Y134" i="5"/>
  <c r="AW134" i="5"/>
  <c r="AZ134" i="5" s="1"/>
  <c r="W125" i="4"/>
  <c r="T125" i="4"/>
  <c r="AD125" i="4"/>
  <c r="A127" i="4"/>
  <c r="G126" i="4"/>
  <c r="B126" i="4"/>
  <c r="C126" i="4"/>
  <c r="I126" i="4"/>
  <c r="V126" i="4"/>
  <c r="AG126" i="4"/>
  <c r="K126" i="4"/>
  <c r="Y126" i="4"/>
  <c r="P126" i="4"/>
  <c r="M126" i="4"/>
  <c r="AC126" i="4"/>
  <c r="S126" i="4"/>
  <c r="E126" i="4"/>
  <c r="AH125" i="4"/>
  <c r="Z125" i="4"/>
  <c r="Q125" i="4"/>
  <c r="AC127" i="3"/>
  <c r="AB127" i="3"/>
  <c r="AU127" i="3"/>
  <c r="AT127" i="3"/>
  <c r="AO127" i="3"/>
  <c r="AP127" i="3"/>
  <c r="AJ127" i="3"/>
  <c r="AK127" i="3"/>
  <c r="Y127" i="3"/>
  <c r="X127" i="3"/>
  <c r="AG127" i="3"/>
  <c r="AF127" i="3"/>
  <c r="M128" i="3"/>
  <c r="B128" i="3"/>
  <c r="N128" i="3"/>
  <c r="J128" i="3"/>
  <c r="C128" i="3"/>
  <c r="E128" i="3"/>
  <c r="D128" i="3"/>
  <c r="K128" i="3"/>
  <c r="A129" i="3"/>
  <c r="T128" i="3"/>
  <c r="AI128" i="3"/>
  <c r="AN128" i="3"/>
  <c r="H128" i="3"/>
  <c r="P128" i="3"/>
  <c r="S128" i="3"/>
  <c r="Q128" i="3"/>
  <c r="AE128" i="3"/>
  <c r="G128" i="3"/>
  <c r="W128" i="3"/>
  <c r="AA128" i="3"/>
  <c r="AS128" i="3"/>
  <c r="BF117" i="1"/>
  <c r="BH117" i="1"/>
  <c r="BG117" i="1"/>
  <c r="CR142" i="2"/>
  <c r="CU142" i="2" s="1"/>
  <c r="CS142" i="2"/>
  <c r="CV142" i="2" s="1"/>
  <c r="BU142" i="2"/>
  <c r="BX142" i="2" s="1"/>
  <c r="A143" i="2"/>
  <c r="CF142" i="2"/>
  <c r="CI142" i="2" s="1"/>
  <c r="CG142" i="2"/>
  <c r="CJ142" i="2" s="1"/>
  <c r="BB142" i="2"/>
  <c r="BE142" i="2" s="1"/>
  <c r="BT142" i="2"/>
  <c r="BW142" i="2" s="1"/>
  <c r="BL142" i="2"/>
  <c r="BO142" i="2" s="1"/>
  <c r="BK142" i="2"/>
  <c r="BN142" i="2" s="1"/>
  <c r="BC142" i="2"/>
  <c r="BF142" i="2" s="1"/>
  <c r="AJ141" i="2"/>
  <c r="X141" i="2"/>
  <c r="Y141" i="2"/>
  <c r="G141" i="2"/>
  <c r="AE141" i="2"/>
  <c r="M141" i="2"/>
  <c r="S141" i="2"/>
  <c r="R141" i="2"/>
  <c r="F141" i="2"/>
  <c r="AK141" i="2"/>
  <c r="L141" i="2"/>
  <c r="AD141" i="2"/>
  <c r="AT141" i="2"/>
  <c r="AW141" i="2" s="1"/>
  <c r="AS141" i="2"/>
  <c r="AV141" i="2" s="1"/>
  <c r="CH140" i="2"/>
  <c r="BD140" i="2"/>
  <c r="W141" i="2"/>
  <c r="C141" i="2"/>
  <c r="E141" i="2"/>
  <c r="D141" i="2"/>
  <c r="Q141" i="2"/>
  <c r="B141" i="2"/>
  <c r="BS141" i="2"/>
  <c r="CE141" i="2"/>
  <c r="K141" i="2"/>
  <c r="AR141" i="2"/>
  <c r="CQ141" i="2"/>
  <c r="AI141" i="2"/>
  <c r="BA141" i="2"/>
  <c r="BJ141" i="2"/>
  <c r="AC141" i="2"/>
  <c r="AU140" i="2"/>
  <c r="BM140" i="2"/>
  <c r="CT140" i="2"/>
  <c r="BV140" i="2"/>
  <c r="AQ116" i="1"/>
  <c r="AO116" i="1"/>
  <c r="AP116" i="1"/>
  <c r="AE116" i="1"/>
  <c r="AG116" i="1"/>
  <c r="AF116" i="1"/>
  <c r="BB116" i="1"/>
  <c r="AZ116" i="1"/>
  <c r="BA116" i="1"/>
  <c r="Y117" i="1"/>
  <c r="D117" i="1"/>
  <c r="AN117" i="1"/>
  <c r="R117" i="1"/>
  <c r="AA117" i="1"/>
  <c r="O117" i="1"/>
  <c r="V117" i="1"/>
  <c r="S117" i="1"/>
  <c r="A118" i="1"/>
  <c r="BE118" i="1" s="1"/>
  <c r="AI117" i="1"/>
  <c r="M117" i="1"/>
  <c r="Q117" i="1"/>
  <c r="U117" i="1"/>
  <c r="E117" i="1"/>
  <c r="I117" i="1"/>
  <c r="AS117" i="1"/>
  <c r="W117" i="1"/>
  <c r="J117" i="1"/>
  <c r="N117" i="1"/>
  <c r="AY117" i="1"/>
  <c r="AD117" i="1"/>
  <c r="G117" i="1"/>
  <c r="F117" i="1"/>
  <c r="K117" i="1"/>
  <c r="B117" i="1"/>
  <c r="C117" i="1"/>
  <c r="Z117" i="1"/>
  <c r="AK116" i="1"/>
  <c r="AJ116" i="1"/>
  <c r="AL116" i="1"/>
  <c r="AT116" i="1"/>
  <c r="AU116" i="1"/>
  <c r="AV116" i="1"/>
  <c r="M135" i="5" l="1"/>
  <c r="E135" i="5"/>
  <c r="A136" i="5"/>
  <c r="L135" i="5"/>
  <c r="D135" i="5"/>
  <c r="Q135" i="5"/>
  <c r="P135" i="5"/>
  <c r="C135" i="5"/>
  <c r="B135" i="5"/>
  <c r="AD135" i="5"/>
  <c r="AG135" i="5" s="1"/>
  <c r="AK135" i="5"/>
  <c r="AJ135" i="5"/>
  <c r="AM135" i="5" s="1"/>
  <c r="AV135" i="5"/>
  <c r="AY135" i="5" s="1"/>
  <c r="BD135" i="5"/>
  <c r="BG135" i="5" s="1"/>
  <c r="BL135" i="5"/>
  <c r="BO135" i="5" s="1"/>
  <c r="T135" i="5"/>
  <c r="X135" i="5"/>
  <c r="AP135" i="5"/>
  <c r="AS135" i="5" s="1"/>
  <c r="I135" i="5"/>
  <c r="H135" i="5"/>
  <c r="U135" i="5"/>
  <c r="AW135" i="5"/>
  <c r="AZ135" i="5" s="1"/>
  <c r="AE135" i="5"/>
  <c r="AQ135" i="5"/>
  <c r="Y135" i="5"/>
  <c r="BE135" i="5"/>
  <c r="BH135" i="5" s="1"/>
  <c r="BM135" i="5"/>
  <c r="BP135" i="5" s="1"/>
  <c r="AH126" i="4"/>
  <c r="W126" i="4"/>
  <c r="A128" i="4"/>
  <c r="C127" i="4"/>
  <c r="B127" i="4"/>
  <c r="G127" i="4"/>
  <c r="I127" i="4"/>
  <c r="M127" i="4"/>
  <c r="P127" i="4"/>
  <c r="S127" i="4"/>
  <c r="AC127" i="4"/>
  <c r="E127" i="4"/>
  <c r="V127" i="4"/>
  <c r="K127" i="4"/>
  <c r="AG127" i="4"/>
  <c r="Y127" i="4"/>
  <c r="Q126" i="4"/>
  <c r="AD126" i="4"/>
  <c r="T126" i="4"/>
  <c r="Z126" i="4"/>
  <c r="X128" i="3"/>
  <c r="Y128" i="3"/>
  <c r="AJ128" i="3"/>
  <c r="AK128" i="3"/>
  <c r="AB128" i="3"/>
  <c r="AC128" i="3"/>
  <c r="AT128" i="3"/>
  <c r="AU128" i="3"/>
  <c r="AP128" i="3"/>
  <c r="AO128" i="3"/>
  <c r="AF128" i="3"/>
  <c r="AG128" i="3"/>
  <c r="A130" i="3"/>
  <c r="J129" i="3"/>
  <c r="D129" i="3"/>
  <c r="M129" i="3"/>
  <c r="E129" i="3"/>
  <c r="C129" i="3"/>
  <c r="N129" i="3"/>
  <c r="K129" i="3"/>
  <c r="B129" i="3"/>
  <c r="G129" i="3"/>
  <c r="Q129" i="3"/>
  <c r="AE129" i="3"/>
  <c r="S129" i="3"/>
  <c r="AN129" i="3"/>
  <c r="T129" i="3"/>
  <c r="AI129" i="3"/>
  <c r="W129" i="3"/>
  <c r="H129" i="3"/>
  <c r="AS129" i="3"/>
  <c r="P129" i="3"/>
  <c r="AA129" i="3"/>
  <c r="BF118" i="1"/>
  <c r="BH118" i="1"/>
  <c r="BG118" i="1"/>
  <c r="CR143" i="2"/>
  <c r="CU143" i="2" s="1"/>
  <c r="CS143" i="2"/>
  <c r="CV143" i="2" s="1"/>
  <c r="BT143" i="2"/>
  <c r="BW143" i="2" s="1"/>
  <c r="BL143" i="2"/>
  <c r="BO143" i="2" s="1"/>
  <c r="A144" i="2"/>
  <c r="BK143" i="2"/>
  <c r="BN143" i="2" s="1"/>
  <c r="CG143" i="2"/>
  <c r="CJ143" i="2" s="1"/>
  <c r="CF143" i="2"/>
  <c r="CI143" i="2" s="1"/>
  <c r="BU143" i="2"/>
  <c r="BX143" i="2" s="1"/>
  <c r="BC143" i="2"/>
  <c r="BF143" i="2" s="1"/>
  <c r="BB143" i="2"/>
  <c r="BE143" i="2" s="1"/>
  <c r="AD142" i="2"/>
  <c r="AJ142" i="2"/>
  <c r="AE142" i="2"/>
  <c r="Y142" i="2"/>
  <c r="S142" i="2"/>
  <c r="M142" i="2"/>
  <c r="G142" i="2"/>
  <c r="R142" i="2"/>
  <c r="L142" i="2"/>
  <c r="F142" i="2"/>
  <c r="AK142" i="2"/>
  <c r="X142" i="2"/>
  <c r="AS142" i="2"/>
  <c r="AV142" i="2" s="1"/>
  <c r="AT142" i="2"/>
  <c r="AW142" i="2" s="1"/>
  <c r="CH141" i="2"/>
  <c r="BD141" i="2"/>
  <c r="BV141" i="2"/>
  <c r="AU141" i="2"/>
  <c r="E142" i="2"/>
  <c r="W142" i="2"/>
  <c r="C142" i="2"/>
  <c r="Q142" i="2"/>
  <c r="B142" i="2"/>
  <c r="D142" i="2"/>
  <c r="CQ142" i="2"/>
  <c r="K142" i="2"/>
  <c r="BJ142" i="2"/>
  <c r="AR142" i="2"/>
  <c r="CE142" i="2"/>
  <c r="BA142" i="2"/>
  <c r="AC142" i="2"/>
  <c r="AI142" i="2"/>
  <c r="BS142" i="2"/>
  <c r="CT141" i="2"/>
  <c r="BM141" i="2"/>
  <c r="AP117" i="1"/>
  <c r="AQ117" i="1"/>
  <c r="AO117" i="1"/>
  <c r="AF117" i="1"/>
  <c r="AG117" i="1"/>
  <c r="AE117" i="1"/>
  <c r="AJ117" i="1"/>
  <c r="AK117" i="1"/>
  <c r="AL117" i="1"/>
  <c r="AA118" i="1"/>
  <c r="F118" i="1"/>
  <c r="O118" i="1"/>
  <c r="N118" i="1"/>
  <c r="AI118" i="1"/>
  <c r="S118" i="1"/>
  <c r="AY118" i="1"/>
  <c r="W118" i="1"/>
  <c r="G118" i="1"/>
  <c r="K118" i="1"/>
  <c r="AS118" i="1"/>
  <c r="C118" i="1"/>
  <c r="V118" i="1"/>
  <c r="B118" i="1"/>
  <c r="J118" i="1"/>
  <c r="D118" i="1"/>
  <c r="AN118" i="1"/>
  <c r="U118" i="1"/>
  <c r="Y118" i="1"/>
  <c r="I118" i="1"/>
  <c r="Q118" i="1"/>
  <c r="Z118" i="1"/>
  <c r="E118" i="1"/>
  <c r="A119" i="1"/>
  <c r="BE119" i="1" s="1"/>
  <c r="M118" i="1"/>
  <c r="R118" i="1"/>
  <c r="AD118" i="1"/>
  <c r="AZ117" i="1"/>
  <c r="BA117" i="1"/>
  <c r="BB117" i="1"/>
  <c r="AV117" i="1"/>
  <c r="AT117" i="1"/>
  <c r="AU117" i="1"/>
  <c r="P136" i="5" l="1"/>
  <c r="B136" i="5"/>
  <c r="L136" i="5"/>
  <c r="C136" i="5"/>
  <c r="E136" i="5"/>
  <c r="Q136" i="5"/>
  <c r="M136" i="5"/>
  <c r="D136" i="5"/>
  <c r="A137" i="5"/>
  <c r="AK136" i="5"/>
  <c r="AE136" i="5"/>
  <c r="BL136" i="5"/>
  <c r="BO136" i="5" s="1"/>
  <c r="H136" i="5"/>
  <c r="AD136" i="5"/>
  <c r="AG136" i="5" s="1"/>
  <c r="AJ136" i="5"/>
  <c r="AM136" i="5" s="1"/>
  <c r="AV136" i="5"/>
  <c r="AY136" i="5" s="1"/>
  <c r="BD136" i="5"/>
  <c r="BG136" i="5" s="1"/>
  <c r="AQ136" i="5"/>
  <c r="AW136" i="5"/>
  <c r="AZ136" i="5" s="1"/>
  <c r="I136" i="5"/>
  <c r="U136" i="5"/>
  <c r="T136" i="5"/>
  <c r="X136" i="5"/>
  <c r="AP136" i="5"/>
  <c r="AS136" i="5" s="1"/>
  <c r="BE136" i="5"/>
  <c r="BH136" i="5" s="1"/>
  <c r="Y136" i="5"/>
  <c r="BM136" i="5"/>
  <c r="BP136" i="5" s="1"/>
  <c r="Z127" i="4"/>
  <c r="T127" i="4"/>
  <c r="AH127" i="4"/>
  <c r="G128" i="4"/>
  <c r="A129" i="4"/>
  <c r="C128" i="4"/>
  <c r="I128" i="4"/>
  <c r="B128" i="4"/>
  <c r="S128" i="4"/>
  <c r="AG128" i="4"/>
  <c r="AC128" i="4"/>
  <c r="P128" i="4"/>
  <c r="E128" i="4"/>
  <c r="V128" i="4"/>
  <c r="K128" i="4"/>
  <c r="M128" i="4"/>
  <c r="Y128" i="4"/>
  <c r="W127" i="4"/>
  <c r="Q127" i="4"/>
  <c r="AD127" i="4"/>
  <c r="AF129" i="3"/>
  <c r="AG129" i="3"/>
  <c r="AB129" i="3"/>
  <c r="AC129" i="3"/>
  <c r="K130" i="3"/>
  <c r="E130" i="3"/>
  <c r="A131" i="3"/>
  <c r="M130" i="3"/>
  <c r="J130" i="3"/>
  <c r="C130" i="3"/>
  <c r="N130" i="3"/>
  <c r="D130" i="3"/>
  <c r="B130" i="3"/>
  <c r="S130" i="3"/>
  <c r="AN130" i="3"/>
  <c r="T130" i="3"/>
  <c r="AS130" i="3"/>
  <c r="Q130" i="3"/>
  <c r="AA130" i="3"/>
  <c r="G130" i="3"/>
  <c r="H130" i="3"/>
  <c r="AE130" i="3"/>
  <c r="W130" i="3"/>
  <c r="AI130" i="3"/>
  <c r="P130" i="3"/>
  <c r="X129" i="3"/>
  <c r="Y129" i="3"/>
  <c r="AJ129" i="3"/>
  <c r="AK129" i="3"/>
  <c r="AT129" i="3"/>
  <c r="AU129" i="3"/>
  <c r="AO129" i="3"/>
  <c r="AP129" i="3"/>
  <c r="BH119" i="1"/>
  <c r="BG119" i="1"/>
  <c r="BF119" i="1"/>
  <c r="A145" i="2"/>
  <c r="CS144" i="2"/>
  <c r="CV144" i="2" s="1"/>
  <c r="CG144" i="2"/>
  <c r="CJ144" i="2" s="1"/>
  <c r="BU144" i="2"/>
  <c r="BX144" i="2" s="1"/>
  <c r="BT144" i="2"/>
  <c r="BW144" i="2" s="1"/>
  <c r="CF144" i="2"/>
  <c r="CI144" i="2" s="1"/>
  <c r="CR144" i="2"/>
  <c r="CU144" i="2" s="1"/>
  <c r="BK144" i="2"/>
  <c r="BN144" i="2" s="1"/>
  <c r="BB144" i="2"/>
  <c r="BE144" i="2" s="1"/>
  <c r="BL144" i="2"/>
  <c r="BO144" i="2" s="1"/>
  <c r="BC144" i="2"/>
  <c r="BF144" i="2" s="1"/>
  <c r="AE143" i="2"/>
  <c r="AK143" i="2"/>
  <c r="AJ143" i="2"/>
  <c r="M143" i="2"/>
  <c r="G143" i="2"/>
  <c r="L143" i="2"/>
  <c r="F143" i="2"/>
  <c r="Y143" i="2"/>
  <c r="X143" i="2"/>
  <c r="S143" i="2"/>
  <c r="R143" i="2"/>
  <c r="AD143" i="2"/>
  <c r="AS143" i="2"/>
  <c r="AV143" i="2" s="1"/>
  <c r="AT143" i="2"/>
  <c r="AW143" i="2" s="1"/>
  <c r="BD142" i="2"/>
  <c r="BM142" i="2"/>
  <c r="CH142" i="2"/>
  <c r="BV142" i="2"/>
  <c r="CT142" i="2"/>
  <c r="B143" i="2"/>
  <c r="E143" i="2"/>
  <c r="D143" i="2"/>
  <c r="Q143" i="2"/>
  <c r="C143" i="2"/>
  <c r="W143" i="2"/>
  <c r="K143" i="2"/>
  <c r="AR143" i="2"/>
  <c r="BA143" i="2"/>
  <c r="BS143" i="2"/>
  <c r="AC143" i="2"/>
  <c r="BJ143" i="2"/>
  <c r="CQ143" i="2"/>
  <c r="CE143" i="2"/>
  <c r="AI143" i="2"/>
  <c r="AU142" i="2"/>
  <c r="AU118" i="1"/>
  <c r="AT118" i="1"/>
  <c r="AV118" i="1"/>
  <c r="AZ118" i="1"/>
  <c r="BA118" i="1"/>
  <c r="BB118" i="1"/>
  <c r="AE118" i="1"/>
  <c r="AF118" i="1"/>
  <c r="AG118" i="1"/>
  <c r="AQ118" i="1"/>
  <c r="AP118" i="1"/>
  <c r="AO118" i="1"/>
  <c r="AL118" i="1"/>
  <c r="AJ118" i="1"/>
  <c r="AK118" i="1"/>
  <c r="N119" i="1"/>
  <c r="AD119" i="1"/>
  <c r="G119" i="1"/>
  <c r="B119" i="1"/>
  <c r="A120" i="1"/>
  <c r="BE120" i="1" s="1"/>
  <c r="E119" i="1"/>
  <c r="AY119" i="1"/>
  <c r="I119" i="1"/>
  <c r="W119" i="1"/>
  <c r="C119" i="1"/>
  <c r="AS119" i="1"/>
  <c r="AA119" i="1"/>
  <c r="AN119" i="1"/>
  <c r="S119" i="1"/>
  <c r="AI119" i="1"/>
  <c r="K119" i="1"/>
  <c r="Z119" i="1"/>
  <c r="Y119" i="1"/>
  <c r="D119" i="1"/>
  <c r="R119" i="1"/>
  <c r="V119" i="1"/>
  <c r="U119" i="1"/>
  <c r="F119" i="1"/>
  <c r="Q119" i="1"/>
  <c r="M119" i="1"/>
  <c r="J119" i="1"/>
  <c r="O119" i="1"/>
  <c r="Q137" i="5" l="1"/>
  <c r="C137" i="5"/>
  <c r="P137" i="5"/>
  <c r="E137" i="5"/>
  <c r="A138" i="5"/>
  <c r="D137" i="5"/>
  <c r="B137" i="5"/>
  <c r="M137" i="5"/>
  <c r="L137" i="5"/>
  <c r="BD137" i="5"/>
  <c r="BG137" i="5" s="1"/>
  <c r="AD137" i="5"/>
  <c r="AG137" i="5" s="1"/>
  <c r="AJ137" i="5"/>
  <c r="AM137" i="5" s="1"/>
  <c r="X137" i="5"/>
  <c r="AE137" i="5"/>
  <c r="AK137" i="5"/>
  <c r="H137" i="5"/>
  <c r="AP137" i="5"/>
  <c r="AS137" i="5" s="1"/>
  <c r="T137" i="5"/>
  <c r="U137" i="5"/>
  <c r="AV137" i="5"/>
  <c r="AY137" i="5" s="1"/>
  <c r="BL137" i="5"/>
  <c r="BO137" i="5" s="1"/>
  <c r="I137" i="5"/>
  <c r="AQ137" i="5"/>
  <c r="AW137" i="5"/>
  <c r="AZ137" i="5" s="1"/>
  <c r="BE137" i="5"/>
  <c r="BH137" i="5" s="1"/>
  <c r="Y137" i="5"/>
  <c r="BM137" i="5"/>
  <c r="BP137" i="5" s="1"/>
  <c r="W128" i="4"/>
  <c r="AH128" i="4"/>
  <c r="C129" i="4"/>
  <c r="A130" i="4"/>
  <c r="I129" i="4"/>
  <c r="G129" i="4"/>
  <c r="B129" i="4"/>
  <c r="M129" i="4"/>
  <c r="S129" i="4"/>
  <c r="AG129" i="4"/>
  <c r="AC129" i="4"/>
  <c r="E129" i="4"/>
  <c r="V129" i="4"/>
  <c r="K129" i="4"/>
  <c r="P129" i="4"/>
  <c r="Y129" i="4"/>
  <c r="Z128" i="4"/>
  <c r="Q128" i="4"/>
  <c r="AD128" i="4"/>
  <c r="T128" i="4"/>
  <c r="AF130" i="3"/>
  <c r="AG130" i="3"/>
  <c r="AP130" i="3"/>
  <c r="AO130" i="3"/>
  <c r="AJ130" i="3"/>
  <c r="AK130" i="3"/>
  <c r="AC130" i="3"/>
  <c r="AB130" i="3"/>
  <c r="AT130" i="3"/>
  <c r="AU130" i="3"/>
  <c r="M131" i="3"/>
  <c r="B131" i="3"/>
  <c r="N131" i="3"/>
  <c r="C131" i="3"/>
  <c r="K131" i="3"/>
  <c r="A132" i="3"/>
  <c r="J131" i="3"/>
  <c r="E131" i="3"/>
  <c r="D131" i="3"/>
  <c r="G131" i="3"/>
  <c r="AE131" i="3"/>
  <c r="W131" i="3"/>
  <c r="AS131" i="3"/>
  <c r="S131" i="3"/>
  <c r="T131" i="3"/>
  <c r="AI131" i="3"/>
  <c r="AN131" i="3"/>
  <c r="Q131" i="3"/>
  <c r="P131" i="3"/>
  <c r="AA131" i="3"/>
  <c r="H131" i="3"/>
  <c r="X130" i="3"/>
  <c r="Y130" i="3"/>
  <c r="BH120" i="1"/>
  <c r="BG120" i="1"/>
  <c r="BF120" i="1"/>
  <c r="A146" i="2"/>
  <c r="CR145" i="2"/>
  <c r="CU145" i="2" s="1"/>
  <c r="CF145" i="2"/>
  <c r="CI145" i="2" s="1"/>
  <c r="CS145" i="2"/>
  <c r="CV145" i="2" s="1"/>
  <c r="CG145" i="2"/>
  <c r="CJ145" i="2" s="1"/>
  <c r="BU145" i="2"/>
  <c r="BX145" i="2" s="1"/>
  <c r="BK145" i="2"/>
  <c r="BN145" i="2" s="1"/>
  <c r="BT145" i="2"/>
  <c r="BW145" i="2" s="1"/>
  <c r="BB145" i="2"/>
  <c r="BE145" i="2" s="1"/>
  <c r="BL145" i="2"/>
  <c r="BO145" i="2" s="1"/>
  <c r="BC145" i="2"/>
  <c r="BF145" i="2" s="1"/>
  <c r="AJ144" i="2"/>
  <c r="AD144" i="2"/>
  <c r="X144" i="2"/>
  <c r="AK144" i="2"/>
  <c r="S144" i="2"/>
  <c r="AE144" i="2"/>
  <c r="M144" i="2"/>
  <c r="L144" i="2"/>
  <c r="R144" i="2"/>
  <c r="G144" i="2"/>
  <c r="F144" i="2"/>
  <c r="Y144" i="2"/>
  <c r="AS144" i="2"/>
  <c r="AV144" i="2" s="1"/>
  <c r="AT144" i="2"/>
  <c r="AW144" i="2" s="1"/>
  <c r="BM143" i="2"/>
  <c r="CT143" i="2"/>
  <c r="BD143" i="2"/>
  <c r="BV143" i="2"/>
  <c r="CH143" i="2"/>
  <c r="AU143" i="2"/>
  <c r="D144" i="2"/>
  <c r="Q144" i="2"/>
  <c r="W144" i="2"/>
  <c r="E144" i="2"/>
  <c r="C144" i="2"/>
  <c r="B144" i="2"/>
  <c r="CE144" i="2"/>
  <c r="BJ144" i="2"/>
  <c r="AR144" i="2"/>
  <c r="AI144" i="2"/>
  <c r="BS144" i="2"/>
  <c r="CQ144" i="2"/>
  <c r="AC144" i="2"/>
  <c r="BA144" i="2"/>
  <c r="K144" i="2"/>
  <c r="AQ119" i="1"/>
  <c r="AO119" i="1"/>
  <c r="AP119" i="1"/>
  <c r="AN120" i="1"/>
  <c r="R120" i="1"/>
  <c r="AA120" i="1"/>
  <c r="F120" i="1"/>
  <c r="E120" i="1"/>
  <c r="J120" i="1"/>
  <c r="A121" i="1"/>
  <c r="BE121" i="1" s="1"/>
  <c r="AI120" i="1"/>
  <c r="M120" i="1"/>
  <c r="B120" i="1"/>
  <c r="Y120" i="1"/>
  <c r="I120" i="1"/>
  <c r="N120" i="1"/>
  <c r="V120" i="1"/>
  <c r="U120" i="1"/>
  <c r="AS120" i="1"/>
  <c r="W120" i="1"/>
  <c r="C120" i="1"/>
  <c r="K120" i="1"/>
  <c r="O120" i="1"/>
  <c r="D120" i="1"/>
  <c r="S120" i="1"/>
  <c r="AY120" i="1"/>
  <c r="AD120" i="1"/>
  <c r="G120" i="1"/>
  <c r="Q120" i="1"/>
  <c r="Z120" i="1"/>
  <c r="AK119" i="1"/>
  <c r="AJ119" i="1"/>
  <c r="AL119" i="1"/>
  <c r="AT119" i="1"/>
  <c r="AU119" i="1"/>
  <c r="AV119" i="1"/>
  <c r="BB119" i="1"/>
  <c r="AZ119" i="1"/>
  <c r="BA119" i="1"/>
  <c r="AE119" i="1"/>
  <c r="AF119" i="1"/>
  <c r="AG119" i="1"/>
  <c r="M138" i="5" l="1"/>
  <c r="E138" i="5"/>
  <c r="A139" i="5"/>
  <c r="L138" i="5"/>
  <c r="D138" i="5"/>
  <c r="C138" i="5"/>
  <c r="B138" i="5"/>
  <c r="Q138" i="5"/>
  <c r="P138" i="5"/>
  <c r="X138" i="5"/>
  <c r="AK138" i="5"/>
  <c r="AE138" i="5"/>
  <c r="BD138" i="5"/>
  <c r="BG138" i="5" s="1"/>
  <c r="AV138" i="5"/>
  <c r="AY138" i="5" s="1"/>
  <c r="AD138" i="5"/>
  <c r="AG138" i="5" s="1"/>
  <c r="AJ138" i="5"/>
  <c r="AM138" i="5" s="1"/>
  <c r="BL138" i="5"/>
  <c r="BO138" i="5" s="1"/>
  <c r="I138" i="5"/>
  <c r="AQ138" i="5"/>
  <c r="H138" i="5"/>
  <c r="T138" i="5"/>
  <c r="AP138" i="5"/>
  <c r="AS138" i="5" s="1"/>
  <c r="U138" i="5"/>
  <c r="BE138" i="5"/>
  <c r="BH138" i="5" s="1"/>
  <c r="Y138" i="5"/>
  <c r="BM138" i="5"/>
  <c r="BP138" i="5" s="1"/>
  <c r="AW138" i="5"/>
  <c r="AZ138" i="5" s="1"/>
  <c r="W129" i="4"/>
  <c r="AD129" i="4"/>
  <c r="Q129" i="4"/>
  <c r="AH129" i="4"/>
  <c r="T129" i="4"/>
  <c r="Z129" i="4"/>
  <c r="A131" i="4"/>
  <c r="I130" i="4"/>
  <c r="C130" i="4"/>
  <c r="B130" i="4"/>
  <c r="G130" i="4"/>
  <c r="M130" i="4"/>
  <c r="AC130" i="4"/>
  <c r="K130" i="4"/>
  <c r="AG130" i="4"/>
  <c r="Y130" i="4"/>
  <c r="E130" i="4"/>
  <c r="S130" i="4"/>
  <c r="P130" i="4"/>
  <c r="V130" i="4"/>
  <c r="AO131" i="3"/>
  <c r="AP131" i="3"/>
  <c r="AF131" i="3"/>
  <c r="AG131" i="3"/>
  <c r="AB131" i="3"/>
  <c r="AC131" i="3"/>
  <c r="AK131" i="3"/>
  <c r="AJ131" i="3"/>
  <c r="AT131" i="3"/>
  <c r="AU131" i="3"/>
  <c r="Y131" i="3"/>
  <c r="X131" i="3"/>
  <c r="N132" i="3"/>
  <c r="C132" i="3"/>
  <c r="K132" i="3"/>
  <c r="E132" i="3"/>
  <c r="A133" i="3"/>
  <c r="J132" i="3"/>
  <c r="D132" i="3"/>
  <c r="B132" i="3"/>
  <c r="M132" i="3"/>
  <c r="AE132" i="3"/>
  <c r="P132" i="3"/>
  <c r="S132" i="3"/>
  <c r="AS132" i="3"/>
  <c r="T132" i="3"/>
  <c r="Q132" i="3"/>
  <c r="H132" i="3"/>
  <c r="AI132" i="3"/>
  <c r="G132" i="3"/>
  <c r="AA132" i="3"/>
  <c r="AN132" i="3"/>
  <c r="W132" i="3"/>
  <c r="BH121" i="1"/>
  <c r="BG121" i="1"/>
  <c r="BF121" i="1"/>
  <c r="BU146" i="2"/>
  <c r="BX146" i="2" s="1"/>
  <c r="CG146" i="2"/>
  <c r="CJ146" i="2" s="1"/>
  <c r="CF146" i="2"/>
  <c r="CI146" i="2" s="1"/>
  <c r="CR146" i="2"/>
  <c r="CU146" i="2" s="1"/>
  <c r="A147" i="2"/>
  <c r="BT146" i="2"/>
  <c r="BW146" i="2" s="1"/>
  <c r="CS146" i="2"/>
  <c r="CV146" i="2" s="1"/>
  <c r="BB146" i="2"/>
  <c r="BE146" i="2" s="1"/>
  <c r="BK146" i="2"/>
  <c r="BN146" i="2" s="1"/>
  <c r="BL146" i="2"/>
  <c r="BO146" i="2" s="1"/>
  <c r="BC146" i="2"/>
  <c r="BF146" i="2" s="1"/>
  <c r="AK145" i="2"/>
  <c r="X145" i="2"/>
  <c r="AJ145" i="2"/>
  <c r="G145" i="2"/>
  <c r="Y145" i="2"/>
  <c r="AE145" i="2"/>
  <c r="AD145" i="2"/>
  <c r="L145" i="2"/>
  <c r="S145" i="2"/>
  <c r="R145" i="2"/>
  <c r="M145" i="2"/>
  <c r="F145" i="2"/>
  <c r="AS145" i="2"/>
  <c r="AV145" i="2" s="1"/>
  <c r="AT145" i="2"/>
  <c r="AW145" i="2" s="1"/>
  <c r="AU144" i="2"/>
  <c r="BM144" i="2"/>
  <c r="BV144" i="2"/>
  <c r="BD144" i="2"/>
  <c r="CH144" i="2"/>
  <c r="CT144" i="2"/>
  <c r="W145" i="2"/>
  <c r="C145" i="2"/>
  <c r="Q145" i="2"/>
  <c r="D145" i="2"/>
  <c r="B145" i="2"/>
  <c r="E145" i="2"/>
  <c r="BA145" i="2"/>
  <c r="K145" i="2"/>
  <c r="BJ145" i="2"/>
  <c r="BS145" i="2"/>
  <c r="AC145" i="2"/>
  <c r="AI145" i="2"/>
  <c r="CE145" i="2"/>
  <c r="AR145" i="2"/>
  <c r="CQ145" i="2"/>
  <c r="BB120" i="1"/>
  <c r="BA120" i="1"/>
  <c r="AZ120" i="1"/>
  <c r="J121" i="1"/>
  <c r="N121" i="1"/>
  <c r="AS121" i="1"/>
  <c r="C121" i="1"/>
  <c r="AN121" i="1"/>
  <c r="AA121" i="1"/>
  <c r="D121" i="1"/>
  <c r="K121" i="1"/>
  <c r="Z121" i="1"/>
  <c r="E121" i="1"/>
  <c r="I121" i="1"/>
  <c r="AI121" i="1"/>
  <c r="V121" i="1"/>
  <c r="R121" i="1"/>
  <c r="G121" i="1"/>
  <c r="U121" i="1"/>
  <c r="W121" i="1"/>
  <c r="F121" i="1"/>
  <c r="Q121" i="1"/>
  <c r="O121" i="1"/>
  <c r="S121" i="1"/>
  <c r="A122" i="1"/>
  <c r="BE122" i="1" s="1"/>
  <c r="M121" i="1"/>
  <c r="B121" i="1"/>
  <c r="AD121" i="1"/>
  <c r="AY121" i="1"/>
  <c r="Y121" i="1"/>
  <c r="AQ120" i="1"/>
  <c r="AO120" i="1"/>
  <c r="AP120" i="1"/>
  <c r="AE120" i="1"/>
  <c r="AF120" i="1"/>
  <c r="AG120" i="1"/>
  <c r="AU120" i="1"/>
  <c r="AT120" i="1"/>
  <c r="AV120" i="1"/>
  <c r="AJ120" i="1"/>
  <c r="AK120" i="1"/>
  <c r="AL120" i="1"/>
  <c r="P139" i="5" l="1"/>
  <c r="B139" i="5"/>
  <c r="Q139" i="5"/>
  <c r="C139" i="5"/>
  <c r="M139" i="5"/>
  <c r="A140" i="5"/>
  <c r="E139" i="5"/>
  <c r="D139" i="5"/>
  <c r="L139" i="5"/>
  <c r="AV139" i="5"/>
  <c r="AY139" i="5" s="1"/>
  <c r="BD139" i="5"/>
  <c r="BG139" i="5" s="1"/>
  <c r="X139" i="5"/>
  <c r="AE139" i="5"/>
  <c r="AD139" i="5"/>
  <c r="AG139" i="5" s="1"/>
  <c r="AK139" i="5"/>
  <c r="AJ139" i="5"/>
  <c r="AM139" i="5" s="1"/>
  <c r="H139" i="5"/>
  <c r="BL139" i="5"/>
  <c r="BO139" i="5" s="1"/>
  <c r="I139" i="5"/>
  <c r="AP139" i="5"/>
  <c r="AS139" i="5" s="1"/>
  <c r="AQ139" i="5"/>
  <c r="T139" i="5"/>
  <c r="U139" i="5"/>
  <c r="AW139" i="5"/>
  <c r="AZ139" i="5" s="1"/>
  <c r="BM139" i="5"/>
  <c r="BP139" i="5" s="1"/>
  <c r="BE139" i="5"/>
  <c r="BH139" i="5" s="1"/>
  <c r="Y139" i="5"/>
  <c r="Z130" i="4"/>
  <c r="Q130" i="4"/>
  <c r="AH130" i="4"/>
  <c r="AD130" i="4"/>
  <c r="W130" i="4"/>
  <c r="T130" i="4"/>
  <c r="C131" i="4"/>
  <c r="I131" i="4"/>
  <c r="B131" i="4"/>
  <c r="A132" i="4"/>
  <c r="G131" i="4"/>
  <c r="AG131" i="4"/>
  <c r="E131" i="4"/>
  <c r="K131" i="4"/>
  <c r="P131" i="4"/>
  <c r="AC131" i="4"/>
  <c r="V131" i="4"/>
  <c r="M131" i="4"/>
  <c r="S131" i="4"/>
  <c r="Y131" i="4"/>
  <c r="AO132" i="3"/>
  <c r="AP132" i="3"/>
  <c r="AU132" i="3"/>
  <c r="AT132" i="3"/>
  <c r="X132" i="3"/>
  <c r="Y132" i="3"/>
  <c r="AJ132" i="3"/>
  <c r="AK132" i="3"/>
  <c r="AG132" i="3"/>
  <c r="AF132" i="3"/>
  <c r="AB132" i="3"/>
  <c r="AC132" i="3"/>
  <c r="K133" i="3"/>
  <c r="E133" i="3"/>
  <c r="A134" i="3"/>
  <c r="J133" i="3"/>
  <c r="D133" i="3"/>
  <c r="M133" i="3"/>
  <c r="B133" i="3"/>
  <c r="N133" i="3"/>
  <c r="C133" i="3"/>
  <c r="AS133" i="3"/>
  <c r="Q133" i="3"/>
  <c r="T133" i="3"/>
  <c r="AN133" i="3"/>
  <c r="W133" i="3"/>
  <c r="S133" i="3"/>
  <c r="AI133" i="3"/>
  <c r="AA133" i="3"/>
  <c r="G133" i="3"/>
  <c r="H133" i="3"/>
  <c r="P133" i="3"/>
  <c r="AE133" i="3"/>
  <c r="BG122" i="1"/>
  <c r="BF122" i="1"/>
  <c r="BH122" i="1"/>
  <c r="CR147" i="2"/>
  <c r="CU147" i="2" s="1"/>
  <c r="A148" i="2"/>
  <c r="CF147" i="2"/>
  <c r="CI147" i="2" s="1"/>
  <c r="BT147" i="2"/>
  <c r="BW147" i="2" s="1"/>
  <c r="BK147" i="2"/>
  <c r="BN147" i="2" s="1"/>
  <c r="BB147" i="2"/>
  <c r="BE147" i="2" s="1"/>
  <c r="CS147" i="2"/>
  <c r="CV147" i="2" s="1"/>
  <c r="CG147" i="2"/>
  <c r="CJ147" i="2" s="1"/>
  <c r="BU147" i="2"/>
  <c r="BX147" i="2" s="1"/>
  <c r="BL147" i="2"/>
  <c r="BO147" i="2" s="1"/>
  <c r="BC147" i="2"/>
  <c r="BF147" i="2" s="1"/>
  <c r="AE146" i="2"/>
  <c r="AD146" i="2"/>
  <c r="S146" i="2"/>
  <c r="M146" i="2"/>
  <c r="L146" i="2"/>
  <c r="AK146" i="2"/>
  <c r="AJ146" i="2"/>
  <c r="Y146" i="2"/>
  <c r="R146" i="2"/>
  <c r="G146" i="2"/>
  <c r="X146" i="2"/>
  <c r="F146" i="2"/>
  <c r="AS146" i="2"/>
  <c r="AV146" i="2" s="1"/>
  <c r="AT146" i="2"/>
  <c r="AW146" i="2" s="1"/>
  <c r="CT145" i="2"/>
  <c r="BV145" i="2"/>
  <c r="CH145" i="2"/>
  <c r="AU145" i="2"/>
  <c r="BM145" i="2"/>
  <c r="B146" i="2"/>
  <c r="Q146" i="2"/>
  <c r="E146" i="2"/>
  <c r="D146" i="2"/>
  <c r="C146" i="2"/>
  <c r="W146" i="2"/>
  <c r="BS146" i="2"/>
  <c r="BA146" i="2"/>
  <c r="AI146" i="2"/>
  <c r="BJ146" i="2"/>
  <c r="CE146" i="2"/>
  <c r="CQ146" i="2"/>
  <c r="AC146" i="2"/>
  <c r="AR146" i="2"/>
  <c r="K146" i="2"/>
  <c r="BD145" i="2"/>
  <c r="AF121" i="1"/>
  <c r="AE121" i="1"/>
  <c r="AG121" i="1"/>
  <c r="AP121" i="1"/>
  <c r="AO121" i="1"/>
  <c r="AQ121" i="1"/>
  <c r="AK121" i="1"/>
  <c r="AJ121" i="1"/>
  <c r="AL121" i="1"/>
  <c r="AU121" i="1"/>
  <c r="AT121" i="1"/>
  <c r="AV121" i="1"/>
  <c r="BB121" i="1"/>
  <c r="BA121" i="1"/>
  <c r="AZ121" i="1"/>
  <c r="AN122" i="1"/>
  <c r="AA122" i="1"/>
  <c r="Q122" i="1"/>
  <c r="A123" i="1"/>
  <c r="BE123" i="1" s="1"/>
  <c r="AI122" i="1"/>
  <c r="M122" i="1"/>
  <c r="V122" i="1"/>
  <c r="B122" i="1"/>
  <c r="I122" i="1"/>
  <c r="D122" i="1"/>
  <c r="AY122" i="1"/>
  <c r="G122" i="1"/>
  <c r="Z122" i="1"/>
  <c r="AD122" i="1"/>
  <c r="U122" i="1"/>
  <c r="AS122" i="1"/>
  <c r="W122" i="1"/>
  <c r="C122" i="1"/>
  <c r="K122" i="1"/>
  <c r="J122" i="1"/>
  <c r="E122" i="1"/>
  <c r="N122" i="1"/>
  <c r="R122" i="1"/>
  <c r="F122" i="1"/>
  <c r="S122" i="1"/>
  <c r="Y122" i="1"/>
  <c r="O122" i="1"/>
  <c r="Q140" i="5" l="1"/>
  <c r="C140" i="5"/>
  <c r="M140" i="5"/>
  <c r="E140" i="5"/>
  <c r="D140" i="5"/>
  <c r="P140" i="5"/>
  <c r="B140" i="5"/>
  <c r="A141" i="5"/>
  <c r="L140" i="5"/>
  <c r="AD140" i="5"/>
  <c r="AG140" i="5" s="1"/>
  <c r="X140" i="5"/>
  <c r="AJ140" i="5"/>
  <c r="AM140" i="5" s="1"/>
  <c r="AV140" i="5"/>
  <c r="AY140" i="5" s="1"/>
  <c r="BD140" i="5"/>
  <c r="BG140" i="5" s="1"/>
  <c r="BL140" i="5"/>
  <c r="BO140" i="5" s="1"/>
  <c r="T140" i="5"/>
  <c r="AE140" i="5"/>
  <c r="H140" i="5"/>
  <c r="AP140" i="5"/>
  <c r="AS140" i="5" s="1"/>
  <c r="I140" i="5"/>
  <c r="AK140" i="5"/>
  <c r="U140" i="5"/>
  <c r="AQ140" i="5"/>
  <c r="BM140" i="5"/>
  <c r="BP140" i="5" s="1"/>
  <c r="BE140" i="5"/>
  <c r="BH140" i="5" s="1"/>
  <c r="AW140" i="5"/>
  <c r="AZ140" i="5" s="1"/>
  <c r="Y140" i="5"/>
  <c r="Q131" i="4"/>
  <c r="T131" i="4"/>
  <c r="W131" i="4"/>
  <c r="AD131" i="4"/>
  <c r="AH131" i="4"/>
  <c r="Z131" i="4"/>
  <c r="A133" i="4"/>
  <c r="I132" i="4"/>
  <c r="C132" i="4"/>
  <c r="G132" i="4"/>
  <c r="B132" i="4"/>
  <c r="K132" i="4"/>
  <c r="M132" i="4"/>
  <c r="P132" i="4"/>
  <c r="Y132" i="4"/>
  <c r="E132" i="4"/>
  <c r="V132" i="4"/>
  <c r="AC132" i="4"/>
  <c r="S132" i="4"/>
  <c r="AG132" i="4"/>
  <c r="AP133" i="3"/>
  <c r="AO133" i="3"/>
  <c r="AF133" i="3"/>
  <c r="AG133" i="3"/>
  <c r="AJ133" i="3"/>
  <c r="AK133" i="3"/>
  <c r="AT133" i="3"/>
  <c r="AU133" i="3"/>
  <c r="AC133" i="3"/>
  <c r="AB133" i="3"/>
  <c r="M134" i="3"/>
  <c r="B134" i="3"/>
  <c r="N134" i="3"/>
  <c r="J134" i="3"/>
  <c r="C134" i="3"/>
  <c r="A135" i="3"/>
  <c r="E134" i="3"/>
  <c r="D134" i="3"/>
  <c r="K134" i="3"/>
  <c r="S134" i="3"/>
  <c r="T134" i="3"/>
  <c r="G134" i="3"/>
  <c r="AE134" i="3"/>
  <c r="W134" i="3"/>
  <c r="AS134" i="3"/>
  <c r="AA134" i="3"/>
  <c r="P134" i="3"/>
  <c r="AI134" i="3"/>
  <c r="AN134" i="3"/>
  <c r="H134" i="3"/>
  <c r="Q134" i="3"/>
  <c r="X133" i="3"/>
  <c r="Y133" i="3"/>
  <c r="BG123" i="1"/>
  <c r="BF123" i="1"/>
  <c r="BH123" i="1"/>
  <c r="CS148" i="2"/>
  <c r="CV148" i="2" s="1"/>
  <c r="CR148" i="2"/>
  <c r="CU148" i="2" s="1"/>
  <c r="BT148" i="2"/>
  <c r="BW148" i="2" s="1"/>
  <c r="A149" i="2"/>
  <c r="CG148" i="2"/>
  <c r="CJ148" i="2" s="1"/>
  <c r="CF148" i="2"/>
  <c r="CI148" i="2" s="1"/>
  <c r="BK148" i="2"/>
  <c r="BN148" i="2" s="1"/>
  <c r="BL148" i="2"/>
  <c r="BO148" i="2" s="1"/>
  <c r="BC148" i="2"/>
  <c r="BF148" i="2" s="1"/>
  <c r="BU148" i="2"/>
  <c r="BX148" i="2" s="1"/>
  <c r="BB148" i="2"/>
  <c r="BE148" i="2" s="1"/>
  <c r="AJ147" i="2"/>
  <c r="AE147" i="2"/>
  <c r="Y147" i="2"/>
  <c r="X147" i="2"/>
  <c r="F147" i="2"/>
  <c r="AK147" i="2"/>
  <c r="S147" i="2"/>
  <c r="R147" i="2"/>
  <c r="M147" i="2"/>
  <c r="G147" i="2"/>
  <c r="AD147" i="2"/>
  <c r="L147" i="2"/>
  <c r="AT147" i="2"/>
  <c r="AW147" i="2" s="1"/>
  <c r="AS147" i="2"/>
  <c r="AV147" i="2" s="1"/>
  <c r="BV146" i="2"/>
  <c r="B147" i="2"/>
  <c r="E147" i="2"/>
  <c r="W147" i="2"/>
  <c r="C147" i="2"/>
  <c r="D147" i="2"/>
  <c r="Q147" i="2"/>
  <c r="AC147" i="2"/>
  <c r="AR147" i="2"/>
  <c r="K147" i="2"/>
  <c r="AI147" i="2"/>
  <c r="CQ147" i="2"/>
  <c r="CE147" i="2"/>
  <c r="BS147" i="2"/>
  <c r="BA147" i="2"/>
  <c r="BJ147" i="2"/>
  <c r="BD146" i="2"/>
  <c r="CH146" i="2"/>
  <c r="BM146" i="2"/>
  <c r="AU146" i="2"/>
  <c r="CT146" i="2"/>
  <c r="AL122" i="1"/>
  <c r="AK122" i="1"/>
  <c r="AJ122" i="1"/>
  <c r="AO122" i="1"/>
  <c r="AQ122" i="1"/>
  <c r="AP122" i="1"/>
  <c r="AU122" i="1"/>
  <c r="AT122" i="1"/>
  <c r="AV122" i="1"/>
  <c r="Z123" i="1"/>
  <c r="E123" i="1"/>
  <c r="I123" i="1"/>
  <c r="AD123" i="1"/>
  <c r="Q123" i="1"/>
  <c r="A124" i="1"/>
  <c r="BE124" i="1" s="1"/>
  <c r="B123" i="1"/>
  <c r="U123" i="1"/>
  <c r="Y123" i="1"/>
  <c r="D123" i="1"/>
  <c r="R123" i="1"/>
  <c r="F123" i="1"/>
  <c r="K123" i="1"/>
  <c r="W123" i="1"/>
  <c r="O123" i="1"/>
  <c r="S123" i="1"/>
  <c r="AY123" i="1"/>
  <c r="G123" i="1"/>
  <c r="AI123" i="1"/>
  <c r="AS123" i="1"/>
  <c r="V123" i="1"/>
  <c r="J123" i="1"/>
  <c r="N123" i="1"/>
  <c r="AN123" i="1"/>
  <c r="AA123" i="1"/>
  <c r="M123" i="1"/>
  <c r="C123" i="1"/>
  <c r="BB122" i="1"/>
  <c r="BA122" i="1"/>
  <c r="AZ122" i="1"/>
  <c r="AE122" i="1"/>
  <c r="AG122" i="1"/>
  <c r="AF122" i="1"/>
  <c r="M141" i="5" l="1"/>
  <c r="E141" i="5"/>
  <c r="A142" i="5"/>
  <c r="L141" i="5"/>
  <c r="D141" i="5"/>
  <c r="Q141" i="5"/>
  <c r="C141" i="5"/>
  <c r="P141" i="5"/>
  <c r="B141" i="5"/>
  <c r="AE141" i="5"/>
  <c r="AJ141" i="5"/>
  <c r="AM141" i="5" s="1"/>
  <c r="AV141" i="5"/>
  <c r="AY141" i="5" s="1"/>
  <c r="X141" i="5"/>
  <c r="AD141" i="5"/>
  <c r="AG141" i="5" s="1"/>
  <c r="H141" i="5"/>
  <c r="AK141" i="5"/>
  <c r="BD141" i="5"/>
  <c r="BG141" i="5" s="1"/>
  <c r="BL141" i="5"/>
  <c r="BO141" i="5" s="1"/>
  <c r="I141" i="5"/>
  <c r="AQ141" i="5"/>
  <c r="U141" i="5"/>
  <c r="AP141" i="5"/>
  <c r="AS141" i="5" s="1"/>
  <c r="T141" i="5"/>
  <c r="BE141" i="5"/>
  <c r="BH141" i="5" s="1"/>
  <c r="Y141" i="5"/>
  <c r="AW141" i="5"/>
  <c r="AZ141" i="5" s="1"/>
  <c r="BM141" i="5"/>
  <c r="BP141" i="5" s="1"/>
  <c r="Q132" i="4"/>
  <c r="AH132" i="4"/>
  <c r="W132" i="4"/>
  <c r="T132" i="4"/>
  <c r="AD132" i="4"/>
  <c r="Z132" i="4"/>
  <c r="I133" i="4"/>
  <c r="B133" i="4"/>
  <c r="A134" i="4"/>
  <c r="G133" i="4"/>
  <c r="C133" i="4"/>
  <c r="K133" i="4"/>
  <c r="P133" i="4"/>
  <c r="M133" i="4"/>
  <c r="AG133" i="4"/>
  <c r="AC133" i="4"/>
  <c r="E133" i="4"/>
  <c r="V133" i="4"/>
  <c r="S133" i="4"/>
  <c r="Y133" i="4"/>
  <c r="N135" i="3"/>
  <c r="C135" i="3"/>
  <c r="M135" i="3"/>
  <c r="E135" i="3"/>
  <c r="D135" i="3"/>
  <c r="B135" i="3"/>
  <c r="K135" i="3"/>
  <c r="J135" i="3"/>
  <c r="A136" i="3"/>
  <c r="AE135" i="3"/>
  <c r="AI135" i="3"/>
  <c r="S135" i="3"/>
  <c r="AS135" i="3"/>
  <c r="W135" i="3"/>
  <c r="H135" i="3"/>
  <c r="AA135" i="3"/>
  <c r="P135" i="3"/>
  <c r="T135" i="3"/>
  <c r="AN135" i="3"/>
  <c r="G135" i="3"/>
  <c r="Q135" i="3"/>
  <c r="AK134" i="3"/>
  <c r="AJ134" i="3"/>
  <c r="Y134" i="3"/>
  <c r="X134" i="3"/>
  <c r="AB134" i="3"/>
  <c r="AC134" i="3"/>
  <c r="AF134" i="3"/>
  <c r="AG134" i="3"/>
  <c r="AT134" i="3"/>
  <c r="AU134" i="3"/>
  <c r="AP134" i="3"/>
  <c r="AO134" i="3"/>
  <c r="BH124" i="1"/>
  <c r="BG124" i="1"/>
  <c r="BF124" i="1"/>
  <c r="A150" i="2"/>
  <c r="CR149" i="2"/>
  <c r="CU149" i="2" s="1"/>
  <c r="CF149" i="2"/>
  <c r="CI149" i="2" s="1"/>
  <c r="BK149" i="2"/>
  <c r="BN149" i="2" s="1"/>
  <c r="CG149" i="2"/>
  <c r="CJ149" i="2" s="1"/>
  <c r="CS149" i="2"/>
  <c r="CV149" i="2" s="1"/>
  <c r="BT149" i="2"/>
  <c r="BW149" i="2" s="1"/>
  <c r="BC149" i="2"/>
  <c r="BF149" i="2" s="1"/>
  <c r="BB149" i="2"/>
  <c r="BE149" i="2" s="1"/>
  <c r="BU149" i="2"/>
  <c r="BX149" i="2" s="1"/>
  <c r="BL149" i="2"/>
  <c r="BO149" i="2" s="1"/>
  <c r="AJ148" i="2"/>
  <c r="AD148" i="2"/>
  <c r="Y148" i="2"/>
  <c r="M148" i="2"/>
  <c r="G148" i="2"/>
  <c r="X148" i="2"/>
  <c r="L148" i="2"/>
  <c r="F148" i="2"/>
  <c r="AK148" i="2"/>
  <c r="S148" i="2"/>
  <c r="R148" i="2"/>
  <c r="AE148" i="2"/>
  <c r="AS148" i="2"/>
  <c r="AV148" i="2" s="1"/>
  <c r="AT148" i="2"/>
  <c r="AW148" i="2" s="1"/>
  <c r="BM147" i="2"/>
  <c r="D148" i="2"/>
  <c r="Q148" i="2"/>
  <c r="E148" i="2"/>
  <c r="B148" i="2"/>
  <c r="W148" i="2"/>
  <c r="C148" i="2"/>
  <c r="CE148" i="2"/>
  <c r="BJ148" i="2"/>
  <c r="BA148" i="2"/>
  <c r="AC148" i="2"/>
  <c r="AR148" i="2"/>
  <c r="CQ148" i="2"/>
  <c r="K148" i="2"/>
  <c r="BS148" i="2"/>
  <c r="AI148" i="2"/>
  <c r="BD147" i="2"/>
  <c r="CT147" i="2"/>
  <c r="CH147" i="2"/>
  <c r="AU147" i="2"/>
  <c r="BV147" i="2"/>
  <c r="AL123" i="1"/>
  <c r="AK123" i="1"/>
  <c r="AJ123" i="1"/>
  <c r="N124" i="1"/>
  <c r="V124" i="1"/>
  <c r="B124" i="1"/>
  <c r="R124" i="1"/>
  <c r="E124" i="1"/>
  <c r="J124" i="1"/>
  <c r="U124" i="1"/>
  <c r="S124" i="1"/>
  <c r="F124" i="1"/>
  <c r="AD124" i="1"/>
  <c r="M124" i="1"/>
  <c r="I124" i="1"/>
  <c r="Q124" i="1"/>
  <c r="AY124" i="1"/>
  <c r="G124" i="1"/>
  <c r="A125" i="1"/>
  <c r="BE125" i="1" s="1"/>
  <c r="AS124" i="1"/>
  <c r="Y124" i="1"/>
  <c r="D124" i="1"/>
  <c r="K124" i="1"/>
  <c r="AN124" i="1"/>
  <c r="Z124" i="1"/>
  <c r="AI124" i="1"/>
  <c r="C124" i="1"/>
  <c r="AA124" i="1"/>
  <c r="O124" i="1"/>
  <c r="W124" i="1"/>
  <c r="BB123" i="1"/>
  <c r="BA123" i="1"/>
  <c r="AZ123" i="1"/>
  <c r="AP123" i="1"/>
  <c r="AQ123" i="1"/>
  <c r="AO123" i="1"/>
  <c r="AT123" i="1"/>
  <c r="AU123" i="1"/>
  <c r="AV123" i="1"/>
  <c r="AG123" i="1"/>
  <c r="AF123" i="1"/>
  <c r="AE123" i="1"/>
  <c r="P142" i="5" l="1"/>
  <c r="B142" i="5"/>
  <c r="A143" i="5"/>
  <c r="L142" i="5"/>
  <c r="D142" i="5"/>
  <c r="E142" i="5"/>
  <c r="C142" i="5"/>
  <c r="Q142" i="5"/>
  <c r="M142" i="5"/>
  <c r="BD142" i="5"/>
  <c r="BG142" i="5" s="1"/>
  <c r="X142" i="5"/>
  <c r="AE142" i="5"/>
  <c r="AJ142" i="5"/>
  <c r="AM142" i="5" s="1"/>
  <c r="AD142" i="5"/>
  <c r="AG142" i="5" s="1"/>
  <c r="AK142" i="5"/>
  <c r="AV142" i="5"/>
  <c r="AY142" i="5" s="1"/>
  <c r="T142" i="5"/>
  <c r="AP142" i="5"/>
  <c r="AS142" i="5" s="1"/>
  <c r="AQ142" i="5"/>
  <c r="I142" i="5"/>
  <c r="BL142" i="5"/>
  <c r="BO142" i="5" s="1"/>
  <c r="H142" i="5"/>
  <c r="U142" i="5"/>
  <c r="AW142" i="5"/>
  <c r="AZ142" i="5" s="1"/>
  <c r="BM142" i="5"/>
  <c r="BP142" i="5" s="1"/>
  <c r="BE142" i="5"/>
  <c r="BH142" i="5" s="1"/>
  <c r="Y142" i="5"/>
  <c r="Q133" i="4"/>
  <c r="Z133" i="4"/>
  <c r="T133" i="4"/>
  <c r="W133" i="4"/>
  <c r="A135" i="4"/>
  <c r="I134" i="4"/>
  <c r="C134" i="4"/>
  <c r="G134" i="4"/>
  <c r="B134" i="4"/>
  <c r="P134" i="4"/>
  <c r="V134" i="4"/>
  <c r="AC134" i="4"/>
  <c r="S134" i="4"/>
  <c r="K134" i="4"/>
  <c r="AG134" i="4"/>
  <c r="Y134" i="4"/>
  <c r="E134" i="4"/>
  <c r="M134" i="4"/>
  <c r="AD133" i="4"/>
  <c r="AH133" i="4"/>
  <c r="AJ135" i="3"/>
  <c r="AK135" i="3"/>
  <c r="X135" i="3"/>
  <c r="Y135" i="3"/>
  <c r="AO135" i="3"/>
  <c r="AP135" i="3"/>
  <c r="AG135" i="3"/>
  <c r="AF135" i="3"/>
  <c r="AB135" i="3"/>
  <c r="AC135" i="3"/>
  <c r="AU135" i="3"/>
  <c r="AT135" i="3"/>
  <c r="K136" i="3"/>
  <c r="E136" i="3"/>
  <c r="A137" i="3"/>
  <c r="J136" i="3"/>
  <c r="D136" i="3"/>
  <c r="M136" i="3"/>
  <c r="C136" i="3"/>
  <c r="N136" i="3"/>
  <c r="B136" i="3"/>
  <c r="AI136" i="3"/>
  <c r="P136" i="3"/>
  <c r="AA136" i="3"/>
  <c r="Q136" i="3"/>
  <c r="S136" i="3"/>
  <c r="G136" i="3"/>
  <c r="H136" i="3"/>
  <c r="AS136" i="3"/>
  <c r="T136" i="3"/>
  <c r="W136" i="3"/>
  <c r="AN136" i="3"/>
  <c r="AE136" i="3"/>
  <c r="BF125" i="1"/>
  <c r="BH125" i="1"/>
  <c r="BG125" i="1"/>
  <c r="A151" i="2"/>
  <c r="CR150" i="2"/>
  <c r="CU150" i="2" s="1"/>
  <c r="CF150" i="2"/>
  <c r="CI150" i="2" s="1"/>
  <c r="BU150" i="2"/>
  <c r="BX150" i="2" s="1"/>
  <c r="CS150" i="2"/>
  <c r="CV150" i="2" s="1"/>
  <c r="BT150" i="2"/>
  <c r="BW150" i="2" s="1"/>
  <c r="BB150" i="2"/>
  <c r="BE150" i="2" s="1"/>
  <c r="BK150" i="2"/>
  <c r="BN150" i="2" s="1"/>
  <c r="CG150" i="2"/>
  <c r="CJ150" i="2" s="1"/>
  <c r="BL150" i="2"/>
  <c r="BO150" i="2" s="1"/>
  <c r="BC150" i="2"/>
  <c r="BF150" i="2" s="1"/>
  <c r="X149" i="2"/>
  <c r="G149" i="2"/>
  <c r="AE149" i="2"/>
  <c r="R149" i="2"/>
  <c r="AD149" i="2"/>
  <c r="Y149" i="2"/>
  <c r="F149" i="2"/>
  <c r="M149" i="2"/>
  <c r="L149" i="2"/>
  <c r="AK149" i="2"/>
  <c r="AJ149" i="2"/>
  <c r="S149" i="2"/>
  <c r="AT149" i="2"/>
  <c r="AW149" i="2" s="1"/>
  <c r="AS149" i="2"/>
  <c r="AV149" i="2" s="1"/>
  <c r="BD148" i="2"/>
  <c r="W149" i="2"/>
  <c r="E149" i="2"/>
  <c r="Q149" i="2"/>
  <c r="D149" i="2"/>
  <c r="C149" i="2"/>
  <c r="B149" i="2"/>
  <c r="AC149" i="2"/>
  <c r="CE149" i="2"/>
  <c r="CQ149" i="2"/>
  <c r="BA149" i="2"/>
  <c r="BJ149" i="2"/>
  <c r="BS149" i="2"/>
  <c r="AR149" i="2"/>
  <c r="K149" i="2"/>
  <c r="AI149" i="2"/>
  <c r="BM148" i="2"/>
  <c r="CH148" i="2"/>
  <c r="BV148" i="2"/>
  <c r="CT148" i="2"/>
  <c r="AU148" i="2"/>
  <c r="AO124" i="1"/>
  <c r="AQ124" i="1"/>
  <c r="AP124" i="1"/>
  <c r="AT124" i="1"/>
  <c r="AV124" i="1"/>
  <c r="AU124" i="1"/>
  <c r="AA125" i="1"/>
  <c r="F125" i="1"/>
  <c r="N125" i="1"/>
  <c r="O125" i="1"/>
  <c r="AI125" i="1"/>
  <c r="U125" i="1"/>
  <c r="J125" i="1"/>
  <c r="V125" i="1"/>
  <c r="I125" i="1"/>
  <c r="AN125" i="1"/>
  <c r="Y125" i="1"/>
  <c r="A126" i="1"/>
  <c r="BE126" i="1" s="1"/>
  <c r="R125" i="1"/>
  <c r="C125" i="1"/>
  <c r="B125" i="1"/>
  <c r="E125" i="1"/>
  <c r="W125" i="1"/>
  <c r="G125" i="1"/>
  <c r="Q125" i="1"/>
  <c r="D125" i="1"/>
  <c r="M125" i="1"/>
  <c r="AY125" i="1"/>
  <c r="Z125" i="1"/>
  <c r="K125" i="1"/>
  <c r="S125" i="1"/>
  <c r="AS125" i="1"/>
  <c r="AD125" i="1"/>
  <c r="AK124" i="1"/>
  <c r="AJ124" i="1"/>
  <c r="AL124" i="1"/>
  <c r="BA124" i="1"/>
  <c r="AZ124" i="1"/>
  <c r="BB124" i="1"/>
  <c r="AG124" i="1"/>
  <c r="AF124" i="1"/>
  <c r="AE124" i="1"/>
  <c r="A144" i="5" l="1"/>
  <c r="Q143" i="5"/>
  <c r="C143" i="5"/>
  <c r="P143" i="5"/>
  <c r="M143" i="5"/>
  <c r="E143" i="5"/>
  <c r="B143" i="5"/>
  <c r="L143" i="5"/>
  <c r="D143" i="5"/>
  <c r="X143" i="5"/>
  <c r="BL143" i="5"/>
  <c r="BO143" i="5" s="1"/>
  <c r="AK143" i="5"/>
  <c r="BD143" i="5"/>
  <c r="BG143" i="5" s="1"/>
  <c r="H143" i="5"/>
  <c r="AD143" i="5"/>
  <c r="AG143" i="5" s="1"/>
  <c r="AV143" i="5"/>
  <c r="AY143" i="5" s="1"/>
  <c r="AE143" i="5"/>
  <c r="AQ143" i="5"/>
  <c r="BE143" i="5"/>
  <c r="BH143" i="5" s="1"/>
  <c r="I143" i="5"/>
  <c r="T143" i="5"/>
  <c r="AJ143" i="5"/>
  <c r="AM143" i="5" s="1"/>
  <c r="U143" i="5"/>
  <c r="AP143" i="5"/>
  <c r="AS143" i="5" s="1"/>
  <c r="BM143" i="5"/>
  <c r="BP143" i="5" s="1"/>
  <c r="Y143" i="5"/>
  <c r="AW143" i="5"/>
  <c r="AZ143" i="5" s="1"/>
  <c r="Q134" i="4"/>
  <c r="AD134" i="4"/>
  <c r="Z134" i="4"/>
  <c r="T134" i="4"/>
  <c r="A136" i="4"/>
  <c r="G135" i="4"/>
  <c r="C135" i="4"/>
  <c r="I135" i="4"/>
  <c r="B135" i="4"/>
  <c r="V135" i="4"/>
  <c r="Y135" i="4"/>
  <c r="AG135" i="4"/>
  <c r="P135" i="4"/>
  <c r="E135" i="4"/>
  <c r="K135" i="4"/>
  <c r="S135" i="4"/>
  <c r="AC135" i="4"/>
  <c r="M135" i="4"/>
  <c r="AH134" i="4"/>
  <c r="W134" i="4"/>
  <c r="AG136" i="3"/>
  <c r="AF136" i="3"/>
  <c r="AC136" i="3"/>
  <c r="AB136" i="3"/>
  <c r="AU136" i="3"/>
  <c r="AT136" i="3"/>
  <c r="M137" i="3"/>
  <c r="B137" i="3"/>
  <c r="N137" i="3"/>
  <c r="C137" i="3"/>
  <c r="K137" i="3"/>
  <c r="A138" i="3"/>
  <c r="J137" i="3"/>
  <c r="D137" i="3"/>
  <c r="E137" i="3"/>
  <c r="AS137" i="3"/>
  <c r="P137" i="3"/>
  <c r="T137" i="3"/>
  <c r="AN137" i="3"/>
  <c r="AE137" i="3"/>
  <c r="S137" i="3"/>
  <c r="G137" i="3"/>
  <c r="W137" i="3"/>
  <c r="AA137" i="3"/>
  <c r="H137" i="3"/>
  <c r="Q137" i="3"/>
  <c r="AI137" i="3"/>
  <c r="AP136" i="3"/>
  <c r="AO136" i="3"/>
  <c r="AJ136" i="3"/>
  <c r="AK136" i="3"/>
  <c r="X136" i="3"/>
  <c r="Y136" i="3"/>
  <c r="BG126" i="1"/>
  <c r="BF126" i="1"/>
  <c r="BH126" i="1"/>
  <c r="CR151" i="2"/>
  <c r="CU151" i="2" s="1"/>
  <c r="A152" i="2"/>
  <c r="CS151" i="2"/>
  <c r="CV151" i="2" s="1"/>
  <c r="CG151" i="2"/>
  <c r="CJ151" i="2" s="1"/>
  <c r="CF151" i="2"/>
  <c r="CI151" i="2" s="1"/>
  <c r="BT151" i="2"/>
  <c r="BW151" i="2" s="1"/>
  <c r="BL151" i="2"/>
  <c r="BO151" i="2" s="1"/>
  <c r="BK151" i="2"/>
  <c r="BN151" i="2" s="1"/>
  <c r="BB151" i="2"/>
  <c r="BE151" i="2" s="1"/>
  <c r="BC151" i="2"/>
  <c r="BF151" i="2" s="1"/>
  <c r="BU151" i="2"/>
  <c r="BX151" i="2" s="1"/>
  <c r="AJ150" i="2"/>
  <c r="AD150" i="2"/>
  <c r="S150" i="2"/>
  <c r="M150" i="2"/>
  <c r="AK150" i="2"/>
  <c r="F150" i="2"/>
  <c r="AE150" i="2"/>
  <c r="L150" i="2"/>
  <c r="Y150" i="2"/>
  <c r="X150" i="2"/>
  <c r="R150" i="2"/>
  <c r="G150" i="2"/>
  <c r="AT150" i="2"/>
  <c r="AW150" i="2" s="1"/>
  <c r="AS150" i="2"/>
  <c r="AV150" i="2" s="1"/>
  <c r="BM149" i="2"/>
  <c r="CT149" i="2"/>
  <c r="CH149" i="2"/>
  <c r="C150" i="2"/>
  <c r="E150" i="2"/>
  <c r="D150" i="2"/>
  <c r="W150" i="2"/>
  <c r="Q150" i="2"/>
  <c r="B150" i="2"/>
  <c r="BA150" i="2"/>
  <c r="CQ150" i="2"/>
  <c r="BJ150" i="2"/>
  <c r="CE150" i="2"/>
  <c r="AI150" i="2"/>
  <c r="AR150" i="2"/>
  <c r="BS150" i="2"/>
  <c r="K150" i="2"/>
  <c r="AC150" i="2"/>
  <c r="BV149" i="2"/>
  <c r="BD149" i="2"/>
  <c r="AU149" i="2"/>
  <c r="AP125" i="1"/>
  <c r="AQ125" i="1"/>
  <c r="AO125" i="1"/>
  <c r="AT125" i="1"/>
  <c r="AV125" i="1"/>
  <c r="AU125" i="1"/>
  <c r="AJ125" i="1"/>
  <c r="AL125" i="1"/>
  <c r="AK125" i="1"/>
  <c r="Y126" i="1"/>
  <c r="D126" i="1"/>
  <c r="K126" i="1"/>
  <c r="AS126" i="1"/>
  <c r="C126" i="1"/>
  <c r="AD126" i="1"/>
  <c r="R126" i="1"/>
  <c r="AA126" i="1"/>
  <c r="U126" i="1"/>
  <c r="O126" i="1"/>
  <c r="N126" i="1"/>
  <c r="B126" i="1"/>
  <c r="W126" i="1"/>
  <c r="Z126" i="1"/>
  <c r="Q126" i="1"/>
  <c r="A127" i="1"/>
  <c r="BE127" i="1" s="1"/>
  <c r="AY126" i="1"/>
  <c r="S126" i="1"/>
  <c r="F126" i="1"/>
  <c r="AI126" i="1"/>
  <c r="G126" i="1"/>
  <c r="V126" i="1"/>
  <c r="J126" i="1"/>
  <c r="AN126" i="1"/>
  <c r="I126" i="1"/>
  <c r="M126" i="1"/>
  <c r="E126" i="1"/>
  <c r="BB125" i="1"/>
  <c r="BA125" i="1"/>
  <c r="AZ125" i="1"/>
  <c r="AG125" i="1"/>
  <c r="AE125" i="1"/>
  <c r="AF125" i="1"/>
  <c r="Q144" i="5" l="1"/>
  <c r="C144" i="5"/>
  <c r="L144" i="5"/>
  <c r="P144" i="5"/>
  <c r="E144" i="5"/>
  <c r="A145" i="5"/>
  <c r="D144" i="5"/>
  <c r="B144" i="5"/>
  <c r="M144" i="5"/>
  <c r="AV144" i="5"/>
  <c r="AY144" i="5" s="1"/>
  <c r="BD144" i="5"/>
  <c r="BG144" i="5" s="1"/>
  <c r="AD144" i="5"/>
  <c r="AG144" i="5" s="1"/>
  <c r="BL144" i="5"/>
  <c r="BO144" i="5" s="1"/>
  <c r="AK144" i="5"/>
  <c r="AE144" i="5"/>
  <c r="AJ144" i="5"/>
  <c r="AM144" i="5" s="1"/>
  <c r="H144" i="5"/>
  <c r="X144" i="5"/>
  <c r="U144" i="5"/>
  <c r="AQ144" i="5"/>
  <c r="T144" i="5"/>
  <c r="I144" i="5"/>
  <c r="AP144" i="5"/>
  <c r="AS144" i="5" s="1"/>
  <c r="BM144" i="5"/>
  <c r="BP144" i="5" s="1"/>
  <c r="BE144" i="5"/>
  <c r="BH144" i="5" s="1"/>
  <c r="AW144" i="5"/>
  <c r="AZ144" i="5" s="1"/>
  <c r="Y144" i="5"/>
  <c r="W135" i="4"/>
  <c r="A137" i="4"/>
  <c r="I136" i="4"/>
  <c r="C136" i="4"/>
  <c r="B136" i="4"/>
  <c r="G136" i="4"/>
  <c r="K136" i="4"/>
  <c r="S136" i="4"/>
  <c r="V136" i="4"/>
  <c r="AG136" i="4"/>
  <c r="Y136" i="4"/>
  <c r="E136" i="4"/>
  <c r="M136" i="4"/>
  <c r="P136" i="4"/>
  <c r="AC136" i="4"/>
  <c r="AD135" i="4"/>
  <c r="Q135" i="4"/>
  <c r="AH135" i="4"/>
  <c r="T135" i="4"/>
  <c r="Z135" i="4"/>
  <c r="N138" i="3"/>
  <c r="C138" i="3"/>
  <c r="A139" i="3"/>
  <c r="J138" i="3"/>
  <c r="D138" i="3"/>
  <c r="M138" i="3"/>
  <c r="B138" i="3"/>
  <c r="E138" i="3"/>
  <c r="K138" i="3"/>
  <c r="AN138" i="3"/>
  <c r="AE138" i="3"/>
  <c r="S138" i="3"/>
  <c r="P138" i="3"/>
  <c r="Q138" i="3"/>
  <c r="AS138" i="3"/>
  <c r="T138" i="3"/>
  <c r="H138" i="3"/>
  <c r="G138" i="3"/>
  <c r="AA138" i="3"/>
  <c r="AI138" i="3"/>
  <c r="W138" i="3"/>
  <c r="Y137" i="3"/>
  <c r="X137" i="3"/>
  <c r="AP137" i="3"/>
  <c r="AO137" i="3"/>
  <c r="AT137" i="3"/>
  <c r="AU137" i="3"/>
  <c r="AF137" i="3"/>
  <c r="AG137" i="3"/>
  <c r="AC137" i="3"/>
  <c r="AB137" i="3"/>
  <c r="AK137" i="3"/>
  <c r="AJ137" i="3"/>
  <c r="BH127" i="1"/>
  <c r="BG127" i="1"/>
  <c r="BF127" i="1"/>
  <c r="A153" i="2"/>
  <c r="CS152" i="2"/>
  <c r="CV152" i="2" s="1"/>
  <c r="CR152" i="2"/>
  <c r="CU152" i="2" s="1"/>
  <c r="CF152" i="2"/>
  <c r="CI152" i="2" s="1"/>
  <c r="BU152" i="2"/>
  <c r="BX152" i="2" s="1"/>
  <c r="BT152" i="2"/>
  <c r="BW152" i="2" s="1"/>
  <c r="BL152" i="2"/>
  <c r="BO152" i="2" s="1"/>
  <c r="BC152" i="2"/>
  <c r="BF152" i="2" s="1"/>
  <c r="CG152" i="2"/>
  <c r="CJ152" i="2" s="1"/>
  <c r="BK152" i="2"/>
  <c r="BN152" i="2" s="1"/>
  <c r="BB152" i="2"/>
  <c r="BE152" i="2" s="1"/>
  <c r="AD151" i="2"/>
  <c r="AJ151" i="2"/>
  <c r="AK151" i="2"/>
  <c r="Y151" i="2"/>
  <c r="L151" i="2"/>
  <c r="G151" i="2"/>
  <c r="S151" i="2"/>
  <c r="AE151" i="2"/>
  <c r="M151" i="2"/>
  <c r="X151" i="2"/>
  <c r="R151" i="2"/>
  <c r="F151" i="2"/>
  <c r="AS151" i="2"/>
  <c r="AV151" i="2" s="1"/>
  <c r="AT151" i="2"/>
  <c r="AW151" i="2" s="1"/>
  <c r="BD150" i="2"/>
  <c r="B151" i="2"/>
  <c r="C151" i="2"/>
  <c r="D151" i="2"/>
  <c r="E151" i="2"/>
  <c r="W151" i="2"/>
  <c r="Q151" i="2"/>
  <c r="CQ151" i="2"/>
  <c r="BJ151" i="2"/>
  <c r="K151" i="2"/>
  <c r="BS151" i="2"/>
  <c r="CE151" i="2"/>
  <c r="BA151" i="2"/>
  <c r="AC151" i="2"/>
  <c r="AI151" i="2"/>
  <c r="AR151" i="2"/>
  <c r="BM150" i="2"/>
  <c r="CH150" i="2"/>
  <c r="BV150" i="2"/>
  <c r="CT150" i="2"/>
  <c r="AU150" i="2"/>
  <c r="AP126" i="1"/>
  <c r="AO126" i="1"/>
  <c r="AQ126" i="1"/>
  <c r="AJ126" i="1"/>
  <c r="AL126" i="1"/>
  <c r="AK126" i="1"/>
  <c r="AA127" i="1"/>
  <c r="F127" i="1"/>
  <c r="N127" i="1"/>
  <c r="J127" i="1"/>
  <c r="R127" i="1"/>
  <c r="AI127" i="1"/>
  <c r="C127" i="1"/>
  <c r="V127" i="1"/>
  <c r="G127" i="1"/>
  <c r="AY127" i="1"/>
  <c r="Q127" i="1"/>
  <c r="Y127" i="1"/>
  <c r="D127" i="1"/>
  <c r="AN127" i="1"/>
  <c r="O127" i="1"/>
  <c r="E127" i="1"/>
  <c r="W127" i="1"/>
  <c r="A128" i="1"/>
  <c r="BE128" i="1" s="1"/>
  <c r="B127" i="1"/>
  <c r="M127" i="1"/>
  <c r="K127" i="1"/>
  <c r="S127" i="1"/>
  <c r="U127" i="1"/>
  <c r="AD127" i="1"/>
  <c r="AS127" i="1"/>
  <c r="I127" i="1"/>
  <c r="Z127" i="1"/>
  <c r="AG126" i="1"/>
  <c r="AF126" i="1"/>
  <c r="AE126" i="1"/>
  <c r="AZ126" i="1"/>
  <c r="BB126" i="1"/>
  <c r="BA126" i="1"/>
  <c r="AU126" i="1"/>
  <c r="AT126" i="1"/>
  <c r="AV126" i="1"/>
  <c r="M145" i="5" l="1"/>
  <c r="E145" i="5"/>
  <c r="A146" i="5"/>
  <c r="L145" i="5"/>
  <c r="D145" i="5"/>
  <c r="Q145" i="5"/>
  <c r="P145" i="5"/>
  <c r="C145" i="5"/>
  <c r="B145" i="5"/>
  <c r="AE145" i="5"/>
  <c r="AK145" i="5"/>
  <c r="BD145" i="5"/>
  <c r="BG145" i="5" s="1"/>
  <c r="AV145" i="5"/>
  <c r="AY145" i="5" s="1"/>
  <c r="X145" i="5"/>
  <c r="AD145" i="5"/>
  <c r="AG145" i="5" s="1"/>
  <c r="AJ145" i="5"/>
  <c r="AM145" i="5" s="1"/>
  <c r="BL145" i="5"/>
  <c r="BO145" i="5" s="1"/>
  <c r="I145" i="5"/>
  <c r="T145" i="5"/>
  <c r="H145" i="5"/>
  <c r="AW145" i="5"/>
  <c r="AZ145" i="5" s="1"/>
  <c r="U145" i="5"/>
  <c r="AQ145" i="5"/>
  <c r="AP145" i="5"/>
  <c r="AS145" i="5" s="1"/>
  <c r="BE145" i="5"/>
  <c r="BH145" i="5" s="1"/>
  <c r="BM145" i="5"/>
  <c r="BP145" i="5" s="1"/>
  <c r="Y145" i="5"/>
  <c r="Z136" i="4"/>
  <c r="AH136" i="4"/>
  <c r="T136" i="4"/>
  <c r="A138" i="4"/>
  <c r="C137" i="4"/>
  <c r="I137" i="4"/>
  <c r="B137" i="4"/>
  <c r="G137" i="4"/>
  <c r="AG137" i="4"/>
  <c r="S137" i="4"/>
  <c r="P137" i="4"/>
  <c r="Y137" i="4"/>
  <c r="E137" i="4"/>
  <c r="V137" i="4"/>
  <c r="K137" i="4"/>
  <c r="M137" i="4"/>
  <c r="AC137" i="4"/>
  <c r="AD136" i="4"/>
  <c r="W136" i="4"/>
  <c r="Q136" i="4"/>
  <c r="A140" i="3"/>
  <c r="K139" i="3"/>
  <c r="E139" i="3"/>
  <c r="J139" i="3"/>
  <c r="D139" i="3"/>
  <c r="N139" i="3"/>
  <c r="C139" i="3"/>
  <c r="M139" i="3"/>
  <c r="B139" i="3"/>
  <c r="S139" i="3"/>
  <c r="Q139" i="3"/>
  <c r="AI139" i="3"/>
  <c r="AN139" i="3"/>
  <c r="AS139" i="3"/>
  <c r="H139" i="3"/>
  <c r="G139" i="3"/>
  <c r="AA139" i="3"/>
  <c r="P139" i="3"/>
  <c r="T139" i="3"/>
  <c r="AE139" i="3"/>
  <c r="W139" i="3"/>
  <c r="AG138" i="3"/>
  <c r="AF138" i="3"/>
  <c r="AU138" i="3"/>
  <c r="AT138" i="3"/>
  <c r="AK138" i="3"/>
  <c r="AJ138" i="3"/>
  <c r="Y138" i="3"/>
  <c r="X138" i="3"/>
  <c r="AO138" i="3"/>
  <c r="AP138" i="3"/>
  <c r="AB138" i="3"/>
  <c r="AC138" i="3"/>
  <c r="BH128" i="1"/>
  <c r="BG128" i="1"/>
  <c r="BF128" i="1"/>
  <c r="A154" i="2"/>
  <c r="CR153" i="2"/>
  <c r="CU153" i="2" s="1"/>
  <c r="CF153" i="2"/>
  <c r="CI153" i="2" s="1"/>
  <c r="CS153" i="2"/>
  <c r="CV153" i="2" s="1"/>
  <c r="BK153" i="2"/>
  <c r="BN153" i="2" s="1"/>
  <c r="BT153" i="2"/>
  <c r="BW153" i="2" s="1"/>
  <c r="CG153" i="2"/>
  <c r="CJ153" i="2" s="1"/>
  <c r="BU153" i="2"/>
  <c r="BX153" i="2" s="1"/>
  <c r="BL153" i="2"/>
  <c r="BO153" i="2" s="1"/>
  <c r="BC153" i="2"/>
  <c r="BF153" i="2" s="1"/>
  <c r="BB153" i="2"/>
  <c r="BE153" i="2" s="1"/>
  <c r="AJ152" i="2"/>
  <c r="AD152" i="2"/>
  <c r="AK152" i="2"/>
  <c r="AE152" i="2"/>
  <c r="Y152" i="2"/>
  <c r="S152" i="2"/>
  <c r="R152" i="2"/>
  <c r="M152" i="2"/>
  <c r="G152" i="2"/>
  <c r="L152" i="2"/>
  <c r="X152" i="2"/>
  <c r="F152" i="2"/>
  <c r="AT152" i="2"/>
  <c r="AW152" i="2" s="1"/>
  <c r="AS152" i="2"/>
  <c r="AV152" i="2" s="1"/>
  <c r="BD151" i="2"/>
  <c r="BV151" i="2"/>
  <c r="CH151" i="2"/>
  <c r="AU151" i="2"/>
  <c r="BM151" i="2"/>
  <c r="D152" i="2"/>
  <c r="Q152" i="2"/>
  <c r="B152" i="2"/>
  <c r="E152" i="2"/>
  <c r="C152" i="2"/>
  <c r="W152" i="2"/>
  <c r="K152" i="2"/>
  <c r="AI152" i="2"/>
  <c r="BJ152" i="2"/>
  <c r="BS152" i="2"/>
  <c r="BA152" i="2"/>
  <c r="CE152" i="2"/>
  <c r="CQ152" i="2"/>
  <c r="AR152" i="2"/>
  <c r="AC152" i="2"/>
  <c r="CT151" i="2"/>
  <c r="AV127" i="1"/>
  <c r="AU127" i="1"/>
  <c r="AT127" i="1"/>
  <c r="AG127" i="1"/>
  <c r="AE127" i="1"/>
  <c r="AF127" i="1"/>
  <c r="S128" i="1"/>
  <c r="AA128" i="1"/>
  <c r="AD128" i="1"/>
  <c r="C128" i="1"/>
  <c r="J128" i="1"/>
  <c r="N128" i="1"/>
  <c r="B128" i="1"/>
  <c r="R128" i="1"/>
  <c r="U128" i="1"/>
  <c r="I128" i="1"/>
  <c r="Q128" i="1"/>
  <c r="AY128" i="1"/>
  <c r="G128" i="1"/>
  <c r="AS128" i="1"/>
  <c r="AI128" i="1"/>
  <c r="Y128" i="1"/>
  <c r="D128" i="1"/>
  <c r="K128" i="1"/>
  <c r="AN128" i="1"/>
  <c r="Z128" i="1"/>
  <c r="W128" i="1"/>
  <c r="M128" i="1"/>
  <c r="F128" i="1"/>
  <c r="O128" i="1"/>
  <c r="V128" i="1"/>
  <c r="E128" i="1"/>
  <c r="A129" i="1"/>
  <c r="BE129" i="1" s="1"/>
  <c r="AQ127" i="1"/>
  <c r="AO127" i="1"/>
  <c r="AP127" i="1"/>
  <c r="BB127" i="1"/>
  <c r="AZ127" i="1"/>
  <c r="BA127" i="1"/>
  <c r="AK127" i="1"/>
  <c r="AL127" i="1"/>
  <c r="AJ127" i="1"/>
  <c r="P146" i="5" l="1"/>
  <c r="B146" i="5"/>
  <c r="A147" i="5"/>
  <c r="L146" i="5"/>
  <c r="D146" i="5"/>
  <c r="E146" i="5"/>
  <c r="Q146" i="5"/>
  <c r="C146" i="5"/>
  <c r="M146" i="5"/>
  <c r="AK146" i="5"/>
  <c r="BD146" i="5"/>
  <c r="BG146" i="5" s="1"/>
  <c r="AE146" i="5"/>
  <c r="AV146" i="5"/>
  <c r="AY146" i="5" s="1"/>
  <c r="AD146" i="5"/>
  <c r="AG146" i="5" s="1"/>
  <c r="AJ146" i="5"/>
  <c r="AM146" i="5" s="1"/>
  <c r="I146" i="5"/>
  <c r="H146" i="5"/>
  <c r="BL146" i="5"/>
  <c r="BO146" i="5" s="1"/>
  <c r="X146" i="5"/>
  <c r="T146" i="5"/>
  <c r="AQ146" i="5"/>
  <c r="U146" i="5"/>
  <c r="AP146" i="5"/>
  <c r="AS146" i="5" s="1"/>
  <c r="Y146" i="5"/>
  <c r="BM146" i="5"/>
  <c r="BP146" i="5" s="1"/>
  <c r="BE146" i="5"/>
  <c r="BH146" i="5" s="1"/>
  <c r="AW146" i="5"/>
  <c r="AZ146" i="5" s="1"/>
  <c r="Q137" i="4"/>
  <c r="T137" i="4"/>
  <c r="AD137" i="4"/>
  <c r="W137" i="4"/>
  <c r="A139" i="4"/>
  <c r="B138" i="4"/>
  <c r="G138" i="4"/>
  <c r="I138" i="4"/>
  <c r="C138" i="4"/>
  <c r="AG138" i="4"/>
  <c r="S138" i="4"/>
  <c r="Y138" i="4"/>
  <c r="AC138" i="4"/>
  <c r="M138" i="4"/>
  <c r="V138" i="4"/>
  <c r="K138" i="4"/>
  <c r="P138" i="4"/>
  <c r="E138" i="4"/>
  <c r="AH137" i="4"/>
  <c r="Z137" i="4"/>
  <c r="AC139" i="3"/>
  <c r="AB139" i="3"/>
  <c r="AJ139" i="3"/>
  <c r="AK139" i="3"/>
  <c r="AF139" i="3"/>
  <c r="AG139" i="3"/>
  <c r="AO139" i="3"/>
  <c r="AP139" i="3"/>
  <c r="Y139" i="3"/>
  <c r="X139" i="3"/>
  <c r="AT139" i="3"/>
  <c r="AU139" i="3"/>
  <c r="N140" i="3"/>
  <c r="A141" i="3"/>
  <c r="M140" i="3"/>
  <c r="B140" i="3"/>
  <c r="K140" i="3"/>
  <c r="D140" i="3"/>
  <c r="C140" i="3"/>
  <c r="J140" i="3"/>
  <c r="E140" i="3"/>
  <c r="AE140" i="3"/>
  <c r="S140" i="3"/>
  <c r="AN140" i="3"/>
  <c r="W140" i="3"/>
  <c r="T140" i="3"/>
  <c r="G140" i="3"/>
  <c r="H140" i="3"/>
  <c r="Q140" i="3"/>
  <c r="P140" i="3"/>
  <c r="AA140" i="3"/>
  <c r="AI140" i="3"/>
  <c r="AS140" i="3"/>
  <c r="BH129" i="1"/>
  <c r="BG129" i="1"/>
  <c r="BF129" i="1"/>
  <c r="CS154" i="2"/>
  <c r="CV154" i="2" s="1"/>
  <c r="A155" i="2"/>
  <c r="CG154" i="2"/>
  <c r="CJ154" i="2" s="1"/>
  <c r="BU154" i="2"/>
  <c r="BX154" i="2" s="1"/>
  <c r="CR154" i="2"/>
  <c r="CU154" i="2" s="1"/>
  <c r="BB154" i="2"/>
  <c r="BE154" i="2" s="1"/>
  <c r="CF154" i="2"/>
  <c r="CI154" i="2" s="1"/>
  <c r="BT154" i="2"/>
  <c r="BW154" i="2" s="1"/>
  <c r="BK154" i="2"/>
  <c r="BN154" i="2" s="1"/>
  <c r="BC154" i="2"/>
  <c r="BF154" i="2" s="1"/>
  <c r="BL154" i="2"/>
  <c r="BO154" i="2" s="1"/>
  <c r="X153" i="2"/>
  <c r="AD153" i="2"/>
  <c r="Y153" i="2"/>
  <c r="G153" i="2"/>
  <c r="AJ153" i="2"/>
  <c r="S153" i="2"/>
  <c r="M153" i="2"/>
  <c r="L153" i="2"/>
  <c r="F153" i="2"/>
  <c r="AE153" i="2"/>
  <c r="AK153" i="2"/>
  <c r="R153" i="2"/>
  <c r="AS153" i="2"/>
  <c r="AV153" i="2" s="1"/>
  <c r="AT153" i="2"/>
  <c r="AW153" i="2" s="1"/>
  <c r="CT152" i="2"/>
  <c r="W153" i="2"/>
  <c r="Q153" i="2"/>
  <c r="B153" i="2"/>
  <c r="E153" i="2"/>
  <c r="C153" i="2"/>
  <c r="D153" i="2"/>
  <c r="BS153" i="2"/>
  <c r="AC153" i="2"/>
  <c r="AI153" i="2"/>
  <c r="AR153" i="2"/>
  <c r="CE153" i="2"/>
  <c r="BJ153" i="2"/>
  <c r="CQ153" i="2"/>
  <c r="BA153" i="2"/>
  <c r="K153" i="2"/>
  <c r="BM152" i="2"/>
  <c r="CH152" i="2"/>
  <c r="BD152" i="2"/>
  <c r="AU152" i="2"/>
  <c r="BV152" i="2"/>
  <c r="AU128" i="1"/>
  <c r="AT128" i="1"/>
  <c r="AV128" i="1"/>
  <c r="BA128" i="1"/>
  <c r="AZ128" i="1"/>
  <c r="BB128" i="1"/>
  <c r="K129" i="1"/>
  <c r="S129" i="1"/>
  <c r="Z129" i="1"/>
  <c r="AS129" i="1"/>
  <c r="C129" i="1"/>
  <c r="G129" i="1"/>
  <c r="V129" i="1"/>
  <c r="B129" i="1"/>
  <c r="I129" i="1"/>
  <c r="E129" i="1"/>
  <c r="W129" i="1"/>
  <c r="AY129" i="1"/>
  <c r="R129" i="1"/>
  <c r="Q129" i="1"/>
  <c r="Y129" i="1"/>
  <c r="D129" i="1"/>
  <c r="A130" i="1"/>
  <c r="BE130" i="1" s="1"/>
  <c r="M129" i="1"/>
  <c r="AD129" i="1"/>
  <c r="AN129" i="1"/>
  <c r="AA129" i="1"/>
  <c r="F129" i="1"/>
  <c r="N129" i="1"/>
  <c r="O129" i="1"/>
  <c r="AI129" i="1"/>
  <c r="J129" i="1"/>
  <c r="U129" i="1"/>
  <c r="AO128" i="1"/>
  <c r="AP128" i="1"/>
  <c r="AQ128" i="1"/>
  <c r="AL128" i="1"/>
  <c r="AJ128" i="1"/>
  <c r="AK128" i="1"/>
  <c r="AF128" i="1"/>
  <c r="AE128" i="1"/>
  <c r="AG128" i="1"/>
  <c r="A148" i="5" l="1"/>
  <c r="Q147" i="5"/>
  <c r="C147" i="5"/>
  <c r="M147" i="5"/>
  <c r="L147" i="5"/>
  <c r="E147" i="5"/>
  <c r="D147" i="5"/>
  <c r="P147" i="5"/>
  <c r="B147" i="5"/>
  <c r="AD147" i="5"/>
  <c r="AG147" i="5" s="1"/>
  <c r="AJ147" i="5"/>
  <c r="AM147" i="5" s="1"/>
  <c r="AE147" i="5"/>
  <c r="AK147" i="5"/>
  <c r="BL147" i="5"/>
  <c r="BO147" i="5" s="1"/>
  <c r="H147" i="5"/>
  <c r="BD147" i="5"/>
  <c r="BG147" i="5" s="1"/>
  <c r="X147" i="5"/>
  <c r="AV147" i="5"/>
  <c r="AY147" i="5" s="1"/>
  <c r="AP147" i="5"/>
  <c r="AS147" i="5" s="1"/>
  <c r="I147" i="5"/>
  <c r="AQ147" i="5"/>
  <c r="U147" i="5"/>
  <c r="T147" i="5"/>
  <c r="BM147" i="5"/>
  <c r="BP147" i="5" s="1"/>
  <c r="BE147" i="5"/>
  <c r="BH147" i="5" s="1"/>
  <c r="Y147" i="5"/>
  <c r="AW147" i="5"/>
  <c r="AZ147" i="5" s="1"/>
  <c r="AH138" i="4"/>
  <c r="AD138" i="4"/>
  <c r="Z138" i="4"/>
  <c r="A140" i="4"/>
  <c r="I139" i="4"/>
  <c r="B139" i="4"/>
  <c r="G139" i="4"/>
  <c r="C139" i="4"/>
  <c r="S139" i="4"/>
  <c r="Y139" i="4"/>
  <c r="AC139" i="4"/>
  <c r="M139" i="4"/>
  <c r="AG139" i="4"/>
  <c r="P139" i="4"/>
  <c r="K139" i="4"/>
  <c r="E139" i="4"/>
  <c r="V139" i="4"/>
  <c r="Q138" i="4"/>
  <c r="W138" i="4"/>
  <c r="T138" i="4"/>
  <c r="X140" i="3"/>
  <c r="Y140" i="3"/>
  <c r="AO140" i="3"/>
  <c r="AP140" i="3"/>
  <c r="N141" i="3"/>
  <c r="C141" i="3"/>
  <c r="K141" i="3"/>
  <c r="E141" i="3"/>
  <c r="M141" i="3"/>
  <c r="B141" i="3"/>
  <c r="D141" i="3"/>
  <c r="A142" i="3"/>
  <c r="J141" i="3"/>
  <c r="G141" i="3"/>
  <c r="Q141" i="3"/>
  <c r="AN141" i="3"/>
  <c r="AS141" i="3"/>
  <c r="P141" i="3"/>
  <c r="T141" i="3"/>
  <c r="AA141" i="3"/>
  <c r="W141" i="3"/>
  <c r="AE141" i="3"/>
  <c r="H141" i="3"/>
  <c r="S141" i="3"/>
  <c r="AI141" i="3"/>
  <c r="AT140" i="3"/>
  <c r="AU140" i="3"/>
  <c r="AK140" i="3"/>
  <c r="AJ140" i="3"/>
  <c r="AG140" i="3"/>
  <c r="AF140" i="3"/>
  <c r="AB140" i="3"/>
  <c r="AC140" i="3"/>
  <c r="BG130" i="1"/>
  <c r="BF130" i="1"/>
  <c r="BH130" i="1"/>
  <c r="CR155" i="2"/>
  <c r="CU155" i="2" s="1"/>
  <c r="BT155" i="2"/>
  <c r="BW155" i="2" s="1"/>
  <c r="A156" i="2"/>
  <c r="CF155" i="2"/>
  <c r="CI155" i="2" s="1"/>
  <c r="BU155" i="2"/>
  <c r="BX155" i="2" s="1"/>
  <c r="CS155" i="2"/>
  <c r="CV155" i="2" s="1"/>
  <c r="BL155" i="2"/>
  <c r="BO155" i="2" s="1"/>
  <c r="BB155" i="2"/>
  <c r="BE155" i="2" s="1"/>
  <c r="CG155" i="2"/>
  <c r="CJ155" i="2" s="1"/>
  <c r="BK155" i="2"/>
  <c r="BN155" i="2" s="1"/>
  <c r="BC155" i="2"/>
  <c r="BF155" i="2" s="1"/>
  <c r="AK154" i="2"/>
  <c r="X154" i="2"/>
  <c r="S154" i="2"/>
  <c r="M154" i="2"/>
  <c r="F154" i="2"/>
  <c r="AE154" i="2"/>
  <c r="AD154" i="2"/>
  <c r="L154" i="2"/>
  <c r="Y154" i="2"/>
  <c r="R154" i="2"/>
  <c r="AJ154" i="2"/>
  <c r="G154" i="2"/>
  <c r="AS154" i="2"/>
  <c r="AV154" i="2" s="1"/>
  <c r="AT154" i="2"/>
  <c r="AW154" i="2" s="1"/>
  <c r="CH153" i="2"/>
  <c r="AU153" i="2"/>
  <c r="Q154" i="2"/>
  <c r="B154" i="2"/>
  <c r="E154" i="2"/>
  <c r="D154" i="2"/>
  <c r="W154" i="2"/>
  <c r="C154" i="2"/>
  <c r="CE154" i="2"/>
  <c r="AC154" i="2"/>
  <c r="AI154" i="2"/>
  <c r="K154" i="2"/>
  <c r="BS154" i="2"/>
  <c r="CQ154" i="2"/>
  <c r="AR154" i="2"/>
  <c r="BA154" i="2"/>
  <c r="BJ154" i="2"/>
  <c r="CT153" i="2"/>
  <c r="BM153" i="2"/>
  <c r="BV153" i="2"/>
  <c r="BD153" i="2"/>
  <c r="AV129" i="1"/>
  <c r="AT129" i="1"/>
  <c r="AU129" i="1"/>
  <c r="AF129" i="1"/>
  <c r="AG129" i="1"/>
  <c r="AE129" i="1"/>
  <c r="AZ129" i="1"/>
  <c r="BA129" i="1"/>
  <c r="BB129" i="1"/>
  <c r="AJ129" i="1"/>
  <c r="AL129" i="1"/>
  <c r="AK129" i="1"/>
  <c r="A131" i="1"/>
  <c r="BE131" i="1" s="1"/>
  <c r="N130" i="1"/>
  <c r="G130" i="1"/>
  <c r="I130" i="1"/>
  <c r="Q130" i="1"/>
  <c r="AS130" i="1"/>
  <c r="C130" i="1"/>
  <c r="R130" i="1"/>
  <c r="E130" i="1"/>
  <c r="S130" i="1"/>
  <c r="F130" i="1"/>
  <c r="W130" i="1"/>
  <c r="AY130" i="1"/>
  <c r="Z130" i="1"/>
  <c r="Y130" i="1"/>
  <c r="D130" i="1"/>
  <c r="K130" i="1"/>
  <c r="AI130" i="1"/>
  <c r="U130" i="1"/>
  <c r="O130" i="1"/>
  <c r="AD130" i="1"/>
  <c r="AA130" i="1"/>
  <c r="J130" i="1"/>
  <c r="V130" i="1"/>
  <c r="B130" i="1"/>
  <c r="M130" i="1"/>
  <c r="AN130" i="1"/>
  <c r="AO129" i="1"/>
  <c r="AP129" i="1"/>
  <c r="AQ129" i="1"/>
  <c r="P148" i="5" l="1"/>
  <c r="B148" i="5"/>
  <c r="A149" i="5"/>
  <c r="Q148" i="5"/>
  <c r="M148" i="5"/>
  <c r="D148" i="5"/>
  <c r="C148" i="5"/>
  <c r="E148" i="5"/>
  <c r="L148" i="5"/>
  <c r="BL148" i="5"/>
  <c r="BO148" i="5" s="1"/>
  <c r="X148" i="5"/>
  <c r="AV148" i="5"/>
  <c r="AY148" i="5" s="1"/>
  <c r="AD148" i="5"/>
  <c r="AG148" i="5" s="1"/>
  <c r="AK148" i="5"/>
  <c r="I148" i="5"/>
  <c r="BD148" i="5"/>
  <c r="BG148" i="5" s="1"/>
  <c r="AJ148" i="5"/>
  <c r="AM148" i="5" s="1"/>
  <c r="AQ148" i="5"/>
  <c r="AE148" i="5"/>
  <c r="U148" i="5"/>
  <c r="AP148" i="5"/>
  <c r="AS148" i="5" s="1"/>
  <c r="H148" i="5"/>
  <c r="T148" i="5"/>
  <c r="BE148" i="5"/>
  <c r="BH148" i="5" s="1"/>
  <c r="AW148" i="5"/>
  <c r="AZ148" i="5" s="1"/>
  <c r="Y148" i="5"/>
  <c r="BM148" i="5"/>
  <c r="BP148" i="5" s="1"/>
  <c r="T139" i="4"/>
  <c r="AH139" i="4"/>
  <c r="W139" i="4"/>
  <c r="Z139" i="4"/>
  <c r="Q139" i="4"/>
  <c r="AD139" i="4"/>
  <c r="A141" i="4"/>
  <c r="C140" i="4"/>
  <c r="G140" i="4"/>
  <c r="B140" i="4"/>
  <c r="I140" i="4"/>
  <c r="Y140" i="4"/>
  <c r="S140" i="4"/>
  <c r="E140" i="4"/>
  <c r="K140" i="4"/>
  <c r="V140" i="4"/>
  <c r="AG140" i="4"/>
  <c r="P140" i="4"/>
  <c r="AC140" i="4"/>
  <c r="M140" i="4"/>
  <c r="AU141" i="3"/>
  <c r="AT141" i="3"/>
  <c r="X141" i="3"/>
  <c r="Y141" i="3"/>
  <c r="AO141" i="3"/>
  <c r="AP141" i="3"/>
  <c r="K142" i="3"/>
  <c r="E142" i="3"/>
  <c r="A143" i="3"/>
  <c r="J142" i="3"/>
  <c r="D142" i="3"/>
  <c r="M142" i="3"/>
  <c r="B142" i="3"/>
  <c r="N142" i="3"/>
  <c r="C142" i="3"/>
  <c r="AN142" i="3"/>
  <c r="H142" i="3"/>
  <c r="Q142" i="3"/>
  <c r="W142" i="3"/>
  <c r="AI142" i="3"/>
  <c r="AE142" i="3"/>
  <c r="AA142" i="3"/>
  <c r="P142" i="3"/>
  <c r="AS142" i="3"/>
  <c r="S142" i="3"/>
  <c r="T142" i="3"/>
  <c r="G142" i="3"/>
  <c r="AJ141" i="3"/>
  <c r="AK141" i="3"/>
  <c r="AB141" i="3"/>
  <c r="AC141" i="3"/>
  <c r="AG141" i="3"/>
  <c r="AF141" i="3"/>
  <c r="BH131" i="1"/>
  <c r="BG131" i="1"/>
  <c r="BF131" i="1"/>
  <c r="CS156" i="2"/>
  <c r="CV156" i="2" s="1"/>
  <c r="CG156" i="2"/>
  <c r="CJ156" i="2" s="1"/>
  <c r="CF156" i="2"/>
  <c r="CI156" i="2" s="1"/>
  <c r="A157" i="2"/>
  <c r="BU156" i="2"/>
  <c r="BX156" i="2" s="1"/>
  <c r="CR156" i="2"/>
  <c r="CU156" i="2" s="1"/>
  <c r="BL156" i="2"/>
  <c r="BO156" i="2" s="1"/>
  <c r="BK156" i="2"/>
  <c r="BN156" i="2" s="1"/>
  <c r="BT156" i="2"/>
  <c r="BW156" i="2" s="1"/>
  <c r="BC156" i="2"/>
  <c r="BF156" i="2" s="1"/>
  <c r="BB156" i="2"/>
  <c r="BE156" i="2" s="1"/>
  <c r="AE155" i="2"/>
  <c r="M155" i="2"/>
  <c r="AD155" i="2"/>
  <c r="AK155" i="2"/>
  <c r="Y155" i="2"/>
  <c r="AJ155" i="2"/>
  <c r="X155" i="2"/>
  <c r="S155" i="2"/>
  <c r="R155" i="2"/>
  <c r="G155" i="2"/>
  <c r="F155" i="2"/>
  <c r="L155" i="2"/>
  <c r="AS155" i="2"/>
  <c r="AV155" i="2" s="1"/>
  <c r="AT155" i="2"/>
  <c r="AW155" i="2" s="1"/>
  <c r="BD154" i="2"/>
  <c r="CH154" i="2"/>
  <c r="BV154" i="2"/>
  <c r="AU154" i="2"/>
  <c r="CT154" i="2"/>
  <c r="BM154" i="2"/>
  <c r="Q155" i="2"/>
  <c r="D155" i="2"/>
  <c r="B155" i="2"/>
  <c r="W155" i="2"/>
  <c r="C155" i="2"/>
  <c r="E155" i="2"/>
  <c r="AC155" i="2"/>
  <c r="BA155" i="2"/>
  <c r="AI155" i="2"/>
  <c r="BJ155" i="2"/>
  <c r="K155" i="2"/>
  <c r="CE155" i="2"/>
  <c r="BS155" i="2"/>
  <c r="CQ155" i="2"/>
  <c r="AR155" i="2"/>
  <c r="AO130" i="1"/>
  <c r="AQ130" i="1"/>
  <c r="AP130" i="1"/>
  <c r="AU130" i="1"/>
  <c r="AT130" i="1"/>
  <c r="AV130" i="1"/>
  <c r="AL130" i="1"/>
  <c r="AK130" i="1"/>
  <c r="AJ130" i="1"/>
  <c r="AE130" i="1"/>
  <c r="AG130" i="1"/>
  <c r="AF130" i="1"/>
  <c r="BA130" i="1"/>
  <c r="BB130" i="1"/>
  <c r="AZ130" i="1"/>
  <c r="Z131" i="1"/>
  <c r="F131" i="1"/>
  <c r="B131" i="1"/>
  <c r="Q131" i="1"/>
  <c r="C131" i="1"/>
  <c r="E131" i="1"/>
  <c r="G131" i="1"/>
  <c r="N131" i="1"/>
  <c r="M131" i="1"/>
  <c r="A132" i="1"/>
  <c r="BE132" i="1" s="1"/>
  <c r="S131" i="1"/>
  <c r="O131" i="1"/>
  <c r="R131" i="1"/>
  <c r="D131" i="1"/>
  <c r="Y131" i="1"/>
  <c r="AN131" i="1"/>
  <c r="I131" i="1"/>
  <c r="U131" i="1"/>
  <c r="W131" i="1"/>
  <c r="AY131" i="1"/>
  <c r="AS131" i="1"/>
  <c r="AI131" i="1"/>
  <c r="K131" i="1"/>
  <c r="AD131" i="1"/>
  <c r="J131" i="1"/>
  <c r="AA131" i="1"/>
  <c r="V131" i="1"/>
  <c r="A150" i="5" l="1"/>
  <c r="Q149" i="5"/>
  <c r="P149" i="5"/>
  <c r="M149" i="5"/>
  <c r="D149" i="5"/>
  <c r="L149" i="5"/>
  <c r="C149" i="5"/>
  <c r="B149" i="5"/>
  <c r="E149" i="5"/>
  <c r="AE149" i="5"/>
  <c r="AJ149" i="5"/>
  <c r="AM149" i="5" s="1"/>
  <c r="X149" i="5"/>
  <c r="AD149" i="5"/>
  <c r="AG149" i="5" s="1"/>
  <c r="AK149" i="5"/>
  <c r="AV149" i="5"/>
  <c r="AY149" i="5" s="1"/>
  <c r="BD149" i="5"/>
  <c r="BG149" i="5" s="1"/>
  <c r="I149" i="5"/>
  <c r="H149" i="5"/>
  <c r="BL149" i="5"/>
  <c r="BO149" i="5" s="1"/>
  <c r="T149" i="5"/>
  <c r="U149" i="5"/>
  <c r="AQ149" i="5"/>
  <c r="AP149" i="5"/>
  <c r="AS149" i="5" s="1"/>
  <c r="AW149" i="5"/>
  <c r="AZ149" i="5" s="1"/>
  <c r="BM149" i="5"/>
  <c r="BP149" i="5" s="1"/>
  <c r="BE149" i="5"/>
  <c r="BH149" i="5" s="1"/>
  <c r="Y149" i="5"/>
  <c r="AH140" i="4"/>
  <c r="W140" i="4"/>
  <c r="Z140" i="4"/>
  <c r="Q140" i="4"/>
  <c r="T140" i="4"/>
  <c r="A142" i="4"/>
  <c r="I141" i="4"/>
  <c r="C141" i="4"/>
  <c r="B141" i="4"/>
  <c r="G141" i="4"/>
  <c r="Y141" i="4"/>
  <c r="AC141" i="4"/>
  <c r="M141" i="4"/>
  <c r="S141" i="4"/>
  <c r="E141" i="4"/>
  <c r="V141" i="4"/>
  <c r="K141" i="4"/>
  <c r="AG141" i="4"/>
  <c r="P141" i="4"/>
  <c r="AD140" i="4"/>
  <c r="AC142" i="3"/>
  <c r="AB142" i="3"/>
  <c r="M143" i="3"/>
  <c r="B143" i="3"/>
  <c r="E143" i="3"/>
  <c r="D143" i="3"/>
  <c r="A144" i="3"/>
  <c r="J143" i="3"/>
  <c r="N143" i="3"/>
  <c r="K143" i="3"/>
  <c r="C143" i="3"/>
  <c r="T143" i="3"/>
  <c r="AI143" i="3"/>
  <c r="H143" i="3"/>
  <c r="AE143" i="3"/>
  <c r="AS143" i="3"/>
  <c r="S143" i="3"/>
  <c r="Q143" i="3"/>
  <c r="W143" i="3"/>
  <c r="AA143" i="3"/>
  <c r="G143" i="3"/>
  <c r="AN143" i="3"/>
  <c r="P143" i="3"/>
  <c r="AP142" i="3"/>
  <c r="AO142" i="3"/>
  <c r="AJ142" i="3"/>
  <c r="AK142" i="3"/>
  <c r="X142" i="3"/>
  <c r="Y142" i="3"/>
  <c r="AF142" i="3"/>
  <c r="AG142" i="3"/>
  <c r="AT142" i="3"/>
  <c r="AU142" i="3"/>
  <c r="BF132" i="1"/>
  <c r="BH132" i="1"/>
  <c r="BG132" i="1"/>
  <c r="A158" i="2"/>
  <c r="CR157" i="2"/>
  <c r="CU157" i="2" s="1"/>
  <c r="CF157" i="2"/>
  <c r="CI157" i="2" s="1"/>
  <c r="CS157" i="2"/>
  <c r="CV157" i="2" s="1"/>
  <c r="CG157" i="2"/>
  <c r="CJ157" i="2" s="1"/>
  <c r="BK157" i="2"/>
  <c r="BN157" i="2" s="1"/>
  <c r="BU157" i="2"/>
  <c r="BX157" i="2" s="1"/>
  <c r="BL157" i="2"/>
  <c r="BO157" i="2" s="1"/>
  <c r="BT157" i="2"/>
  <c r="BW157" i="2" s="1"/>
  <c r="BC157" i="2"/>
  <c r="BF157" i="2" s="1"/>
  <c r="BB157" i="2"/>
  <c r="BE157" i="2" s="1"/>
  <c r="AJ156" i="2"/>
  <c r="AD156" i="2"/>
  <c r="F156" i="2"/>
  <c r="AE156" i="2"/>
  <c r="AK156" i="2"/>
  <c r="X156" i="2"/>
  <c r="S156" i="2"/>
  <c r="Y156" i="2"/>
  <c r="R156" i="2"/>
  <c r="G156" i="2"/>
  <c r="L156" i="2"/>
  <c r="M156" i="2"/>
  <c r="AT156" i="2"/>
  <c r="AW156" i="2" s="1"/>
  <c r="AS156" i="2"/>
  <c r="AV156" i="2" s="1"/>
  <c r="AU155" i="2"/>
  <c r="BV155" i="2"/>
  <c r="C156" i="2"/>
  <c r="D156" i="2"/>
  <c r="Q156" i="2"/>
  <c r="B156" i="2"/>
  <c r="E156" i="2"/>
  <c r="W156" i="2"/>
  <c r="BJ156" i="2"/>
  <c r="BS156" i="2"/>
  <c r="AI156" i="2"/>
  <c r="K156" i="2"/>
  <c r="AR156" i="2"/>
  <c r="CQ156" i="2"/>
  <c r="CE156" i="2"/>
  <c r="BA156" i="2"/>
  <c r="AC156" i="2"/>
  <c r="CT155" i="2"/>
  <c r="CH155" i="2"/>
  <c r="BM155" i="2"/>
  <c r="BD155" i="2"/>
  <c r="AF131" i="1"/>
  <c r="AG131" i="1"/>
  <c r="AE131" i="1"/>
  <c r="BB131" i="1"/>
  <c r="BA131" i="1"/>
  <c r="AZ131" i="1"/>
  <c r="AP131" i="1"/>
  <c r="AQ131" i="1"/>
  <c r="AO131" i="1"/>
  <c r="AT131" i="1"/>
  <c r="AV131" i="1"/>
  <c r="AU131" i="1"/>
  <c r="AL131" i="1"/>
  <c r="AK131" i="1"/>
  <c r="AJ131" i="1"/>
  <c r="G132" i="1"/>
  <c r="F132" i="1"/>
  <c r="E132" i="1"/>
  <c r="R132" i="1"/>
  <c r="S132" i="1"/>
  <c r="D132" i="1"/>
  <c r="C132" i="1"/>
  <c r="B132" i="1"/>
  <c r="N132" i="1"/>
  <c r="Q132" i="1"/>
  <c r="O132" i="1"/>
  <c r="A133" i="1"/>
  <c r="BE133" i="1" s="1"/>
  <c r="M132" i="1"/>
  <c r="AS132" i="1"/>
  <c r="AY132" i="1"/>
  <c r="AI132" i="1"/>
  <c r="U132" i="1"/>
  <c r="Y132" i="1"/>
  <c r="K132" i="1"/>
  <c r="AD132" i="1"/>
  <c r="J132" i="1"/>
  <c r="AA132" i="1"/>
  <c r="Z132" i="1"/>
  <c r="AN132" i="1"/>
  <c r="I132" i="1"/>
  <c r="W132" i="1"/>
  <c r="V132" i="1"/>
  <c r="M150" i="5" l="1"/>
  <c r="E150" i="5"/>
  <c r="Q150" i="5"/>
  <c r="P150" i="5"/>
  <c r="L150" i="5"/>
  <c r="C150" i="5"/>
  <c r="B150" i="5"/>
  <c r="A151" i="5"/>
  <c r="D150" i="5"/>
  <c r="BD150" i="5"/>
  <c r="BG150" i="5" s="1"/>
  <c r="AJ150" i="5"/>
  <c r="AM150" i="5" s="1"/>
  <c r="AD150" i="5"/>
  <c r="AG150" i="5" s="1"/>
  <c r="AV150" i="5"/>
  <c r="AY150" i="5" s="1"/>
  <c r="X150" i="5"/>
  <c r="BL150" i="5"/>
  <c r="BO150" i="5" s="1"/>
  <c r="AK150" i="5"/>
  <c r="H150" i="5"/>
  <c r="AQ150" i="5"/>
  <c r="I150" i="5"/>
  <c r="U150" i="5"/>
  <c r="AE150" i="5"/>
  <c r="T150" i="5"/>
  <c r="AP150" i="5"/>
  <c r="AS150" i="5" s="1"/>
  <c r="Y150" i="5"/>
  <c r="BM150" i="5"/>
  <c r="BP150" i="5" s="1"/>
  <c r="AW150" i="5"/>
  <c r="AZ150" i="5" s="1"/>
  <c r="BE150" i="5"/>
  <c r="BH150" i="5" s="1"/>
  <c r="A143" i="4"/>
  <c r="I142" i="4"/>
  <c r="C142" i="4"/>
  <c r="G142" i="4"/>
  <c r="B142" i="4"/>
  <c r="M142" i="4"/>
  <c r="S142" i="4"/>
  <c r="AC142" i="4"/>
  <c r="K142" i="4"/>
  <c r="AG142" i="4"/>
  <c r="E142" i="4"/>
  <c r="V142" i="4"/>
  <c r="P142" i="4"/>
  <c r="Y142" i="4"/>
  <c r="AD141" i="4"/>
  <c r="W141" i="4"/>
  <c r="Z141" i="4"/>
  <c r="AH141" i="4"/>
  <c r="T141" i="4"/>
  <c r="Q141" i="4"/>
  <c r="AK143" i="3"/>
  <c r="AJ143" i="3"/>
  <c r="AO143" i="3"/>
  <c r="AP143" i="3"/>
  <c r="AT143" i="3"/>
  <c r="AU143" i="3"/>
  <c r="AB143" i="3"/>
  <c r="AC143" i="3"/>
  <c r="AF143" i="3"/>
  <c r="AG143" i="3"/>
  <c r="M144" i="3"/>
  <c r="B144" i="3"/>
  <c r="K144" i="3"/>
  <c r="D144" i="3"/>
  <c r="A145" i="3"/>
  <c r="J144" i="3"/>
  <c r="N144" i="3"/>
  <c r="E144" i="3"/>
  <c r="C144" i="3"/>
  <c r="T144" i="3"/>
  <c r="P144" i="3"/>
  <c r="H144" i="3"/>
  <c r="S144" i="3"/>
  <c r="AI144" i="3"/>
  <c r="G144" i="3"/>
  <c r="AE144" i="3"/>
  <c r="AS144" i="3"/>
  <c r="AN144" i="3"/>
  <c r="AA144" i="3"/>
  <c r="W144" i="3"/>
  <c r="Q144" i="3"/>
  <c r="Y143" i="3"/>
  <c r="X143" i="3"/>
  <c r="BH133" i="1"/>
  <c r="BG133" i="1"/>
  <c r="BF133" i="1"/>
  <c r="BU158" i="2"/>
  <c r="BX158" i="2" s="1"/>
  <c r="A159" i="2"/>
  <c r="CS158" i="2"/>
  <c r="CV158" i="2" s="1"/>
  <c r="CG158" i="2"/>
  <c r="CJ158" i="2" s="1"/>
  <c r="BT158" i="2"/>
  <c r="BW158" i="2" s="1"/>
  <c r="CF158" i="2"/>
  <c r="CI158" i="2" s="1"/>
  <c r="BB158" i="2"/>
  <c r="BE158" i="2" s="1"/>
  <c r="CR158" i="2"/>
  <c r="CU158" i="2" s="1"/>
  <c r="BK158" i="2"/>
  <c r="BN158" i="2" s="1"/>
  <c r="BC158" i="2"/>
  <c r="BF158" i="2" s="1"/>
  <c r="BL158" i="2"/>
  <c r="BO158" i="2" s="1"/>
  <c r="X157" i="2"/>
  <c r="AK157" i="2"/>
  <c r="AJ157" i="2"/>
  <c r="AD157" i="2"/>
  <c r="G157" i="2"/>
  <c r="AE157" i="2"/>
  <c r="S157" i="2"/>
  <c r="R157" i="2"/>
  <c r="M157" i="2"/>
  <c r="F157" i="2"/>
  <c r="Y157" i="2"/>
  <c r="L157" i="2"/>
  <c r="AT157" i="2"/>
  <c r="AW157" i="2" s="1"/>
  <c r="AS157" i="2"/>
  <c r="AV157" i="2" s="1"/>
  <c r="BD156" i="2"/>
  <c r="CT156" i="2"/>
  <c r="BM156" i="2"/>
  <c r="BV156" i="2"/>
  <c r="Q157" i="2"/>
  <c r="C157" i="2"/>
  <c r="B157" i="2"/>
  <c r="W157" i="2"/>
  <c r="D157" i="2"/>
  <c r="E157" i="2"/>
  <c r="BA157" i="2"/>
  <c r="AC157" i="2"/>
  <c r="BS157" i="2"/>
  <c r="CQ157" i="2"/>
  <c r="K157" i="2"/>
  <c r="CE157" i="2"/>
  <c r="AI157" i="2"/>
  <c r="AR157" i="2"/>
  <c r="BJ157" i="2"/>
  <c r="AU156" i="2"/>
  <c r="CH156" i="2"/>
  <c r="AO132" i="1"/>
  <c r="AQ132" i="1"/>
  <c r="AP132" i="1"/>
  <c r="AE132" i="1"/>
  <c r="AF132" i="1"/>
  <c r="AG132" i="1"/>
  <c r="AK132" i="1"/>
  <c r="AJ132" i="1"/>
  <c r="AL132" i="1"/>
  <c r="E133" i="1"/>
  <c r="N133" i="1"/>
  <c r="F133" i="1"/>
  <c r="C133" i="1"/>
  <c r="D133" i="1"/>
  <c r="Q133" i="1"/>
  <c r="B133" i="1"/>
  <c r="R133" i="1"/>
  <c r="O133" i="1"/>
  <c r="A134" i="1"/>
  <c r="BE134" i="1" s="1"/>
  <c r="M133" i="1"/>
  <c r="S133" i="1"/>
  <c r="G133" i="1"/>
  <c r="Z133" i="1"/>
  <c r="AA133" i="1"/>
  <c r="J133" i="1"/>
  <c r="AD133" i="1"/>
  <c r="Y133" i="1"/>
  <c r="AI133" i="1"/>
  <c r="AN133" i="1"/>
  <c r="I133" i="1"/>
  <c r="AY133" i="1"/>
  <c r="AS133" i="1"/>
  <c r="W133" i="1"/>
  <c r="U133" i="1"/>
  <c r="K133" i="1"/>
  <c r="V133" i="1"/>
  <c r="BB132" i="1"/>
  <c r="BA132" i="1"/>
  <c r="AZ132" i="1"/>
  <c r="AU132" i="1"/>
  <c r="AT132" i="1"/>
  <c r="AV132" i="1"/>
  <c r="M151" i="5" l="1"/>
  <c r="E151" i="5"/>
  <c r="A152" i="5"/>
  <c r="L151" i="5"/>
  <c r="D151" i="5"/>
  <c r="Q151" i="5"/>
  <c r="P151" i="5"/>
  <c r="B151" i="5"/>
  <c r="C151" i="5"/>
  <c r="AD151" i="5"/>
  <c r="AG151" i="5" s="1"/>
  <c r="AE151" i="5"/>
  <c r="AK151" i="5"/>
  <c r="AJ151" i="5"/>
  <c r="AM151" i="5" s="1"/>
  <c r="H151" i="5"/>
  <c r="X151" i="5"/>
  <c r="BD151" i="5"/>
  <c r="BG151" i="5" s="1"/>
  <c r="T151" i="5"/>
  <c r="AV151" i="5"/>
  <c r="AY151" i="5" s="1"/>
  <c r="U151" i="5"/>
  <c r="AQ151" i="5"/>
  <c r="BL151" i="5"/>
  <c r="BO151" i="5" s="1"/>
  <c r="I151" i="5"/>
  <c r="AP151" i="5"/>
  <c r="AS151" i="5" s="1"/>
  <c r="Y151" i="5"/>
  <c r="BM151" i="5"/>
  <c r="BP151" i="5" s="1"/>
  <c r="AW151" i="5"/>
  <c r="AZ151" i="5" s="1"/>
  <c r="BE151" i="5"/>
  <c r="BH151" i="5" s="1"/>
  <c r="Q142" i="4"/>
  <c r="W142" i="4"/>
  <c r="AH142" i="4"/>
  <c r="Z142" i="4"/>
  <c r="T142" i="4"/>
  <c r="A144" i="4"/>
  <c r="I143" i="4"/>
  <c r="C143" i="4"/>
  <c r="G143" i="4"/>
  <c r="B143" i="4"/>
  <c r="S143" i="4"/>
  <c r="E143" i="4"/>
  <c r="V143" i="4"/>
  <c r="AG143" i="4"/>
  <c r="K143" i="4"/>
  <c r="M143" i="4"/>
  <c r="P143" i="4"/>
  <c r="Y143" i="4"/>
  <c r="AC143" i="4"/>
  <c r="AD142" i="4"/>
  <c r="Y144" i="3"/>
  <c r="X144" i="3"/>
  <c r="AC144" i="3"/>
  <c r="AB144" i="3"/>
  <c r="AP144" i="3"/>
  <c r="AO144" i="3"/>
  <c r="AT144" i="3"/>
  <c r="AU144" i="3"/>
  <c r="AF144" i="3"/>
  <c r="AG144" i="3"/>
  <c r="B145" i="3"/>
  <c r="N145" i="3"/>
  <c r="K145" i="3"/>
  <c r="D145" i="3"/>
  <c r="E145" i="3"/>
  <c r="J145" i="3"/>
  <c r="A146" i="3"/>
  <c r="C145" i="3"/>
  <c r="M145" i="3"/>
  <c r="AN145" i="3"/>
  <c r="AS145" i="3"/>
  <c r="AE145" i="3"/>
  <c r="AA145" i="3"/>
  <c r="S145" i="3"/>
  <c r="T145" i="3"/>
  <c r="AI145" i="3"/>
  <c r="Q145" i="3"/>
  <c r="W145" i="3"/>
  <c r="H145" i="3"/>
  <c r="G145" i="3"/>
  <c r="P145" i="3"/>
  <c r="AJ144" i="3"/>
  <c r="AK144" i="3"/>
  <c r="BF134" i="1"/>
  <c r="BH134" i="1"/>
  <c r="BG134" i="1"/>
  <c r="CR159" i="2"/>
  <c r="CU159" i="2" s="1"/>
  <c r="CS159" i="2"/>
  <c r="CV159" i="2" s="1"/>
  <c r="CF159" i="2"/>
  <c r="CI159" i="2" s="1"/>
  <c r="A160" i="2"/>
  <c r="BU159" i="2"/>
  <c r="BX159" i="2" s="1"/>
  <c r="CG159" i="2"/>
  <c r="CJ159" i="2" s="1"/>
  <c r="BT159" i="2"/>
  <c r="BW159" i="2" s="1"/>
  <c r="BK159" i="2"/>
  <c r="BN159" i="2" s="1"/>
  <c r="BB159" i="2"/>
  <c r="BE159" i="2" s="1"/>
  <c r="BL159" i="2"/>
  <c r="BO159" i="2" s="1"/>
  <c r="BC159" i="2"/>
  <c r="BF159" i="2" s="1"/>
  <c r="AD158" i="2"/>
  <c r="X158" i="2"/>
  <c r="AE158" i="2"/>
  <c r="Y158" i="2"/>
  <c r="AK158" i="2"/>
  <c r="S158" i="2"/>
  <c r="M158" i="2"/>
  <c r="R158" i="2"/>
  <c r="L158" i="2"/>
  <c r="G158" i="2"/>
  <c r="F158" i="2"/>
  <c r="AJ158" i="2"/>
  <c r="AS158" i="2"/>
  <c r="AV158" i="2" s="1"/>
  <c r="AT158" i="2"/>
  <c r="AW158" i="2" s="1"/>
  <c r="BM157" i="2"/>
  <c r="BV157" i="2"/>
  <c r="AU157" i="2"/>
  <c r="CT157" i="2"/>
  <c r="E158" i="2"/>
  <c r="D158" i="2"/>
  <c r="Q158" i="2"/>
  <c r="B158" i="2"/>
  <c r="C158" i="2"/>
  <c r="W158" i="2"/>
  <c r="BS158" i="2"/>
  <c r="BA158" i="2"/>
  <c r="AI158" i="2"/>
  <c r="K158" i="2"/>
  <c r="AR158" i="2"/>
  <c r="AC158" i="2"/>
  <c r="CE158" i="2"/>
  <c r="CQ158" i="2"/>
  <c r="BJ158" i="2"/>
  <c r="CH157" i="2"/>
  <c r="BD157" i="2"/>
  <c r="R134" i="1"/>
  <c r="S134" i="1"/>
  <c r="Q134" i="1"/>
  <c r="G134" i="1"/>
  <c r="F134" i="1"/>
  <c r="N134" i="1"/>
  <c r="O134" i="1"/>
  <c r="A135" i="1"/>
  <c r="BE135" i="1" s="1"/>
  <c r="M134" i="1"/>
  <c r="E134" i="1"/>
  <c r="C134" i="1"/>
  <c r="B134" i="1"/>
  <c r="D134" i="1"/>
  <c r="AS134" i="1"/>
  <c r="AI134" i="1"/>
  <c r="K134" i="1"/>
  <c r="U134" i="1"/>
  <c r="AY134" i="1"/>
  <c r="J134" i="1"/>
  <c r="W134" i="1"/>
  <c r="V134" i="1"/>
  <c r="AD134" i="1"/>
  <c r="Z134" i="1"/>
  <c r="AA134" i="1"/>
  <c r="Y134" i="1"/>
  <c r="AN134" i="1"/>
  <c r="I134" i="1"/>
  <c r="BA133" i="1"/>
  <c r="AZ133" i="1"/>
  <c r="BB133" i="1"/>
  <c r="AE133" i="1"/>
  <c r="AF133" i="1"/>
  <c r="AG133" i="1"/>
  <c r="AT133" i="1"/>
  <c r="AV133" i="1"/>
  <c r="AU133" i="1"/>
  <c r="AL133" i="1"/>
  <c r="AK133" i="1"/>
  <c r="AJ133" i="1"/>
  <c r="AP133" i="1"/>
  <c r="AQ133" i="1"/>
  <c r="AO133" i="1"/>
  <c r="P152" i="5" l="1"/>
  <c r="B152" i="5"/>
  <c r="L152" i="5"/>
  <c r="D152" i="5"/>
  <c r="A153" i="5"/>
  <c r="Q152" i="5"/>
  <c r="E152" i="5"/>
  <c r="C152" i="5"/>
  <c r="M152" i="5"/>
  <c r="X152" i="5"/>
  <c r="AD152" i="5"/>
  <c r="AG152" i="5" s="1"/>
  <c r="AJ152" i="5"/>
  <c r="AM152" i="5" s="1"/>
  <c r="AV152" i="5"/>
  <c r="AY152" i="5" s="1"/>
  <c r="BD152" i="5"/>
  <c r="BG152" i="5" s="1"/>
  <c r="AE152" i="5"/>
  <c r="AK152" i="5"/>
  <c r="I152" i="5"/>
  <c r="AP152" i="5"/>
  <c r="AS152" i="5" s="1"/>
  <c r="H152" i="5"/>
  <c r="AQ152" i="5"/>
  <c r="BL152" i="5"/>
  <c r="BO152" i="5" s="1"/>
  <c r="T152" i="5"/>
  <c r="AW152" i="5"/>
  <c r="AZ152" i="5" s="1"/>
  <c r="U152" i="5"/>
  <c r="BM152" i="5"/>
  <c r="BP152" i="5" s="1"/>
  <c r="BE152" i="5"/>
  <c r="BH152" i="5" s="1"/>
  <c r="Y152" i="5"/>
  <c r="Z143" i="4"/>
  <c r="AH143" i="4"/>
  <c r="Q143" i="4"/>
  <c r="W143" i="4"/>
  <c r="A145" i="4"/>
  <c r="I144" i="4"/>
  <c r="C144" i="4"/>
  <c r="B144" i="4"/>
  <c r="G144" i="4"/>
  <c r="AC144" i="4"/>
  <c r="AG144" i="4"/>
  <c r="V144" i="4"/>
  <c r="Y144" i="4"/>
  <c r="E144" i="4"/>
  <c r="P144" i="4"/>
  <c r="K144" i="4"/>
  <c r="M144" i="4"/>
  <c r="S144" i="4"/>
  <c r="T143" i="4"/>
  <c r="AD143" i="4"/>
  <c r="AK145" i="3"/>
  <c r="AJ145" i="3"/>
  <c r="AU145" i="3"/>
  <c r="AT145" i="3"/>
  <c r="AO145" i="3"/>
  <c r="AP145" i="3"/>
  <c r="X145" i="3"/>
  <c r="Y145" i="3"/>
  <c r="AB145" i="3"/>
  <c r="AC145" i="3"/>
  <c r="K146" i="3"/>
  <c r="E146" i="3"/>
  <c r="M146" i="3"/>
  <c r="A147" i="3"/>
  <c r="D146" i="3"/>
  <c r="B146" i="3"/>
  <c r="C146" i="3"/>
  <c r="N146" i="3"/>
  <c r="J146" i="3"/>
  <c r="G146" i="3"/>
  <c r="S146" i="3"/>
  <c r="AN146" i="3"/>
  <c r="H146" i="3"/>
  <c r="W146" i="3"/>
  <c r="P146" i="3"/>
  <c r="AS146" i="3"/>
  <c r="AA146" i="3"/>
  <c r="AI146" i="3"/>
  <c r="AE146" i="3"/>
  <c r="T146" i="3"/>
  <c r="Q146" i="3"/>
  <c r="AG145" i="3"/>
  <c r="AF145" i="3"/>
  <c r="BG135" i="1"/>
  <c r="BF135" i="1"/>
  <c r="BH135" i="1"/>
  <c r="A161" i="2"/>
  <c r="CS160" i="2"/>
  <c r="CV160" i="2" s="1"/>
  <c r="CR160" i="2"/>
  <c r="CU160" i="2" s="1"/>
  <c r="CG160" i="2"/>
  <c r="CJ160" i="2" s="1"/>
  <c r="BT160" i="2"/>
  <c r="BW160" i="2" s="1"/>
  <c r="CF160" i="2"/>
  <c r="CI160" i="2" s="1"/>
  <c r="BU160" i="2"/>
  <c r="BX160" i="2" s="1"/>
  <c r="BB160" i="2"/>
  <c r="BE160" i="2" s="1"/>
  <c r="BL160" i="2"/>
  <c r="BO160" i="2" s="1"/>
  <c r="BK160" i="2"/>
  <c r="BN160" i="2" s="1"/>
  <c r="BC160" i="2"/>
  <c r="BF160" i="2" s="1"/>
  <c r="AJ159" i="2"/>
  <c r="AK159" i="2"/>
  <c r="Y159" i="2"/>
  <c r="X159" i="2"/>
  <c r="L159" i="2"/>
  <c r="F159" i="2"/>
  <c r="M159" i="2"/>
  <c r="G159" i="2"/>
  <c r="AE159" i="2"/>
  <c r="S159" i="2"/>
  <c r="R159" i="2"/>
  <c r="AD159" i="2"/>
  <c r="AS159" i="2"/>
  <c r="AV159" i="2" s="1"/>
  <c r="AT159" i="2"/>
  <c r="AW159" i="2" s="1"/>
  <c r="BM158" i="2"/>
  <c r="BV158" i="2"/>
  <c r="CH158" i="2"/>
  <c r="CT158" i="2"/>
  <c r="BD158" i="2"/>
  <c r="AU158" i="2"/>
  <c r="Q159" i="2"/>
  <c r="W159" i="2"/>
  <c r="D159" i="2"/>
  <c r="E159" i="2"/>
  <c r="B159" i="2"/>
  <c r="C159" i="2"/>
  <c r="CE159" i="2"/>
  <c r="K159" i="2"/>
  <c r="BJ159" i="2"/>
  <c r="AC159" i="2"/>
  <c r="BS159" i="2"/>
  <c r="BA159" i="2"/>
  <c r="AI159" i="2"/>
  <c r="AR159" i="2"/>
  <c r="CQ159" i="2"/>
  <c r="AL134" i="1"/>
  <c r="AJ134" i="1"/>
  <c r="AK134" i="1"/>
  <c r="E135" i="1"/>
  <c r="N135" i="1"/>
  <c r="F135" i="1"/>
  <c r="R135" i="1"/>
  <c r="Q135" i="1"/>
  <c r="O135" i="1"/>
  <c r="G135" i="1"/>
  <c r="B135" i="1"/>
  <c r="S135" i="1"/>
  <c r="C135" i="1"/>
  <c r="A136" i="1"/>
  <c r="BE136" i="1" s="1"/>
  <c r="M135" i="1"/>
  <c r="D135" i="1"/>
  <c r="Z135" i="1"/>
  <c r="AN135" i="1"/>
  <c r="J135" i="1"/>
  <c r="U135" i="1"/>
  <c r="W135" i="1"/>
  <c r="AD135" i="1"/>
  <c r="Y135" i="1"/>
  <c r="I135" i="1"/>
  <c r="AY135" i="1"/>
  <c r="AI135" i="1"/>
  <c r="V135" i="1"/>
  <c r="K135" i="1"/>
  <c r="AS135" i="1"/>
  <c r="AA135" i="1"/>
  <c r="AP134" i="1"/>
  <c r="AO134" i="1"/>
  <c r="AQ134" i="1"/>
  <c r="AF134" i="1"/>
  <c r="AG134" i="1"/>
  <c r="AE134" i="1"/>
  <c r="BA134" i="1"/>
  <c r="AZ134" i="1"/>
  <c r="BB134" i="1"/>
  <c r="AV134" i="1"/>
  <c r="AU134" i="1"/>
  <c r="AT134" i="1"/>
  <c r="P153" i="5" l="1"/>
  <c r="B153" i="5"/>
  <c r="A154" i="5"/>
  <c r="E153" i="5"/>
  <c r="M153" i="5"/>
  <c r="D153" i="5"/>
  <c r="C153" i="5"/>
  <c r="Q153" i="5"/>
  <c r="L153" i="5"/>
  <c r="AE153" i="5"/>
  <c r="AK153" i="5"/>
  <c r="AV153" i="5"/>
  <c r="AY153" i="5" s="1"/>
  <c r="X153" i="5"/>
  <c r="AD153" i="5"/>
  <c r="AG153" i="5" s="1"/>
  <c r="AJ153" i="5"/>
  <c r="AM153" i="5" s="1"/>
  <c r="BL153" i="5"/>
  <c r="BO153" i="5" s="1"/>
  <c r="H153" i="5"/>
  <c r="T153" i="5"/>
  <c r="AQ153" i="5"/>
  <c r="BE153" i="5"/>
  <c r="BH153" i="5" s="1"/>
  <c r="U153" i="5"/>
  <c r="BD153" i="5"/>
  <c r="BG153" i="5" s="1"/>
  <c r="I153" i="5"/>
  <c r="AP153" i="5"/>
  <c r="AS153" i="5" s="1"/>
  <c r="BM153" i="5"/>
  <c r="BP153" i="5" s="1"/>
  <c r="AW153" i="5"/>
  <c r="AZ153" i="5" s="1"/>
  <c r="Y153" i="5"/>
  <c r="T144" i="4"/>
  <c r="AH144" i="4"/>
  <c r="Z144" i="4"/>
  <c r="W144" i="4"/>
  <c r="Q144" i="4"/>
  <c r="AD144" i="4"/>
  <c r="A146" i="4"/>
  <c r="I145" i="4"/>
  <c r="C145" i="4"/>
  <c r="G145" i="4"/>
  <c r="B145" i="4"/>
  <c r="K145" i="4"/>
  <c r="M145" i="4"/>
  <c r="AG145" i="4"/>
  <c r="P145" i="4"/>
  <c r="E145" i="4"/>
  <c r="V145" i="4"/>
  <c r="S145" i="4"/>
  <c r="Y145" i="4"/>
  <c r="AC145" i="4"/>
  <c r="AT146" i="3"/>
  <c r="AU146" i="3"/>
  <c r="AF146" i="3"/>
  <c r="AG146" i="3"/>
  <c r="AJ146" i="3"/>
  <c r="AK146" i="3"/>
  <c r="AC146" i="3"/>
  <c r="AB146" i="3"/>
  <c r="M147" i="3"/>
  <c r="B147" i="3"/>
  <c r="N147" i="3"/>
  <c r="C147" i="3"/>
  <c r="K147" i="3"/>
  <c r="J147" i="3"/>
  <c r="E147" i="3"/>
  <c r="D147" i="3"/>
  <c r="A148" i="3"/>
  <c r="T147" i="3"/>
  <c r="H147" i="3"/>
  <c r="Q147" i="3"/>
  <c r="AS147" i="3"/>
  <c r="AI147" i="3"/>
  <c r="AN147" i="3"/>
  <c r="AE147" i="3"/>
  <c r="AA147" i="3"/>
  <c r="S147" i="3"/>
  <c r="G147" i="3"/>
  <c r="W147" i="3"/>
  <c r="P147" i="3"/>
  <c r="X146" i="3"/>
  <c r="Y146" i="3"/>
  <c r="AO146" i="3"/>
  <c r="AP146" i="3"/>
  <c r="BH136" i="1"/>
  <c r="BG136" i="1"/>
  <c r="BF136" i="1"/>
  <c r="A162" i="2"/>
  <c r="CR161" i="2"/>
  <c r="CU161" i="2" s="1"/>
  <c r="CS161" i="2"/>
  <c r="CV161" i="2" s="1"/>
  <c r="CF161" i="2"/>
  <c r="CI161" i="2" s="1"/>
  <c r="CG161" i="2"/>
  <c r="CJ161" i="2" s="1"/>
  <c r="BK161" i="2"/>
  <c r="BN161" i="2" s="1"/>
  <c r="BL161" i="2"/>
  <c r="BO161" i="2" s="1"/>
  <c r="BT161" i="2"/>
  <c r="BW161" i="2" s="1"/>
  <c r="BU161" i="2"/>
  <c r="BX161" i="2" s="1"/>
  <c r="BC161" i="2"/>
  <c r="BF161" i="2" s="1"/>
  <c r="BB161" i="2"/>
  <c r="BE161" i="2" s="1"/>
  <c r="AJ160" i="2"/>
  <c r="AD160" i="2"/>
  <c r="AE160" i="2"/>
  <c r="L160" i="2"/>
  <c r="G160" i="2"/>
  <c r="AK160" i="2"/>
  <c r="M160" i="2"/>
  <c r="Y160" i="2"/>
  <c r="S160" i="2"/>
  <c r="F160" i="2"/>
  <c r="X160" i="2"/>
  <c r="R160" i="2"/>
  <c r="AT160" i="2"/>
  <c r="AW160" i="2" s="1"/>
  <c r="AS160" i="2"/>
  <c r="AV160" i="2" s="1"/>
  <c r="CH159" i="2"/>
  <c r="BD159" i="2"/>
  <c r="BV159" i="2"/>
  <c r="BM159" i="2"/>
  <c r="Q160" i="2"/>
  <c r="W160" i="2"/>
  <c r="B160" i="2"/>
  <c r="E160" i="2"/>
  <c r="C160" i="2"/>
  <c r="D160" i="2"/>
  <c r="BS160" i="2"/>
  <c r="AI160" i="2"/>
  <c r="BA160" i="2"/>
  <c r="BJ160" i="2"/>
  <c r="CE160" i="2"/>
  <c r="AR160" i="2"/>
  <c r="CQ160" i="2"/>
  <c r="K160" i="2"/>
  <c r="AC160" i="2"/>
  <c r="CT159" i="2"/>
  <c r="AU159" i="2"/>
  <c r="AJ135" i="1"/>
  <c r="AK135" i="1"/>
  <c r="AL135" i="1"/>
  <c r="AE135" i="1"/>
  <c r="AG135" i="1"/>
  <c r="AF135" i="1"/>
  <c r="AP135" i="1"/>
  <c r="AQ135" i="1"/>
  <c r="AO135" i="1"/>
  <c r="A137" i="1"/>
  <c r="BE137" i="1" s="1"/>
  <c r="M136" i="1"/>
  <c r="D136" i="1"/>
  <c r="S136" i="1"/>
  <c r="N136" i="1"/>
  <c r="G136" i="1"/>
  <c r="F136" i="1"/>
  <c r="E136" i="1"/>
  <c r="C136" i="1"/>
  <c r="B136" i="1"/>
  <c r="R136" i="1"/>
  <c r="Q136" i="1"/>
  <c r="O136" i="1"/>
  <c r="AY136" i="1"/>
  <c r="AA136" i="1"/>
  <c r="AS136" i="1"/>
  <c r="Z136" i="1"/>
  <c r="I136" i="1"/>
  <c r="W136" i="1"/>
  <c r="AD136" i="1"/>
  <c r="K136" i="1"/>
  <c r="J136" i="1"/>
  <c r="AI136" i="1"/>
  <c r="AN136" i="1"/>
  <c r="V136" i="1"/>
  <c r="Y136" i="1"/>
  <c r="U136" i="1"/>
  <c r="AT135" i="1"/>
  <c r="AV135" i="1"/>
  <c r="AU135" i="1"/>
  <c r="BB135" i="1"/>
  <c r="BA135" i="1"/>
  <c r="AZ135" i="1"/>
  <c r="M154" i="5" l="1"/>
  <c r="E154" i="5"/>
  <c r="A155" i="5"/>
  <c r="P154" i="5"/>
  <c r="D154" i="5"/>
  <c r="C154" i="5"/>
  <c r="L154" i="5"/>
  <c r="B154" i="5"/>
  <c r="Q154" i="5"/>
  <c r="AE154" i="5"/>
  <c r="AK154" i="5"/>
  <c r="AJ154" i="5"/>
  <c r="AM154" i="5" s="1"/>
  <c r="X154" i="5"/>
  <c r="AV154" i="5"/>
  <c r="AY154" i="5" s="1"/>
  <c r="AD154" i="5"/>
  <c r="AG154" i="5" s="1"/>
  <c r="H154" i="5"/>
  <c r="BL154" i="5"/>
  <c r="BO154" i="5" s="1"/>
  <c r="I154" i="5"/>
  <c r="AQ154" i="5"/>
  <c r="AP154" i="5"/>
  <c r="AS154" i="5" s="1"/>
  <c r="BD154" i="5"/>
  <c r="BG154" i="5" s="1"/>
  <c r="U154" i="5"/>
  <c r="T154" i="5"/>
  <c r="AW154" i="5"/>
  <c r="AZ154" i="5" s="1"/>
  <c r="BM154" i="5"/>
  <c r="BP154" i="5" s="1"/>
  <c r="BE154" i="5"/>
  <c r="BH154" i="5" s="1"/>
  <c r="Y154" i="5"/>
  <c r="AD145" i="4"/>
  <c r="Z145" i="4"/>
  <c r="Q145" i="4"/>
  <c r="W145" i="4"/>
  <c r="T145" i="4"/>
  <c r="AH145" i="4"/>
  <c r="A147" i="4"/>
  <c r="I146" i="4"/>
  <c r="C146" i="4"/>
  <c r="B146" i="4"/>
  <c r="G146" i="4"/>
  <c r="AG146" i="4"/>
  <c r="V146" i="4"/>
  <c r="E146" i="4"/>
  <c r="P146" i="4"/>
  <c r="K146" i="4"/>
  <c r="M146" i="4"/>
  <c r="Y146" i="4"/>
  <c r="AC146" i="4"/>
  <c r="S146" i="4"/>
  <c r="AT147" i="3"/>
  <c r="AU147" i="3"/>
  <c r="AB147" i="3"/>
  <c r="AC147" i="3"/>
  <c r="AF147" i="3"/>
  <c r="AG147" i="3"/>
  <c r="X147" i="3"/>
  <c r="Y147" i="3"/>
  <c r="AO147" i="3"/>
  <c r="AP147" i="3"/>
  <c r="AJ147" i="3"/>
  <c r="AK147" i="3"/>
  <c r="K148" i="3"/>
  <c r="E148" i="3"/>
  <c r="A149" i="3"/>
  <c r="J148" i="3"/>
  <c r="D148" i="3"/>
  <c r="M148" i="3"/>
  <c r="B148" i="3"/>
  <c r="C148" i="3"/>
  <c r="N148" i="3"/>
  <c r="P148" i="3"/>
  <c r="AA148" i="3"/>
  <c r="AE148" i="3"/>
  <c r="Q148" i="3"/>
  <c r="T148" i="3"/>
  <c r="H148" i="3"/>
  <c r="G148" i="3"/>
  <c r="AI148" i="3"/>
  <c r="W148" i="3"/>
  <c r="AN148" i="3"/>
  <c r="S148" i="3"/>
  <c r="AS148" i="3"/>
  <c r="BF137" i="1"/>
  <c r="BH137" i="1"/>
  <c r="BG137" i="1"/>
  <c r="A163" i="2"/>
  <c r="BU162" i="2"/>
  <c r="BX162" i="2" s="1"/>
  <c r="CS162" i="2"/>
  <c r="CV162" i="2" s="1"/>
  <c r="CG162" i="2"/>
  <c r="CJ162" i="2" s="1"/>
  <c r="CR162" i="2"/>
  <c r="CU162" i="2" s="1"/>
  <c r="CF162" i="2"/>
  <c r="CI162" i="2" s="1"/>
  <c r="BT162" i="2"/>
  <c r="BW162" i="2" s="1"/>
  <c r="BK162" i="2"/>
  <c r="BN162" i="2" s="1"/>
  <c r="BB162" i="2"/>
  <c r="BE162" i="2" s="1"/>
  <c r="BL162" i="2"/>
  <c r="BO162" i="2" s="1"/>
  <c r="BC162" i="2"/>
  <c r="BF162" i="2" s="1"/>
  <c r="X161" i="2"/>
  <c r="G161" i="2"/>
  <c r="AJ161" i="2"/>
  <c r="S161" i="2"/>
  <c r="M161" i="2"/>
  <c r="L161" i="2"/>
  <c r="AK161" i="2"/>
  <c r="R161" i="2"/>
  <c r="AE161" i="2"/>
  <c r="Y161" i="2"/>
  <c r="AD161" i="2"/>
  <c r="F161" i="2"/>
  <c r="AS161" i="2"/>
  <c r="AV161" i="2" s="1"/>
  <c r="AT161" i="2"/>
  <c r="AW161" i="2" s="1"/>
  <c r="CH160" i="2"/>
  <c r="Q161" i="2"/>
  <c r="C161" i="2"/>
  <c r="B161" i="2"/>
  <c r="W161" i="2"/>
  <c r="D161" i="2"/>
  <c r="E161" i="2"/>
  <c r="AC161" i="2"/>
  <c r="BS161" i="2"/>
  <c r="CE161" i="2"/>
  <c r="CQ161" i="2"/>
  <c r="AI161" i="2"/>
  <c r="AR161" i="2"/>
  <c r="K161" i="2"/>
  <c r="BJ161" i="2"/>
  <c r="BA161" i="2"/>
  <c r="BM160" i="2"/>
  <c r="CT160" i="2"/>
  <c r="AU160" i="2"/>
  <c r="BV160" i="2"/>
  <c r="BD160" i="2"/>
  <c r="AZ136" i="1"/>
  <c r="BA136" i="1"/>
  <c r="BB136" i="1"/>
  <c r="A138" i="1"/>
  <c r="BE138" i="1" s="1"/>
  <c r="Q137" i="1"/>
  <c r="N137" i="1"/>
  <c r="F137" i="1"/>
  <c r="C137" i="1"/>
  <c r="D137" i="1"/>
  <c r="M137" i="1"/>
  <c r="E137" i="1"/>
  <c r="O137" i="1"/>
  <c r="B137" i="1"/>
  <c r="R137" i="1"/>
  <c r="S137" i="1"/>
  <c r="G137" i="1"/>
  <c r="AA137" i="1"/>
  <c r="AN137" i="1"/>
  <c r="K137" i="1"/>
  <c r="W137" i="1"/>
  <c r="AI137" i="1"/>
  <c r="I137" i="1"/>
  <c r="Y137" i="1"/>
  <c r="J137" i="1"/>
  <c r="U137" i="1"/>
  <c r="AS137" i="1"/>
  <c r="Z137" i="1"/>
  <c r="V137" i="1"/>
  <c r="AY137" i="1"/>
  <c r="AD137" i="1"/>
  <c r="AL136" i="1"/>
  <c r="AJ136" i="1"/>
  <c r="AK136" i="1"/>
  <c r="AO136" i="1"/>
  <c r="AQ136" i="1"/>
  <c r="AP136" i="1"/>
  <c r="AG136" i="1"/>
  <c r="AE136" i="1"/>
  <c r="AF136" i="1"/>
  <c r="AT136" i="1"/>
  <c r="AV136" i="1"/>
  <c r="AU136" i="1"/>
  <c r="M155" i="5" l="1"/>
  <c r="E155" i="5"/>
  <c r="Q155" i="5"/>
  <c r="C155" i="5"/>
  <c r="P155" i="5"/>
  <c r="B155" i="5"/>
  <c r="D155" i="5"/>
  <c r="A156" i="5"/>
  <c r="L155" i="5"/>
  <c r="X155" i="5"/>
  <c r="AJ155" i="5"/>
  <c r="AM155" i="5" s="1"/>
  <c r="AV155" i="5"/>
  <c r="AY155" i="5" s="1"/>
  <c r="AE155" i="5"/>
  <c r="AK155" i="5"/>
  <c r="BD155" i="5"/>
  <c r="BG155" i="5" s="1"/>
  <c r="BL155" i="5"/>
  <c r="BO155" i="5" s="1"/>
  <c r="AD155" i="5"/>
  <c r="AG155" i="5" s="1"/>
  <c r="H155" i="5"/>
  <c r="AQ155" i="5"/>
  <c r="U155" i="5"/>
  <c r="I155" i="5"/>
  <c r="T155" i="5"/>
  <c r="AP155" i="5"/>
  <c r="AS155" i="5" s="1"/>
  <c r="BM155" i="5"/>
  <c r="BP155" i="5" s="1"/>
  <c r="BE155" i="5"/>
  <c r="BH155" i="5" s="1"/>
  <c r="Y155" i="5"/>
  <c r="AW155" i="5"/>
  <c r="AZ155" i="5" s="1"/>
  <c r="T146" i="4"/>
  <c r="Q146" i="4"/>
  <c r="W146" i="4"/>
  <c r="A148" i="4"/>
  <c r="I147" i="4"/>
  <c r="C147" i="4"/>
  <c r="G147" i="4"/>
  <c r="B147" i="4"/>
  <c r="K147" i="4"/>
  <c r="M147" i="4"/>
  <c r="AG147" i="4"/>
  <c r="P147" i="4"/>
  <c r="S147" i="4"/>
  <c r="Y147" i="4"/>
  <c r="V147" i="4"/>
  <c r="AC147" i="4"/>
  <c r="E147" i="4"/>
  <c r="Z146" i="4"/>
  <c r="AH146" i="4"/>
  <c r="AD146" i="4"/>
  <c r="AJ148" i="3"/>
  <c r="AK148" i="3"/>
  <c r="K149" i="3"/>
  <c r="E149" i="3"/>
  <c r="M149" i="3"/>
  <c r="B149" i="3"/>
  <c r="A150" i="3"/>
  <c r="J149" i="3"/>
  <c r="D149" i="3"/>
  <c r="N149" i="3"/>
  <c r="C149" i="3"/>
  <c r="AI149" i="3"/>
  <c r="AE149" i="3"/>
  <c r="AN149" i="3"/>
  <c r="H149" i="3"/>
  <c r="T149" i="3"/>
  <c r="W149" i="3"/>
  <c r="S149" i="3"/>
  <c r="AS149" i="3"/>
  <c r="G149" i="3"/>
  <c r="Q149" i="3"/>
  <c r="P149" i="3"/>
  <c r="AA149" i="3"/>
  <c r="AU148" i="3"/>
  <c r="AT148" i="3"/>
  <c r="AG148" i="3"/>
  <c r="AF148" i="3"/>
  <c r="AO148" i="3"/>
  <c r="AP148" i="3"/>
  <c r="AB148" i="3"/>
  <c r="AC148" i="3"/>
  <c r="X148" i="3"/>
  <c r="Y148" i="3"/>
  <c r="BF138" i="1"/>
  <c r="BH138" i="1"/>
  <c r="BG138" i="1"/>
  <c r="CR163" i="2"/>
  <c r="CU163" i="2" s="1"/>
  <c r="A164" i="2"/>
  <c r="CG163" i="2"/>
  <c r="CJ163" i="2" s="1"/>
  <c r="BU163" i="2"/>
  <c r="BX163" i="2" s="1"/>
  <c r="BT163" i="2"/>
  <c r="BW163" i="2" s="1"/>
  <c r="BC163" i="2"/>
  <c r="BF163" i="2" s="1"/>
  <c r="CS163" i="2"/>
  <c r="CV163" i="2" s="1"/>
  <c r="BL163" i="2"/>
  <c r="BO163" i="2" s="1"/>
  <c r="BK163" i="2"/>
  <c r="BN163" i="2" s="1"/>
  <c r="CF163" i="2"/>
  <c r="CI163" i="2" s="1"/>
  <c r="BB163" i="2"/>
  <c r="BE163" i="2" s="1"/>
  <c r="AK162" i="2"/>
  <c r="Y162" i="2"/>
  <c r="S162" i="2"/>
  <c r="M162" i="2"/>
  <c r="R162" i="2"/>
  <c r="AE162" i="2"/>
  <c r="X162" i="2"/>
  <c r="AJ162" i="2"/>
  <c r="AD162" i="2"/>
  <c r="G162" i="2"/>
  <c r="L162" i="2"/>
  <c r="F162" i="2"/>
  <c r="AT162" i="2"/>
  <c r="AW162" i="2" s="1"/>
  <c r="AS162" i="2"/>
  <c r="AV162" i="2" s="1"/>
  <c r="CH161" i="2"/>
  <c r="BM161" i="2"/>
  <c r="BV161" i="2"/>
  <c r="CT161" i="2"/>
  <c r="E162" i="2"/>
  <c r="B162" i="2"/>
  <c r="W162" i="2"/>
  <c r="Q162" i="2"/>
  <c r="D162" i="2"/>
  <c r="C162" i="2"/>
  <c r="BS162" i="2"/>
  <c r="AI162" i="2"/>
  <c r="K162" i="2"/>
  <c r="CQ162" i="2"/>
  <c r="AR162" i="2"/>
  <c r="AC162" i="2"/>
  <c r="BJ162" i="2"/>
  <c r="BA162" i="2"/>
  <c r="CE162" i="2"/>
  <c r="AU161" i="2"/>
  <c r="BD161" i="2"/>
  <c r="F138" i="1"/>
  <c r="O138" i="1"/>
  <c r="M138" i="1"/>
  <c r="Q138" i="1"/>
  <c r="C138" i="1"/>
  <c r="N138" i="1"/>
  <c r="D138" i="1"/>
  <c r="B138" i="1"/>
  <c r="R138" i="1"/>
  <c r="A139" i="1"/>
  <c r="BE139" i="1" s="1"/>
  <c r="E138" i="1"/>
  <c r="G138" i="1"/>
  <c r="S138" i="1"/>
  <c r="AS138" i="1"/>
  <c r="AY138" i="1"/>
  <c r="AI138" i="1"/>
  <c r="J138" i="1"/>
  <c r="Y138" i="1"/>
  <c r="I138" i="1"/>
  <c r="W138" i="1"/>
  <c r="V138" i="1"/>
  <c r="AD138" i="1"/>
  <c r="AN138" i="1"/>
  <c r="Z138" i="1"/>
  <c r="U138" i="1"/>
  <c r="K138" i="1"/>
  <c r="AA138" i="1"/>
  <c r="AE137" i="1"/>
  <c r="AF137" i="1"/>
  <c r="AG137" i="1"/>
  <c r="AU137" i="1"/>
  <c r="AT137" i="1"/>
  <c r="AV137" i="1"/>
  <c r="AP137" i="1"/>
  <c r="AO137" i="1"/>
  <c r="AQ137" i="1"/>
  <c r="BB137" i="1"/>
  <c r="BA137" i="1"/>
  <c r="AZ137" i="1"/>
  <c r="AK137" i="1"/>
  <c r="AL137" i="1"/>
  <c r="AJ137" i="1"/>
  <c r="P156" i="5" l="1"/>
  <c r="B156" i="5"/>
  <c r="A157" i="5"/>
  <c r="L156" i="5"/>
  <c r="D156" i="5"/>
  <c r="Q156" i="5"/>
  <c r="C156" i="5"/>
  <c r="E156" i="5"/>
  <c r="M156" i="5"/>
  <c r="AE156" i="5"/>
  <c r="AV156" i="5"/>
  <c r="AY156" i="5" s="1"/>
  <c r="BD156" i="5"/>
  <c r="BG156" i="5" s="1"/>
  <c r="BL156" i="5"/>
  <c r="BO156" i="5" s="1"/>
  <c r="AD156" i="5"/>
  <c r="AG156" i="5" s="1"/>
  <c r="AJ156" i="5"/>
  <c r="AM156" i="5" s="1"/>
  <c r="AK156" i="5"/>
  <c r="X156" i="5"/>
  <c r="U156" i="5"/>
  <c r="AP156" i="5"/>
  <c r="AS156" i="5" s="1"/>
  <c r="H156" i="5"/>
  <c r="T156" i="5"/>
  <c r="AQ156" i="5"/>
  <c r="I156" i="5"/>
  <c r="Y156" i="5"/>
  <c r="BE156" i="5"/>
  <c r="BH156" i="5" s="1"/>
  <c r="AW156" i="5"/>
  <c r="AZ156" i="5" s="1"/>
  <c r="BM156" i="5"/>
  <c r="BP156" i="5" s="1"/>
  <c r="Q147" i="4"/>
  <c r="W147" i="4"/>
  <c r="Z147" i="4"/>
  <c r="T147" i="4"/>
  <c r="AD147" i="4"/>
  <c r="AH147" i="4"/>
  <c r="A149" i="4"/>
  <c r="I148" i="4"/>
  <c r="C148" i="4"/>
  <c r="G148" i="4"/>
  <c r="B148" i="4"/>
  <c r="E148" i="4"/>
  <c r="P148" i="4"/>
  <c r="K148" i="4"/>
  <c r="V148" i="4"/>
  <c r="AG148" i="4"/>
  <c r="Y148" i="4"/>
  <c r="S148" i="4"/>
  <c r="AC148" i="4"/>
  <c r="M148" i="4"/>
  <c r="M150" i="3"/>
  <c r="B150" i="3"/>
  <c r="N150" i="3"/>
  <c r="C150" i="3"/>
  <c r="K150" i="3"/>
  <c r="E150" i="3"/>
  <c r="J150" i="3"/>
  <c r="D150" i="3"/>
  <c r="A151" i="3"/>
  <c r="Q150" i="3"/>
  <c r="P150" i="3"/>
  <c r="S150" i="3"/>
  <c r="G150" i="3"/>
  <c r="AA150" i="3"/>
  <c r="AI150" i="3"/>
  <c r="AS150" i="3"/>
  <c r="T150" i="3"/>
  <c r="H150" i="3"/>
  <c r="AE150" i="3"/>
  <c r="W150" i="3"/>
  <c r="AN150" i="3"/>
  <c r="AJ149" i="3"/>
  <c r="AK149" i="3"/>
  <c r="AT149" i="3"/>
  <c r="AU149" i="3"/>
  <c r="AF149" i="3"/>
  <c r="AG149" i="3"/>
  <c r="AO149" i="3"/>
  <c r="AP149" i="3"/>
  <c r="AB149" i="3"/>
  <c r="AC149" i="3"/>
  <c r="X149" i="3"/>
  <c r="Y149" i="3"/>
  <c r="BH139" i="1"/>
  <c r="BG139" i="1"/>
  <c r="BF139" i="1"/>
  <c r="CS164" i="2"/>
  <c r="CV164" i="2" s="1"/>
  <c r="CR164" i="2"/>
  <c r="CU164" i="2" s="1"/>
  <c r="A165" i="2"/>
  <c r="BT164" i="2"/>
  <c r="BW164" i="2" s="1"/>
  <c r="BU164" i="2"/>
  <c r="BX164" i="2" s="1"/>
  <c r="CG164" i="2"/>
  <c r="CJ164" i="2" s="1"/>
  <c r="BK164" i="2"/>
  <c r="BN164" i="2" s="1"/>
  <c r="BC164" i="2"/>
  <c r="BF164" i="2" s="1"/>
  <c r="BB164" i="2"/>
  <c r="BE164" i="2" s="1"/>
  <c r="CF164" i="2"/>
  <c r="CI164" i="2" s="1"/>
  <c r="BL164" i="2"/>
  <c r="BO164" i="2" s="1"/>
  <c r="AK163" i="2"/>
  <c r="AD163" i="2"/>
  <c r="AJ163" i="2"/>
  <c r="Y163" i="2"/>
  <c r="AE163" i="2"/>
  <c r="R163" i="2"/>
  <c r="S163" i="2"/>
  <c r="X163" i="2"/>
  <c r="M163" i="2"/>
  <c r="G163" i="2"/>
  <c r="L163" i="2"/>
  <c r="F163" i="2"/>
  <c r="AS163" i="2"/>
  <c r="AV163" i="2" s="1"/>
  <c r="AT163" i="2"/>
  <c r="AW163" i="2" s="1"/>
  <c r="BV162" i="2"/>
  <c r="W163" i="2"/>
  <c r="E163" i="2"/>
  <c r="D163" i="2"/>
  <c r="C163" i="2"/>
  <c r="Q163" i="2"/>
  <c r="B163" i="2"/>
  <c r="BJ163" i="2"/>
  <c r="CE163" i="2"/>
  <c r="BA163" i="2"/>
  <c r="AC163" i="2"/>
  <c r="AR163" i="2"/>
  <c r="CQ163" i="2"/>
  <c r="K163" i="2"/>
  <c r="BS163" i="2"/>
  <c r="AI163" i="2"/>
  <c r="CH162" i="2"/>
  <c r="BD162" i="2"/>
  <c r="BM162" i="2"/>
  <c r="AU162" i="2"/>
  <c r="CT162" i="2"/>
  <c r="AJ138" i="1"/>
  <c r="AK138" i="1"/>
  <c r="AL138" i="1"/>
  <c r="AP138" i="1"/>
  <c r="AO138" i="1"/>
  <c r="AQ138" i="1"/>
  <c r="BB138" i="1"/>
  <c r="BA138" i="1"/>
  <c r="AZ138" i="1"/>
  <c r="AF138" i="1"/>
  <c r="AG138" i="1"/>
  <c r="AE138" i="1"/>
  <c r="AV138" i="1"/>
  <c r="AU138" i="1"/>
  <c r="AT138" i="1"/>
  <c r="D139" i="1"/>
  <c r="R139" i="1"/>
  <c r="Q139" i="1"/>
  <c r="E139" i="1"/>
  <c r="C139" i="1"/>
  <c r="F139" i="1"/>
  <c r="O139" i="1"/>
  <c r="S139" i="1"/>
  <c r="A140" i="1"/>
  <c r="BE140" i="1" s="1"/>
  <c r="M139" i="1"/>
  <c r="B139" i="1"/>
  <c r="N139" i="1"/>
  <c r="G139" i="1"/>
  <c r="Y139" i="1"/>
  <c r="AA139" i="1"/>
  <c r="AN139" i="1"/>
  <c r="I139" i="1"/>
  <c r="J139" i="1"/>
  <c r="V139" i="1"/>
  <c r="AD139" i="1"/>
  <c r="AI139" i="1"/>
  <c r="Z139" i="1"/>
  <c r="AS139" i="1"/>
  <c r="AY139" i="1"/>
  <c r="K139" i="1"/>
  <c r="W139" i="1"/>
  <c r="U139" i="1"/>
  <c r="M157" i="5" l="1"/>
  <c r="E157" i="5"/>
  <c r="L157" i="5"/>
  <c r="A158" i="5"/>
  <c r="D157" i="5"/>
  <c r="Q157" i="5"/>
  <c r="C157" i="5"/>
  <c r="P157" i="5"/>
  <c r="B157" i="5"/>
  <c r="AV157" i="5"/>
  <c r="AY157" i="5" s="1"/>
  <c r="X157" i="5"/>
  <c r="AJ157" i="5"/>
  <c r="AM157" i="5" s="1"/>
  <c r="BD157" i="5"/>
  <c r="BG157" i="5" s="1"/>
  <c r="AE157" i="5"/>
  <c r="AK157" i="5"/>
  <c r="BL157" i="5"/>
  <c r="BO157" i="5" s="1"/>
  <c r="I157" i="5"/>
  <c r="AD157" i="5"/>
  <c r="AG157" i="5" s="1"/>
  <c r="H157" i="5"/>
  <c r="U157" i="5"/>
  <c r="AP157" i="5"/>
  <c r="AS157" i="5" s="1"/>
  <c r="T157" i="5"/>
  <c r="AQ157" i="5"/>
  <c r="BM157" i="5"/>
  <c r="BP157" i="5" s="1"/>
  <c r="AW157" i="5"/>
  <c r="AZ157" i="5" s="1"/>
  <c r="Y157" i="5"/>
  <c r="BE157" i="5"/>
  <c r="BH157" i="5" s="1"/>
  <c r="Q148" i="4"/>
  <c r="T148" i="4"/>
  <c r="A150" i="4"/>
  <c r="I149" i="4"/>
  <c r="C149" i="4"/>
  <c r="G149" i="4"/>
  <c r="B149" i="4"/>
  <c r="V149" i="4"/>
  <c r="AC149" i="4"/>
  <c r="M149" i="4"/>
  <c r="AG149" i="4"/>
  <c r="P149" i="4"/>
  <c r="E149" i="4"/>
  <c r="K149" i="4"/>
  <c r="S149" i="4"/>
  <c r="Y149" i="4"/>
  <c r="AH148" i="4"/>
  <c r="W148" i="4"/>
  <c r="Z148" i="4"/>
  <c r="AD148" i="4"/>
  <c r="AO150" i="3"/>
  <c r="AP150" i="3"/>
  <c r="AK150" i="3"/>
  <c r="AJ150" i="3"/>
  <c r="AT150" i="3"/>
  <c r="AU150" i="3"/>
  <c r="Y150" i="3"/>
  <c r="X150" i="3"/>
  <c r="AF150" i="3"/>
  <c r="AG150" i="3"/>
  <c r="AB150" i="3"/>
  <c r="AC150" i="3"/>
  <c r="K151" i="3"/>
  <c r="E151" i="3"/>
  <c r="A152" i="3"/>
  <c r="J151" i="3"/>
  <c r="D151" i="3"/>
  <c r="N151" i="3"/>
  <c r="C151" i="3"/>
  <c r="M151" i="3"/>
  <c r="B151" i="3"/>
  <c r="AN151" i="3"/>
  <c r="G151" i="3"/>
  <c r="Q151" i="3"/>
  <c r="S151" i="3"/>
  <c r="H151" i="3"/>
  <c r="T151" i="3"/>
  <c r="AE151" i="3"/>
  <c r="AA151" i="3"/>
  <c r="AI151" i="3"/>
  <c r="AS151" i="3"/>
  <c r="P151" i="3"/>
  <c r="W151" i="3"/>
  <c r="BF140" i="1"/>
  <c r="BH140" i="1"/>
  <c r="BG140" i="1"/>
  <c r="A166" i="2"/>
  <c r="CR165" i="2"/>
  <c r="CU165" i="2" s="1"/>
  <c r="CF165" i="2"/>
  <c r="CI165" i="2" s="1"/>
  <c r="BK165" i="2"/>
  <c r="BN165" i="2" s="1"/>
  <c r="BT165" i="2"/>
  <c r="BW165" i="2" s="1"/>
  <c r="CS165" i="2"/>
  <c r="CV165" i="2" s="1"/>
  <c r="BU165" i="2"/>
  <c r="BX165" i="2" s="1"/>
  <c r="CG165" i="2"/>
  <c r="CJ165" i="2" s="1"/>
  <c r="BB165" i="2"/>
  <c r="BE165" i="2" s="1"/>
  <c r="BL165" i="2"/>
  <c r="BO165" i="2" s="1"/>
  <c r="BC165" i="2"/>
  <c r="BF165" i="2" s="1"/>
  <c r="AJ164" i="2"/>
  <c r="AD164" i="2"/>
  <c r="AE164" i="2"/>
  <c r="M164" i="2"/>
  <c r="X164" i="2"/>
  <c r="L164" i="2"/>
  <c r="F164" i="2"/>
  <c r="AK164" i="2"/>
  <c r="S164" i="2"/>
  <c r="R164" i="2"/>
  <c r="G164" i="2"/>
  <c r="Y164" i="2"/>
  <c r="AT164" i="2"/>
  <c r="AW164" i="2" s="1"/>
  <c r="AS164" i="2"/>
  <c r="AV164" i="2" s="1"/>
  <c r="CT163" i="2"/>
  <c r="W164" i="2"/>
  <c r="E164" i="2"/>
  <c r="Q164" i="2"/>
  <c r="D164" i="2"/>
  <c r="B164" i="2"/>
  <c r="C164" i="2"/>
  <c r="AR164" i="2"/>
  <c r="CE164" i="2"/>
  <c r="AI164" i="2"/>
  <c r="BA164" i="2"/>
  <c r="CQ164" i="2"/>
  <c r="AC164" i="2"/>
  <c r="K164" i="2"/>
  <c r="BJ164" i="2"/>
  <c r="BS164" i="2"/>
  <c r="BV163" i="2"/>
  <c r="BD163" i="2"/>
  <c r="AU163" i="2"/>
  <c r="CH163" i="2"/>
  <c r="BM163" i="2"/>
  <c r="AK139" i="1"/>
  <c r="AJ139" i="1"/>
  <c r="AL139" i="1"/>
  <c r="A141" i="1"/>
  <c r="BE141" i="1" s="1"/>
  <c r="M140" i="1"/>
  <c r="B140" i="1"/>
  <c r="D140" i="1"/>
  <c r="O140" i="1"/>
  <c r="G140" i="1"/>
  <c r="Q140" i="1"/>
  <c r="E140" i="1"/>
  <c r="S140" i="1"/>
  <c r="C140" i="1"/>
  <c r="N140" i="1"/>
  <c r="R140" i="1"/>
  <c r="F140" i="1"/>
  <c r="AY140" i="1"/>
  <c r="AA140" i="1"/>
  <c r="AS140" i="1"/>
  <c r="Z140" i="1"/>
  <c r="J140" i="1"/>
  <c r="V140" i="1"/>
  <c r="W140" i="1"/>
  <c r="I140" i="1"/>
  <c r="U140" i="1"/>
  <c r="AI140" i="1"/>
  <c r="AN140" i="1"/>
  <c r="K140" i="1"/>
  <c r="AD140" i="1"/>
  <c r="Y140" i="1"/>
  <c r="AZ139" i="1"/>
  <c r="BB139" i="1"/>
  <c r="BA139" i="1"/>
  <c r="AF139" i="1"/>
  <c r="AE139" i="1"/>
  <c r="AG139" i="1"/>
  <c r="AO139" i="1"/>
  <c r="AP139" i="1"/>
  <c r="AQ139" i="1"/>
  <c r="AV139" i="1"/>
  <c r="AT139" i="1"/>
  <c r="AU139" i="1"/>
  <c r="M158" i="5" l="1"/>
  <c r="E158" i="5"/>
  <c r="Q158" i="5"/>
  <c r="C158" i="5"/>
  <c r="P158" i="5"/>
  <c r="B158" i="5"/>
  <c r="L158" i="5"/>
  <c r="A159" i="5"/>
  <c r="D158" i="5"/>
  <c r="AJ158" i="5"/>
  <c r="AM158" i="5" s="1"/>
  <c r="AV158" i="5"/>
  <c r="AY158" i="5" s="1"/>
  <c r="AD158" i="5"/>
  <c r="AG158" i="5" s="1"/>
  <c r="X158" i="5"/>
  <c r="AE158" i="5"/>
  <c r="AK158" i="5"/>
  <c r="BD158" i="5"/>
  <c r="BG158" i="5" s="1"/>
  <c r="BL158" i="5"/>
  <c r="BO158" i="5" s="1"/>
  <c r="H158" i="5"/>
  <c r="U158" i="5"/>
  <c r="I158" i="5"/>
  <c r="AQ158" i="5"/>
  <c r="T158" i="5"/>
  <c r="AP158" i="5"/>
  <c r="AS158" i="5" s="1"/>
  <c r="AW158" i="5"/>
  <c r="AZ158" i="5" s="1"/>
  <c r="BE158" i="5"/>
  <c r="BH158" i="5" s="1"/>
  <c r="Y158" i="5"/>
  <c r="BM158" i="5"/>
  <c r="BP158" i="5" s="1"/>
  <c r="T149" i="4"/>
  <c r="G150" i="4"/>
  <c r="B150" i="4"/>
  <c r="A151" i="4"/>
  <c r="I150" i="4"/>
  <c r="C150" i="4"/>
  <c r="P150" i="4"/>
  <c r="K150" i="4"/>
  <c r="Y150" i="4"/>
  <c r="S150" i="4"/>
  <c r="M150" i="4"/>
  <c r="AG150" i="4"/>
  <c r="E150" i="4"/>
  <c r="AC150" i="4"/>
  <c r="V150" i="4"/>
  <c r="W149" i="4"/>
  <c r="AD149" i="4"/>
  <c r="Q149" i="4"/>
  <c r="Z149" i="4"/>
  <c r="AH149" i="4"/>
  <c r="AO151" i="3"/>
  <c r="AP151" i="3"/>
  <c r="X151" i="3"/>
  <c r="Y151" i="3"/>
  <c r="AB151" i="3"/>
  <c r="AC151" i="3"/>
  <c r="AF151" i="3"/>
  <c r="AG151" i="3"/>
  <c r="K152" i="3"/>
  <c r="E152" i="3"/>
  <c r="M152" i="3"/>
  <c r="B152" i="3"/>
  <c r="D152" i="3"/>
  <c r="N152" i="3"/>
  <c r="J152" i="3"/>
  <c r="A153" i="3"/>
  <c r="C152" i="3"/>
  <c r="T152" i="3"/>
  <c r="AA152" i="3"/>
  <c r="Q152" i="3"/>
  <c r="S152" i="3"/>
  <c r="G152" i="3"/>
  <c r="AE152" i="3"/>
  <c r="AN152" i="3"/>
  <c r="AS152" i="3"/>
  <c r="H152" i="3"/>
  <c r="AI152" i="3"/>
  <c r="P152" i="3"/>
  <c r="W152" i="3"/>
  <c r="AT151" i="3"/>
  <c r="AU151" i="3"/>
  <c r="AJ151" i="3"/>
  <c r="AK151" i="3"/>
  <c r="BF141" i="1"/>
  <c r="BH141" i="1"/>
  <c r="BG141" i="1"/>
  <c r="CS166" i="2"/>
  <c r="CV166" i="2" s="1"/>
  <c r="A167" i="2"/>
  <c r="BU166" i="2"/>
  <c r="BX166" i="2" s="1"/>
  <c r="CG166" i="2"/>
  <c r="CJ166" i="2" s="1"/>
  <c r="CF166" i="2"/>
  <c r="CI166" i="2" s="1"/>
  <c r="BL166" i="2"/>
  <c r="BO166" i="2" s="1"/>
  <c r="BB166" i="2"/>
  <c r="BE166" i="2" s="1"/>
  <c r="CR166" i="2"/>
  <c r="CU166" i="2" s="1"/>
  <c r="BT166" i="2"/>
  <c r="BW166" i="2" s="1"/>
  <c r="BK166" i="2"/>
  <c r="BN166" i="2" s="1"/>
  <c r="BC166" i="2"/>
  <c r="BF166" i="2" s="1"/>
  <c r="AD165" i="2"/>
  <c r="X165" i="2"/>
  <c r="AK165" i="2"/>
  <c r="Y165" i="2"/>
  <c r="G165" i="2"/>
  <c r="F165" i="2"/>
  <c r="AE165" i="2"/>
  <c r="R165" i="2"/>
  <c r="M165" i="2"/>
  <c r="AJ165" i="2"/>
  <c r="L165" i="2"/>
  <c r="S165" i="2"/>
  <c r="AT165" i="2"/>
  <c r="AW165" i="2" s="1"/>
  <c r="AS165" i="2"/>
  <c r="AV165" i="2" s="1"/>
  <c r="BV164" i="2"/>
  <c r="CT164" i="2"/>
  <c r="BD164" i="2"/>
  <c r="BM164" i="2"/>
  <c r="CH164" i="2"/>
  <c r="Q165" i="2"/>
  <c r="C165" i="2"/>
  <c r="W165" i="2"/>
  <c r="E165" i="2"/>
  <c r="B165" i="2"/>
  <c r="D165" i="2"/>
  <c r="CQ165" i="2"/>
  <c r="AI165" i="2"/>
  <c r="K165" i="2"/>
  <c r="BA165" i="2"/>
  <c r="CE165" i="2"/>
  <c r="BJ165" i="2"/>
  <c r="AC165" i="2"/>
  <c r="BS165" i="2"/>
  <c r="AR165" i="2"/>
  <c r="AU164" i="2"/>
  <c r="D141" i="1"/>
  <c r="R141" i="1"/>
  <c r="Q141" i="1"/>
  <c r="F141" i="1"/>
  <c r="G141" i="1"/>
  <c r="E141" i="1"/>
  <c r="O141" i="1"/>
  <c r="S141" i="1"/>
  <c r="A142" i="1"/>
  <c r="BE142" i="1" s="1"/>
  <c r="M141" i="1"/>
  <c r="B141" i="1"/>
  <c r="N141" i="1"/>
  <c r="C141" i="1"/>
  <c r="W141" i="1"/>
  <c r="Y141" i="1"/>
  <c r="I141" i="1"/>
  <c r="V141" i="1"/>
  <c r="U141" i="1"/>
  <c r="AA141" i="1"/>
  <c r="Z141" i="1"/>
  <c r="AY141" i="1"/>
  <c r="AN141" i="1"/>
  <c r="AS141" i="1"/>
  <c r="K141" i="1"/>
  <c r="AD141" i="1"/>
  <c r="AI141" i="1"/>
  <c r="J141" i="1"/>
  <c r="AQ140" i="1"/>
  <c r="AP140" i="1"/>
  <c r="AO140" i="1"/>
  <c r="AU140" i="1"/>
  <c r="AV140" i="1"/>
  <c r="AT140" i="1"/>
  <c r="AL140" i="1"/>
  <c r="AK140" i="1"/>
  <c r="AJ140" i="1"/>
  <c r="AE140" i="1"/>
  <c r="AG140" i="1"/>
  <c r="AF140" i="1"/>
  <c r="AZ140" i="1"/>
  <c r="BB140" i="1"/>
  <c r="BA140" i="1"/>
  <c r="P159" i="5" l="1"/>
  <c r="B159" i="5"/>
  <c r="M159" i="5"/>
  <c r="E159" i="5"/>
  <c r="A160" i="5"/>
  <c r="L159" i="5"/>
  <c r="D159" i="5"/>
  <c r="C159" i="5"/>
  <c r="Q159" i="5"/>
  <c r="X159" i="5"/>
  <c r="AD159" i="5"/>
  <c r="AG159" i="5" s="1"/>
  <c r="AJ159" i="5"/>
  <c r="AM159" i="5" s="1"/>
  <c r="AE159" i="5"/>
  <c r="AK159" i="5"/>
  <c r="AV159" i="5"/>
  <c r="AY159" i="5" s="1"/>
  <c r="BD159" i="5"/>
  <c r="BG159" i="5" s="1"/>
  <c r="BL159" i="5"/>
  <c r="BO159" i="5" s="1"/>
  <c r="H159" i="5"/>
  <c r="I159" i="5"/>
  <c r="U159" i="5"/>
  <c r="AP159" i="5"/>
  <c r="AS159" i="5" s="1"/>
  <c r="T159" i="5"/>
  <c r="AQ159" i="5"/>
  <c r="BM159" i="5"/>
  <c r="BP159" i="5" s="1"/>
  <c r="AW159" i="5"/>
  <c r="AZ159" i="5" s="1"/>
  <c r="Y159" i="5"/>
  <c r="BE159" i="5"/>
  <c r="BH159" i="5" s="1"/>
  <c r="AH150" i="4"/>
  <c r="W150" i="4"/>
  <c r="T150" i="4"/>
  <c r="AD150" i="4"/>
  <c r="A152" i="4"/>
  <c r="I151" i="4"/>
  <c r="C151" i="4"/>
  <c r="G151" i="4"/>
  <c r="B151" i="4"/>
  <c r="Y151" i="4"/>
  <c r="AC151" i="4"/>
  <c r="S151" i="4"/>
  <c r="M151" i="4"/>
  <c r="E151" i="4"/>
  <c r="AG151" i="4"/>
  <c r="P151" i="4"/>
  <c r="K151" i="4"/>
  <c r="V151" i="4"/>
  <c r="Z150" i="4"/>
  <c r="Q150" i="4"/>
  <c r="AP152" i="3"/>
  <c r="AO152" i="3"/>
  <c r="AF152" i="3"/>
  <c r="AG152" i="3"/>
  <c r="AT152" i="3"/>
  <c r="AU152" i="3"/>
  <c r="M153" i="3"/>
  <c r="B153" i="3"/>
  <c r="N153" i="3"/>
  <c r="C153" i="3"/>
  <c r="E153" i="3"/>
  <c r="K153" i="3"/>
  <c r="A154" i="3"/>
  <c r="J153" i="3"/>
  <c r="D153" i="3"/>
  <c r="AI153" i="3"/>
  <c r="AS153" i="3"/>
  <c r="W153" i="3"/>
  <c r="AA153" i="3"/>
  <c r="Q153" i="3"/>
  <c r="S153" i="3"/>
  <c r="G153" i="3"/>
  <c r="P153" i="3"/>
  <c r="AE153" i="3"/>
  <c r="T153" i="3"/>
  <c r="AN153" i="3"/>
  <c r="H153" i="3"/>
  <c r="X152" i="3"/>
  <c r="Y152" i="3"/>
  <c r="AC152" i="3"/>
  <c r="AB152" i="3"/>
  <c r="AJ152" i="3"/>
  <c r="AK152" i="3"/>
  <c r="BF142" i="1"/>
  <c r="BH142" i="1"/>
  <c r="BG142" i="1"/>
  <c r="CR167" i="2"/>
  <c r="CU167" i="2" s="1"/>
  <c r="CS167" i="2"/>
  <c r="CV167" i="2" s="1"/>
  <c r="A168" i="2"/>
  <c r="CG167" i="2"/>
  <c r="CJ167" i="2" s="1"/>
  <c r="CF167" i="2"/>
  <c r="CI167" i="2" s="1"/>
  <c r="BU167" i="2"/>
  <c r="BX167" i="2" s="1"/>
  <c r="BL167" i="2"/>
  <c r="BO167" i="2" s="1"/>
  <c r="BB167" i="2"/>
  <c r="BE167" i="2" s="1"/>
  <c r="BT167" i="2"/>
  <c r="BW167" i="2" s="1"/>
  <c r="BK167" i="2"/>
  <c r="BN167" i="2" s="1"/>
  <c r="BC167" i="2"/>
  <c r="BF167" i="2" s="1"/>
  <c r="AJ166" i="2"/>
  <c r="S166" i="2"/>
  <c r="M166" i="2"/>
  <c r="AD166" i="2"/>
  <c r="X166" i="2"/>
  <c r="AE166" i="2"/>
  <c r="AK166" i="2"/>
  <c r="G166" i="2"/>
  <c r="F166" i="2"/>
  <c r="Y166" i="2"/>
  <c r="L166" i="2"/>
  <c r="R166" i="2"/>
  <c r="AT166" i="2"/>
  <c r="AW166" i="2" s="1"/>
  <c r="AS166" i="2"/>
  <c r="AV166" i="2" s="1"/>
  <c r="CH165" i="2"/>
  <c r="E166" i="2"/>
  <c r="W166" i="2"/>
  <c r="D166" i="2"/>
  <c r="B166" i="2"/>
  <c r="Q166" i="2"/>
  <c r="C166" i="2"/>
  <c r="BA166" i="2"/>
  <c r="CE166" i="2"/>
  <c r="AI166" i="2"/>
  <c r="BS166" i="2"/>
  <c r="BJ166" i="2"/>
  <c r="AC166" i="2"/>
  <c r="AR166" i="2"/>
  <c r="CQ166" i="2"/>
  <c r="K166" i="2"/>
  <c r="AU165" i="2"/>
  <c r="BM165" i="2"/>
  <c r="CT165" i="2"/>
  <c r="BV165" i="2"/>
  <c r="BD165" i="2"/>
  <c r="AT141" i="1"/>
  <c r="AV141" i="1"/>
  <c r="AU141" i="1"/>
  <c r="AK141" i="1"/>
  <c r="AJ141" i="1"/>
  <c r="AL141" i="1"/>
  <c r="AQ141" i="1"/>
  <c r="AP141" i="1"/>
  <c r="AO141" i="1"/>
  <c r="AG141" i="1"/>
  <c r="AF141" i="1"/>
  <c r="AE141" i="1"/>
  <c r="BA141" i="1"/>
  <c r="AZ141" i="1"/>
  <c r="BB141" i="1"/>
  <c r="AY142" i="1"/>
  <c r="AD142" i="1"/>
  <c r="G142" i="1"/>
  <c r="Q142" i="1"/>
  <c r="A143" i="1"/>
  <c r="BE143" i="1" s="1"/>
  <c r="W142" i="1"/>
  <c r="AA142" i="1"/>
  <c r="B142" i="1"/>
  <c r="J142" i="1"/>
  <c r="S142" i="1"/>
  <c r="AS142" i="1"/>
  <c r="R142" i="1"/>
  <c r="V142" i="1"/>
  <c r="Z142" i="1"/>
  <c r="E142" i="1"/>
  <c r="N142" i="1"/>
  <c r="AN142" i="1"/>
  <c r="M142" i="1"/>
  <c r="K142" i="1"/>
  <c r="U142" i="1"/>
  <c r="Y142" i="1"/>
  <c r="I142" i="1"/>
  <c r="AI142" i="1"/>
  <c r="D142" i="1"/>
  <c r="C142" i="1"/>
  <c r="F142" i="1"/>
  <c r="O142" i="1"/>
  <c r="P160" i="5" l="1"/>
  <c r="B160" i="5"/>
  <c r="M160" i="5"/>
  <c r="E160" i="5"/>
  <c r="C160" i="5"/>
  <c r="L160" i="5"/>
  <c r="Q160" i="5"/>
  <c r="D160" i="5"/>
  <c r="AD160" i="5"/>
  <c r="AG160" i="5" s="1"/>
  <c r="BD160" i="5"/>
  <c r="BG160" i="5" s="1"/>
  <c r="H160" i="5"/>
  <c r="AJ160" i="5"/>
  <c r="AM160" i="5" s="1"/>
  <c r="AV160" i="5"/>
  <c r="AY160" i="5" s="1"/>
  <c r="X160" i="5"/>
  <c r="AE160" i="5"/>
  <c r="AK160" i="5"/>
  <c r="AW160" i="5"/>
  <c r="AZ160" i="5" s="1"/>
  <c r="BL160" i="5"/>
  <c r="BO160" i="5" s="1"/>
  <c r="AQ160" i="5"/>
  <c r="I160" i="5"/>
  <c r="U160" i="5"/>
  <c r="T160" i="5"/>
  <c r="AP160" i="5"/>
  <c r="AS160" i="5" s="1"/>
  <c r="BM160" i="5"/>
  <c r="BP160" i="5" s="1"/>
  <c r="Y160" i="5"/>
  <c r="BE160" i="5"/>
  <c r="BH160" i="5" s="1"/>
  <c r="W151" i="4"/>
  <c r="G152" i="4"/>
  <c r="B152" i="4"/>
  <c r="I152" i="4"/>
  <c r="C152" i="4"/>
  <c r="K152" i="4"/>
  <c r="Y152" i="4"/>
  <c r="S152" i="4"/>
  <c r="AC152" i="4"/>
  <c r="P152" i="4"/>
  <c r="E152" i="4"/>
  <c r="V152" i="4"/>
  <c r="M152" i="4"/>
  <c r="AG152" i="4"/>
  <c r="T151" i="4"/>
  <c r="Q151" i="4"/>
  <c r="AD151" i="4"/>
  <c r="AH151" i="4"/>
  <c r="Z151" i="4"/>
  <c r="AO153" i="3"/>
  <c r="AP153" i="3"/>
  <c r="AJ153" i="3"/>
  <c r="AK153" i="3"/>
  <c r="AF153" i="3"/>
  <c r="AG153" i="3"/>
  <c r="X153" i="3"/>
  <c r="Y153" i="3"/>
  <c r="K154" i="3"/>
  <c r="E154" i="3"/>
  <c r="J154" i="3"/>
  <c r="D154" i="3"/>
  <c r="M154" i="3"/>
  <c r="B154" i="3"/>
  <c r="N154" i="3"/>
  <c r="C154" i="3"/>
  <c r="G154" i="3"/>
  <c r="T154" i="3"/>
  <c r="S154" i="3"/>
  <c r="H154" i="3"/>
  <c r="W154" i="3"/>
  <c r="P154" i="3"/>
  <c r="AN154" i="3"/>
  <c r="AS154" i="3"/>
  <c r="Q154" i="3"/>
  <c r="AE154" i="3"/>
  <c r="AI154" i="3"/>
  <c r="AA154" i="3"/>
  <c r="AB153" i="3"/>
  <c r="AC153" i="3"/>
  <c r="AT153" i="3"/>
  <c r="AU153" i="3"/>
  <c r="BG143" i="1"/>
  <c r="BF143" i="1"/>
  <c r="BH143" i="1"/>
  <c r="CS168" i="2"/>
  <c r="CV168" i="2" s="1"/>
  <c r="CF168" i="2"/>
  <c r="CI168" i="2" s="1"/>
  <c r="BU168" i="2"/>
  <c r="BX168" i="2" s="1"/>
  <c r="CR168" i="2"/>
  <c r="CU168" i="2" s="1"/>
  <c r="CG168" i="2"/>
  <c r="CJ168" i="2" s="1"/>
  <c r="BT168" i="2"/>
  <c r="BW168" i="2" s="1"/>
  <c r="BB168" i="2"/>
  <c r="BE168" i="2" s="1"/>
  <c r="BL168" i="2"/>
  <c r="BO168" i="2" s="1"/>
  <c r="BC168" i="2"/>
  <c r="BF168" i="2" s="1"/>
  <c r="BK168" i="2"/>
  <c r="BN168" i="2" s="1"/>
  <c r="AK167" i="2"/>
  <c r="X167" i="2"/>
  <c r="S167" i="2"/>
  <c r="AD167" i="2"/>
  <c r="AJ167" i="2"/>
  <c r="R167" i="2"/>
  <c r="Y167" i="2"/>
  <c r="AE167" i="2"/>
  <c r="M167" i="2"/>
  <c r="L167" i="2"/>
  <c r="G167" i="2"/>
  <c r="F167" i="2"/>
  <c r="AT167" i="2"/>
  <c r="AW167" i="2" s="1"/>
  <c r="AS167" i="2"/>
  <c r="AV167" i="2" s="1"/>
  <c r="CT166" i="2"/>
  <c r="BD166" i="2"/>
  <c r="D167" i="2"/>
  <c r="B167" i="2"/>
  <c r="C167" i="2"/>
  <c r="W167" i="2"/>
  <c r="Q167" i="2"/>
  <c r="E167" i="2"/>
  <c r="AR167" i="2"/>
  <c r="BA167" i="2"/>
  <c r="CQ167" i="2"/>
  <c r="BS167" i="2"/>
  <c r="AC167" i="2"/>
  <c r="BJ167" i="2"/>
  <c r="K167" i="2"/>
  <c r="CE167" i="2"/>
  <c r="AI167" i="2"/>
  <c r="AU166" i="2"/>
  <c r="CH166" i="2"/>
  <c r="BM166" i="2"/>
  <c r="BV166" i="2"/>
  <c r="AP142" i="1"/>
  <c r="AQ142" i="1"/>
  <c r="AO142" i="1"/>
  <c r="Z143" i="1"/>
  <c r="E143" i="1"/>
  <c r="I143" i="1"/>
  <c r="AS143" i="1"/>
  <c r="W143" i="1"/>
  <c r="C143" i="1"/>
  <c r="Q143" i="1"/>
  <c r="J143" i="1"/>
  <c r="G143" i="1"/>
  <c r="U143" i="1"/>
  <c r="Y143" i="1"/>
  <c r="D143" i="1"/>
  <c r="AN143" i="1"/>
  <c r="R143" i="1"/>
  <c r="K143" i="1"/>
  <c r="V143" i="1"/>
  <c r="AD143" i="1"/>
  <c r="O143" i="1"/>
  <c r="S143" i="1"/>
  <c r="A144" i="1"/>
  <c r="BE144" i="1" s="1"/>
  <c r="AI143" i="1"/>
  <c r="M143" i="1"/>
  <c r="AA143" i="1"/>
  <c r="B143" i="1"/>
  <c r="N143" i="1"/>
  <c r="AY143" i="1"/>
  <c r="F143" i="1"/>
  <c r="BA142" i="1"/>
  <c r="AZ142" i="1"/>
  <c r="BB142" i="1"/>
  <c r="AL142" i="1"/>
  <c r="AK142" i="1"/>
  <c r="AJ142" i="1"/>
  <c r="AT142" i="1"/>
  <c r="AV142" i="1"/>
  <c r="AU142" i="1"/>
  <c r="AG142" i="1"/>
  <c r="AF142" i="1"/>
  <c r="AE142" i="1"/>
  <c r="Z152" i="4" l="1"/>
  <c r="AH152" i="4"/>
  <c r="Q152" i="4"/>
  <c r="AD152" i="4"/>
  <c r="W152" i="4"/>
  <c r="T152" i="4"/>
  <c r="X154" i="3"/>
  <c r="Y154" i="3"/>
  <c r="AU154" i="3"/>
  <c r="AT154" i="3"/>
  <c r="AJ154" i="3"/>
  <c r="AK154" i="3"/>
  <c r="AG154" i="3"/>
  <c r="AF154" i="3"/>
  <c r="AB154" i="3"/>
  <c r="AC154" i="3"/>
  <c r="AO154" i="3"/>
  <c r="AP154" i="3"/>
  <c r="BF144" i="1"/>
  <c r="BH144" i="1"/>
  <c r="BG144" i="1"/>
  <c r="AJ168" i="2"/>
  <c r="AD168" i="2"/>
  <c r="AK168" i="2"/>
  <c r="AE168" i="2"/>
  <c r="Y168" i="2"/>
  <c r="S168" i="2"/>
  <c r="R168" i="2"/>
  <c r="M168" i="2"/>
  <c r="G168" i="2"/>
  <c r="L168" i="2"/>
  <c r="F168" i="2"/>
  <c r="X168" i="2"/>
  <c r="AS168" i="2"/>
  <c r="AV168" i="2" s="1"/>
  <c r="AT168" i="2"/>
  <c r="AW168" i="2" s="1"/>
  <c r="BD167" i="2"/>
  <c r="D168" i="2"/>
  <c r="E168" i="2"/>
  <c r="W168" i="2"/>
  <c r="C168" i="2"/>
  <c r="B168" i="2"/>
  <c r="Q168" i="2"/>
  <c r="CE168" i="2"/>
  <c r="BA168" i="2"/>
  <c r="K168" i="2"/>
  <c r="AC168" i="2"/>
  <c r="CQ168" i="2"/>
  <c r="AI168" i="2"/>
  <c r="BJ168" i="2"/>
  <c r="AR168" i="2"/>
  <c r="BS168" i="2"/>
  <c r="BM167" i="2"/>
  <c r="BV167" i="2"/>
  <c r="CH167" i="2"/>
  <c r="AU167" i="2"/>
  <c r="CT167" i="2"/>
  <c r="N144" i="1"/>
  <c r="A145" i="1"/>
  <c r="BE145" i="1" s="1"/>
  <c r="AI144" i="1"/>
  <c r="M144" i="1"/>
  <c r="V144" i="1"/>
  <c r="B144" i="1"/>
  <c r="J144" i="1"/>
  <c r="D144" i="1"/>
  <c r="AS144" i="1"/>
  <c r="W144" i="1"/>
  <c r="C144" i="1"/>
  <c r="K144" i="1"/>
  <c r="U144" i="1"/>
  <c r="S144" i="1"/>
  <c r="AN144" i="1"/>
  <c r="R144" i="1"/>
  <c r="AA144" i="1"/>
  <c r="F144" i="1"/>
  <c r="O144" i="1"/>
  <c r="AY144" i="1"/>
  <c r="AD144" i="1"/>
  <c r="G144" i="1"/>
  <c r="Q144" i="1"/>
  <c r="Z144" i="1"/>
  <c r="E144" i="1"/>
  <c r="I144" i="1"/>
  <c r="Y144" i="1"/>
  <c r="AT143" i="1"/>
  <c r="AV143" i="1"/>
  <c r="AU143" i="1"/>
  <c r="AJ143" i="1"/>
  <c r="AL143" i="1"/>
  <c r="AK143" i="1"/>
  <c r="AG143" i="1"/>
  <c r="AF143" i="1"/>
  <c r="AE143" i="1"/>
  <c r="AO143" i="1"/>
  <c r="AP143" i="1"/>
  <c r="AQ143" i="1"/>
  <c r="BB143" i="1"/>
  <c r="BA143" i="1"/>
  <c r="AZ143" i="1"/>
  <c r="BF145" i="1" l="1"/>
  <c r="BH145" i="1"/>
  <c r="BG145" i="1"/>
  <c r="BV168" i="2"/>
  <c r="AU168" i="2"/>
  <c r="BD168" i="2"/>
  <c r="CT168" i="2"/>
  <c r="BM168" i="2"/>
  <c r="CH168" i="2"/>
  <c r="BA144" i="1"/>
  <c r="BB144" i="1"/>
  <c r="AZ144" i="1"/>
  <c r="AO144" i="1"/>
  <c r="AQ144" i="1"/>
  <c r="AP144" i="1"/>
  <c r="AK144" i="1"/>
  <c r="AJ144" i="1"/>
  <c r="AL144" i="1"/>
  <c r="Z145" i="1"/>
  <c r="E145" i="1"/>
  <c r="I145" i="1"/>
  <c r="AS145" i="1"/>
  <c r="W145" i="1"/>
  <c r="C145" i="1"/>
  <c r="B145" i="1"/>
  <c r="O145" i="1"/>
  <c r="S145" i="1"/>
  <c r="A146" i="1"/>
  <c r="BE146" i="1" s="1"/>
  <c r="AI145" i="1"/>
  <c r="M145" i="1"/>
  <c r="F145" i="1"/>
  <c r="Q145" i="1"/>
  <c r="J145" i="1"/>
  <c r="N145" i="1"/>
  <c r="AY145" i="1"/>
  <c r="AD145" i="1"/>
  <c r="G145" i="1"/>
  <c r="V145" i="1"/>
  <c r="U145" i="1"/>
  <c r="Y145" i="1"/>
  <c r="D145" i="1"/>
  <c r="AN145" i="1"/>
  <c r="R145" i="1"/>
  <c r="AA145" i="1"/>
  <c r="K145" i="1"/>
  <c r="AE144" i="1"/>
  <c r="AG144" i="1"/>
  <c r="AF144" i="1"/>
  <c r="AU144" i="1"/>
  <c r="AT144" i="1"/>
  <c r="AV144" i="1"/>
  <c r="BF146" i="1" l="1"/>
  <c r="BH146" i="1"/>
  <c r="BG146" i="1"/>
  <c r="AE145" i="1"/>
  <c r="AF145" i="1"/>
  <c r="AG145" i="1"/>
  <c r="AN146" i="1"/>
  <c r="R146" i="1"/>
  <c r="AA146" i="1"/>
  <c r="F146" i="1"/>
  <c r="O146" i="1"/>
  <c r="I146" i="1"/>
  <c r="AY146" i="1"/>
  <c r="AD146" i="1"/>
  <c r="G146" i="1"/>
  <c r="Q146" i="1"/>
  <c r="Z146" i="1"/>
  <c r="E146" i="1"/>
  <c r="D146" i="1"/>
  <c r="A147" i="1"/>
  <c r="BE147" i="1" s="1"/>
  <c r="AI146" i="1"/>
  <c r="M146" i="1"/>
  <c r="V146" i="1"/>
  <c r="B146" i="1"/>
  <c r="J146" i="1"/>
  <c r="Y146" i="1"/>
  <c r="AS146" i="1"/>
  <c r="W146" i="1"/>
  <c r="C146" i="1"/>
  <c r="K146" i="1"/>
  <c r="U146" i="1"/>
  <c r="N146" i="1"/>
  <c r="S146" i="1"/>
  <c r="AL145" i="1"/>
  <c r="AK145" i="1"/>
  <c r="AJ145" i="1"/>
  <c r="BA145" i="1"/>
  <c r="BB145" i="1"/>
  <c r="AZ145" i="1"/>
  <c r="AO145" i="1"/>
  <c r="AQ145" i="1"/>
  <c r="AP145" i="1"/>
  <c r="AV145" i="1"/>
  <c r="AU145" i="1"/>
  <c r="AT145" i="1"/>
  <c r="BH147" i="1" l="1"/>
  <c r="BG147" i="1"/>
  <c r="BF147" i="1"/>
  <c r="AJ146" i="1"/>
  <c r="AK146" i="1"/>
  <c r="AL146" i="1"/>
  <c r="AZ146" i="1"/>
  <c r="BB146" i="1"/>
  <c r="BA146" i="1"/>
  <c r="AU146" i="1"/>
  <c r="AT146" i="1"/>
  <c r="AV146" i="1"/>
  <c r="AQ146" i="1"/>
  <c r="AP146" i="1"/>
  <c r="AO146" i="1"/>
  <c r="AE146" i="1"/>
  <c r="AG146" i="1"/>
  <c r="AF146" i="1"/>
  <c r="J147" i="1"/>
  <c r="N147" i="1"/>
  <c r="AY147" i="1"/>
  <c r="AD147" i="1"/>
  <c r="G147" i="1"/>
  <c r="Q147" i="1"/>
  <c r="AA147" i="1"/>
  <c r="B147" i="1"/>
  <c r="Z147" i="1"/>
  <c r="E147" i="1"/>
  <c r="I147" i="1"/>
  <c r="AS147" i="1"/>
  <c r="W147" i="1"/>
  <c r="C147" i="1"/>
  <c r="A148" i="1"/>
  <c r="BE148" i="1" s="1"/>
  <c r="U147" i="1"/>
  <c r="Y147" i="1"/>
  <c r="D147" i="1"/>
  <c r="AN147" i="1"/>
  <c r="R147" i="1"/>
  <c r="V147" i="1"/>
  <c r="K147" i="1"/>
  <c r="O147" i="1"/>
  <c r="S147" i="1"/>
  <c r="AI147" i="1"/>
  <c r="M147" i="1"/>
  <c r="F147" i="1"/>
  <c r="BH148" i="1" l="1"/>
  <c r="BG148" i="1"/>
  <c r="BF148" i="1"/>
  <c r="AV147" i="1"/>
  <c r="AU147" i="1"/>
  <c r="AT147" i="1"/>
  <c r="AF147" i="1"/>
  <c r="AE147" i="1"/>
  <c r="AG147" i="1"/>
  <c r="AJ147" i="1"/>
  <c r="AK147" i="1"/>
  <c r="AL147" i="1"/>
  <c r="BA147" i="1"/>
  <c r="AZ147" i="1"/>
  <c r="BB147" i="1"/>
  <c r="AP147" i="1"/>
  <c r="AO147" i="1"/>
  <c r="AQ147" i="1"/>
  <c r="AS148" i="1"/>
  <c r="W148" i="1"/>
  <c r="C148" i="1"/>
  <c r="K148" i="1"/>
  <c r="U148" i="1"/>
  <c r="I148" i="1"/>
  <c r="S148" i="1"/>
  <c r="B148" i="1"/>
  <c r="AD148" i="1"/>
  <c r="E148" i="1"/>
  <c r="N148" i="1"/>
  <c r="AN148" i="1"/>
  <c r="R148" i="1"/>
  <c r="AA148" i="1"/>
  <c r="F148" i="1"/>
  <c r="O148" i="1"/>
  <c r="Y148" i="1"/>
  <c r="A149" i="1"/>
  <c r="BE149" i="1" s="1"/>
  <c r="AI148" i="1"/>
  <c r="M148" i="1"/>
  <c r="V148" i="1"/>
  <c r="J148" i="1"/>
  <c r="D148" i="1"/>
  <c r="AY148" i="1"/>
  <c r="G148" i="1"/>
  <c r="Z148" i="1"/>
  <c r="Q148" i="1"/>
  <c r="BF149" i="1" l="1"/>
  <c r="BH149" i="1"/>
  <c r="BG149" i="1"/>
  <c r="AT148" i="1"/>
  <c r="AU148" i="1"/>
  <c r="AV148" i="1"/>
  <c r="BB148" i="1"/>
  <c r="BA148" i="1"/>
  <c r="AZ148" i="1"/>
  <c r="AP148" i="1"/>
  <c r="AO148" i="1"/>
  <c r="AQ148" i="1"/>
  <c r="AJ148" i="1"/>
  <c r="AK148" i="1"/>
  <c r="AL148" i="1"/>
  <c r="AG148" i="1"/>
  <c r="AE148" i="1"/>
  <c r="AF148" i="1"/>
  <c r="Z149" i="1"/>
  <c r="E149" i="1"/>
  <c r="I149" i="1"/>
  <c r="AD149" i="1"/>
  <c r="G149" i="1"/>
  <c r="K149" i="1"/>
  <c r="A150" i="1"/>
  <c r="BE150" i="1" s="1"/>
  <c r="U149" i="1"/>
  <c r="Y149" i="1"/>
  <c r="D149" i="1"/>
  <c r="W149" i="1"/>
  <c r="C149" i="1"/>
  <c r="B149" i="1"/>
  <c r="J149" i="1"/>
  <c r="AI149" i="1"/>
  <c r="V149" i="1"/>
  <c r="AY149" i="1"/>
  <c r="O149" i="1"/>
  <c r="S149" i="1"/>
  <c r="AN149" i="1"/>
  <c r="R149" i="1"/>
  <c r="Q149" i="1"/>
  <c r="AA149" i="1"/>
  <c r="AS149" i="1"/>
  <c r="N149" i="1"/>
  <c r="M149" i="1"/>
  <c r="F149" i="1"/>
  <c r="BF150" i="1" l="1"/>
  <c r="BH150" i="1"/>
  <c r="BG150" i="1"/>
  <c r="AT149" i="1"/>
  <c r="AV149" i="1"/>
  <c r="AU149" i="1"/>
  <c r="AQ149" i="1"/>
  <c r="AP149" i="1"/>
  <c r="AO149" i="1"/>
  <c r="AG149" i="1"/>
  <c r="AE149" i="1"/>
  <c r="AF149" i="1"/>
  <c r="AY150" i="1"/>
  <c r="AD150" i="1"/>
  <c r="Q150" i="1"/>
  <c r="Z150" i="1"/>
  <c r="E150" i="1"/>
  <c r="D150" i="1"/>
  <c r="S150" i="1"/>
  <c r="A151" i="1"/>
  <c r="BE151" i="1" s="1"/>
  <c r="AI150" i="1"/>
  <c r="V150" i="1"/>
  <c r="B150" i="1"/>
  <c r="J150" i="1"/>
  <c r="N150" i="1"/>
  <c r="C150" i="1"/>
  <c r="AS150" i="1"/>
  <c r="W150" i="1"/>
  <c r="K150" i="1"/>
  <c r="U150" i="1"/>
  <c r="R150" i="1"/>
  <c r="Y150" i="1"/>
  <c r="I150" i="1"/>
  <c r="AN150" i="1"/>
  <c r="AA150" i="1"/>
  <c r="F150" i="1"/>
  <c r="O150" i="1"/>
  <c r="G150" i="1"/>
  <c r="M150" i="1"/>
  <c r="BB149" i="1"/>
  <c r="AZ149" i="1"/>
  <c r="BA149" i="1"/>
  <c r="AL149" i="1"/>
  <c r="AK149" i="1"/>
  <c r="AJ149" i="1"/>
  <c r="BH151" i="1" l="1"/>
  <c r="BG151" i="1"/>
  <c r="BF151" i="1"/>
  <c r="AT150" i="1"/>
  <c r="AV150" i="1"/>
  <c r="AU150" i="1"/>
  <c r="AQ150" i="1"/>
  <c r="AP150" i="1"/>
  <c r="AO150" i="1"/>
  <c r="AE150" i="1"/>
  <c r="AF150" i="1"/>
  <c r="AG150" i="1"/>
  <c r="AL150" i="1"/>
  <c r="AK150" i="1"/>
  <c r="AJ150" i="1"/>
  <c r="BB150" i="1"/>
  <c r="BA150" i="1"/>
  <c r="AZ150" i="1"/>
  <c r="U151" i="1"/>
  <c r="Y151" i="1"/>
  <c r="D151" i="1"/>
  <c r="AN151" i="1"/>
  <c r="R151" i="1"/>
  <c r="V151" i="1"/>
  <c r="AA151" i="1"/>
  <c r="O151" i="1"/>
  <c r="S151" i="1"/>
  <c r="A152" i="1"/>
  <c r="BE152" i="1" s="1"/>
  <c r="AI151" i="1"/>
  <c r="M151" i="1"/>
  <c r="B151" i="1"/>
  <c r="F151" i="1"/>
  <c r="Z151" i="1"/>
  <c r="AS151" i="1"/>
  <c r="C151" i="1"/>
  <c r="J151" i="1"/>
  <c r="N151" i="1"/>
  <c r="AY151" i="1"/>
  <c r="AD151" i="1"/>
  <c r="G151" i="1"/>
  <c r="Q151" i="1"/>
  <c r="E151" i="1"/>
  <c r="I151" i="1"/>
  <c r="W151" i="1"/>
  <c r="K151" i="1"/>
  <c r="BF152" i="1" l="1"/>
  <c r="BH152" i="1"/>
  <c r="BG152" i="1"/>
  <c r="BA151" i="1"/>
  <c r="BB151" i="1"/>
  <c r="AZ151" i="1"/>
  <c r="AT151" i="1"/>
  <c r="AV151" i="1"/>
  <c r="AU151" i="1"/>
  <c r="AP151" i="1"/>
  <c r="AO151" i="1"/>
  <c r="AQ151" i="1"/>
  <c r="AG151" i="1"/>
  <c r="AE151" i="1"/>
  <c r="AF151" i="1"/>
  <c r="AL151" i="1"/>
  <c r="AK151" i="1"/>
  <c r="AJ151" i="1"/>
  <c r="AN152" i="1"/>
  <c r="R152" i="1"/>
  <c r="AA152" i="1"/>
  <c r="F152" i="1"/>
  <c r="O152" i="1"/>
  <c r="Y152" i="1"/>
  <c r="AS152" i="1"/>
  <c r="K152" i="1"/>
  <c r="A153" i="1"/>
  <c r="BE153" i="1" s="1"/>
  <c r="AI152" i="1"/>
  <c r="M152" i="1"/>
  <c r="V152" i="1"/>
  <c r="B152" i="1"/>
  <c r="J152" i="1"/>
  <c r="D152" i="1"/>
  <c r="W152" i="1"/>
  <c r="U152" i="1"/>
  <c r="N152" i="1"/>
  <c r="AY152" i="1"/>
  <c r="AD152" i="1"/>
  <c r="G152" i="1"/>
  <c r="Q152" i="1"/>
  <c r="Z152" i="1"/>
  <c r="E152" i="1"/>
  <c r="S152" i="1"/>
  <c r="C152" i="1"/>
  <c r="I152" i="1"/>
  <c r="BH153" i="1" l="1"/>
  <c r="BG153" i="1"/>
  <c r="BF153" i="1"/>
  <c r="BB152" i="1"/>
  <c r="AZ152" i="1"/>
  <c r="BA152" i="1"/>
  <c r="AV152" i="1"/>
  <c r="AU152" i="1"/>
  <c r="AT152" i="1"/>
  <c r="J153" i="1"/>
  <c r="N153" i="1"/>
  <c r="AY153" i="1"/>
  <c r="AD153" i="1"/>
  <c r="G153" i="1"/>
  <c r="AA153" i="1"/>
  <c r="O153" i="1"/>
  <c r="S153" i="1"/>
  <c r="A154" i="1"/>
  <c r="BE154" i="1" s="1"/>
  <c r="AI153" i="1"/>
  <c r="M153" i="1"/>
  <c r="K153" i="1"/>
  <c r="Z153" i="1"/>
  <c r="E153" i="1"/>
  <c r="I153" i="1"/>
  <c r="AS153" i="1"/>
  <c r="W153" i="1"/>
  <c r="C153" i="1"/>
  <c r="F153" i="1"/>
  <c r="B153" i="1"/>
  <c r="U153" i="1"/>
  <c r="Y153" i="1"/>
  <c r="D153" i="1"/>
  <c r="AN153" i="1"/>
  <c r="R153" i="1"/>
  <c r="Q153" i="1"/>
  <c r="V153" i="1"/>
  <c r="AP152" i="1"/>
  <c r="AQ152" i="1"/>
  <c r="AO152" i="1"/>
  <c r="AE152" i="1"/>
  <c r="AF152" i="1"/>
  <c r="AG152" i="1"/>
  <c r="AJ152" i="1"/>
  <c r="AK152" i="1"/>
  <c r="AL152" i="1"/>
  <c r="BG154" i="1" l="1"/>
  <c r="BF154" i="1"/>
  <c r="BH154" i="1"/>
  <c r="AS154" i="1"/>
  <c r="W154" i="1"/>
  <c r="C154" i="1"/>
  <c r="K154" i="1"/>
  <c r="U154" i="1"/>
  <c r="Y154" i="1"/>
  <c r="I154" i="1"/>
  <c r="AI154" i="1"/>
  <c r="B154" i="1"/>
  <c r="J154" i="1"/>
  <c r="S154" i="1"/>
  <c r="AY154" i="1"/>
  <c r="G154" i="1"/>
  <c r="Q154" i="1"/>
  <c r="E154" i="1"/>
  <c r="N154" i="1"/>
  <c r="AN154" i="1"/>
  <c r="R154" i="1"/>
  <c r="AA154" i="1"/>
  <c r="F154" i="1"/>
  <c r="O154" i="1"/>
  <c r="D154" i="1"/>
  <c r="A155" i="1"/>
  <c r="BE155" i="1" s="1"/>
  <c r="M154" i="1"/>
  <c r="V154" i="1"/>
  <c r="AD154" i="1"/>
  <c r="Z154" i="1"/>
  <c r="AP153" i="1"/>
  <c r="AO153" i="1"/>
  <c r="AQ153" i="1"/>
  <c r="AV153" i="1"/>
  <c r="AU153" i="1"/>
  <c r="AT153" i="1"/>
  <c r="AG153" i="1"/>
  <c r="AF153" i="1"/>
  <c r="AE153" i="1"/>
  <c r="AJ153" i="1"/>
  <c r="AL153" i="1"/>
  <c r="AK153" i="1"/>
  <c r="BA153" i="1"/>
  <c r="AZ153" i="1"/>
  <c r="BB153" i="1"/>
  <c r="BH155" i="1" l="1"/>
  <c r="BG155" i="1"/>
  <c r="BF155" i="1"/>
  <c r="BA154" i="1"/>
  <c r="AZ154" i="1"/>
  <c r="BB154" i="1"/>
  <c r="J155" i="1"/>
  <c r="N155" i="1"/>
  <c r="AY155" i="1"/>
  <c r="AD155" i="1"/>
  <c r="G155" i="1"/>
  <c r="F155" i="1"/>
  <c r="Z155" i="1"/>
  <c r="E155" i="1"/>
  <c r="I155" i="1"/>
  <c r="AS155" i="1"/>
  <c r="W155" i="1"/>
  <c r="C155" i="1"/>
  <c r="V155" i="1"/>
  <c r="U155" i="1"/>
  <c r="Y155" i="1"/>
  <c r="D155" i="1"/>
  <c r="AN155" i="1"/>
  <c r="R155" i="1"/>
  <c r="K155" i="1"/>
  <c r="B155" i="1"/>
  <c r="O155" i="1"/>
  <c r="A156" i="1"/>
  <c r="BE156" i="1" s="1"/>
  <c r="M155" i="1"/>
  <c r="AA155" i="1"/>
  <c r="S155" i="1"/>
  <c r="AI155" i="1"/>
  <c r="Q155" i="1"/>
  <c r="AG154" i="1"/>
  <c r="AF154" i="1"/>
  <c r="AE154" i="1"/>
  <c r="AJ154" i="1"/>
  <c r="AL154" i="1"/>
  <c r="AK154" i="1"/>
  <c r="AO154" i="1"/>
  <c r="AQ154" i="1"/>
  <c r="AP154" i="1"/>
  <c r="AV154" i="1"/>
  <c r="AU154" i="1"/>
  <c r="AT154" i="1"/>
  <c r="BH156" i="1" l="1"/>
  <c r="BF156" i="1"/>
  <c r="BG156" i="1"/>
  <c r="AO155" i="1"/>
  <c r="AQ155" i="1"/>
  <c r="AP155" i="1"/>
  <c r="AF155" i="1"/>
  <c r="AE155" i="1"/>
  <c r="AG155" i="1"/>
  <c r="BA155" i="1"/>
  <c r="AZ155" i="1"/>
  <c r="BB155" i="1"/>
  <c r="AJ155" i="1"/>
  <c r="AL155" i="1"/>
  <c r="AK155" i="1"/>
  <c r="AN156" i="1"/>
  <c r="R156" i="1"/>
  <c r="AA156" i="1"/>
  <c r="F156" i="1"/>
  <c r="O156" i="1"/>
  <c r="N156" i="1"/>
  <c r="AI156" i="1"/>
  <c r="M156" i="1"/>
  <c r="V156" i="1"/>
  <c r="B156" i="1"/>
  <c r="J156" i="1"/>
  <c r="I156" i="1"/>
  <c r="AY156" i="1"/>
  <c r="AD156" i="1"/>
  <c r="G156" i="1"/>
  <c r="Q156" i="1"/>
  <c r="Z156" i="1"/>
  <c r="E156" i="1"/>
  <c r="Y156" i="1"/>
  <c r="AS156" i="1"/>
  <c r="W156" i="1"/>
  <c r="C156" i="1"/>
  <c r="K156" i="1"/>
  <c r="U156" i="1"/>
  <c r="S156" i="1"/>
  <c r="D156" i="1"/>
  <c r="AU155" i="1"/>
  <c r="AT155" i="1"/>
  <c r="AV155" i="1"/>
  <c r="AV156" i="1" l="1"/>
  <c r="AU156" i="1"/>
  <c r="AT156" i="1"/>
  <c r="AL156" i="1"/>
  <c r="AJ156" i="1"/>
  <c r="AK156" i="1"/>
  <c r="AF156" i="1"/>
  <c r="AE156" i="1"/>
  <c r="AG156" i="1"/>
  <c r="AZ156" i="1"/>
  <c r="BB156" i="1"/>
  <c r="BA156" i="1"/>
  <c r="AQ156" i="1"/>
  <c r="AP156" i="1"/>
  <c r="AO156" i="1"/>
</calcChain>
</file>

<file path=xl/sharedStrings.xml><?xml version="1.0" encoding="utf-8"?>
<sst xmlns="http://schemas.openxmlformats.org/spreadsheetml/2006/main" count="326" uniqueCount="17">
  <si>
    <t>Time</t>
  </si>
  <si>
    <t>Survival</t>
  </si>
  <si>
    <t>Group_1</t>
  </si>
  <si>
    <t>Group_2</t>
  </si>
  <si>
    <t>Group_3</t>
  </si>
  <si>
    <t>Live value</t>
  </si>
  <si>
    <t>increment (in years)</t>
  </si>
  <si>
    <t>Probabilistic value</t>
  </si>
  <si>
    <t>s</t>
  </si>
  <si>
    <t>lambda:</t>
  </si>
  <si>
    <t>Cholesky_matrix</t>
  </si>
  <si>
    <t>z (rand var)</t>
  </si>
  <si>
    <t>Tz</t>
  </si>
  <si>
    <t>s (Group_1)</t>
  </si>
  <si>
    <t>s (Group_2)</t>
  </si>
  <si>
    <t>s (Group_3)</t>
  </si>
  <si>
    <t>Calculation step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</si>
</sst>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4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theme="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164" fontId="2" fillId="2" borderId="0" xfId="0" applyNumberFormat="1" applyFont="1" applyFill="1"/>
    <xf numFmtId="164" fontId="1" fillId="2" borderId="0" xfId="0" applyNumberFormat="1" applyFont="1" applyFill="1"/>
    <xf numFmtId="164" fontId="2" fillId="3" borderId="0" xfId="0" applyNumberFormat="1" applyFont="1" applyFill="1"/>
    <xf numFmtId="164" fontId="3" fillId="4" borderId="0" xfId="0" applyNumberFormat="1" applyFont="1" applyFill="1"/>
    <xf numFmtId="164" fontId="1" fillId="2" borderId="1" xfId="0" applyNumberFormat="1" applyFont="1" applyFill="1" applyBorder="1"/>
    <xf numFmtId="164" fontId="1" fillId="2" borderId="0" xfId="0" applyNumberFormat="1" applyFont="1" applyFill="1" applyBorder="1"/>
    <xf numFmtId="164" fontId="3" fillId="4" borderId="2" xfId="0" applyNumberFormat="1" applyFont="1" applyFill="1" applyBorder="1"/>
    <xf numFmtId="164" fontId="1" fillId="2" borderId="2" xfId="0" applyNumberFormat="1" applyFont="1" applyFill="1" applyBorder="1"/>
    <xf numFmtId="164" fontId="1" fillId="2" borderId="3" xfId="0" applyNumberFormat="1" applyFont="1" applyFill="1" applyBorder="1"/>
    <xf numFmtId="164" fontId="2" fillId="3" borderId="2" xfId="0" applyNumberFormat="1" applyFont="1" applyFill="1" applyBorder="1"/>
    <xf numFmtId="164" fontId="2" fillId="2" borderId="2" xfId="0" applyNumberFormat="1" applyFont="1" applyFill="1" applyBorder="1"/>
    <xf numFmtId="1" fontId="1" fillId="2" borderId="0" xfId="0" applyNumberFormat="1" applyFont="1" applyFill="1"/>
    <xf numFmtId="1" fontId="1" fillId="2" borderId="1" xfId="0" applyNumberFormat="1" applyFont="1" applyFill="1" applyBorder="1"/>
    <xf numFmtId="1" fontId="2" fillId="2" borderId="0" xfId="0" applyNumberFormat="1" applyFont="1" applyFill="1"/>
    <xf numFmtId="1" fontId="1" fillId="2" borderId="0" xfId="0" applyNumberFormat="1" applyFont="1" applyFill="1" applyBorder="1"/>
    <xf numFmtId="0" fontId="1" fillId="2" borderId="0" xfId="0" applyNumberFormat="1" applyFont="1" applyFill="1"/>
  </cellXfs>
  <cellStyles count="1">
    <cellStyle name="Normal" xfId="0" builtinId="0"/>
  </cellStyles>
  <dxfs count="8"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J152"/>
  <sheetViews>
    <sheetView tabSelected="1" zoomScaleNormal="100" workbookViewId="0">
      <pane xSplit="1" ySplit="3" topLeftCell="B4" activePane="bottomRight" state="frozenSplit"/>
      <selection pane="topRight" activeCell="B1" sqref="B1"/>
      <selection pane="bottomLeft" activeCell="A4" sqref="A4"/>
      <selection pane="bottomRight" activeCell="F20" sqref="F20"/>
    </sheetView>
  </sheetViews>
  <sheetFormatPr defaultRowHeight="12.75" x14ac:dyDescent="0.2"/>
  <cols>
    <col min="1" max="1" width="20.28515625" style="2" customWidth="1"/>
    <col min="2" max="2" width="18" style="2" customWidth="1"/>
    <col min="3" max="3" width="18" style="8" customWidth="1"/>
    <col min="4" max="4" width="18" style="2" customWidth="1"/>
    <col min="5" max="5" width="18" style="8" customWidth="1"/>
    <col min="6" max="6" width="18" style="2" customWidth="1"/>
    <col min="7" max="7" width="18" style="8" customWidth="1"/>
    <col min="8" max="8" width="18" style="2" customWidth="1"/>
    <col min="9" max="9" width="18" style="8" customWidth="1"/>
    <col min="10" max="10" width="18" style="2" customWidth="1"/>
    <col min="11" max="11" width="18" style="8" customWidth="1"/>
    <col min="12" max="12" width="18" style="2" customWidth="1"/>
    <col min="13" max="13" width="18" style="8" customWidth="1"/>
    <col min="14" max="15" width="18" style="2" customWidth="1"/>
    <col min="16" max="16" width="18" style="8" customWidth="1"/>
    <col min="17" max="18" width="18" style="2" customWidth="1"/>
    <col min="19" max="19" width="18" style="8" customWidth="1"/>
    <col min="20" max="21" width="18" style="2" customWidth="1"/>
    <col min="22" max="22" width="18" style="8" customWidth="1"/>
    <col min="23" max="24" width="18" style="2" customWidth="1"/>
    <col min="25" max="25" width="18" style="8" customWidth="1"/>
    <col min="26" max="28" width="18" style="2" customWidth="1"/>
    <col min="29" max="29" width="18" style="8" customWidth="1"/>
    <col min="30" max="32" width="18" style="2" customWidth="1"/>
    <col min="33" max="33" width="18" style="8" customWidth="1"/>
    <col min="34" max="36" width="18" style="2" customWidth="1"/>
    <col min="37" max="16384" width="9.140625" style="2"/>
  </cols>
  <sheetData>
    <row r="1" spans="1:33" s="4" customFormat="1" x14ac:dyDescent="0.2">
      <c r="C1" s="7"/>
      <c r="E1" s="7"/>
      <c r="G1" s="7"/>
      <c r="I1" s="7"/>
      <c r="K1" s="7"/>
      <c r="M1" s="7"/>
      <c r="P1" s="7"/>
      <c r="S1" s="7"/>
      <c r="V1" s="7"/>
      <c r="Y1" s="7"/>
      <c r="AC1" s="7"/>
      <c r="AG1" s="7"/>
    </row>
    <row r="2" spans="1:33" s="4" customFormat="1" x14ac:dyDescent="0.2">
      <c r="C2" s="7"/>
      <c r="E2" s="7"/>
      <c r="G2" s="7"/>
      <c r="I2" s="7"/>
      <c r="K2" s="7"/>
      <c r="M2" s="7"/>
      <c r="P2" s="7"/>
      <c r="S2" s="7"/>
      <c r="V2" s="7"/>
      <c r="Y2" s="7"/>
      <c r="AC2" s="7"/>
      <c r="AG2" s="7"/>
    </row>
    <row r="3" spans="1:33" s="4" customFormat="1" x14ac:dyDescent="0.2">
      <c r="C3" s="7"/>
      <c r="E3" s="7"/>
      <c r="G3" s="7"/>
      <c r="I3" s="7"/>
      <c r="K3" s="7"/>
      <c r="M3" s="7"/>
      <c r="P3" s="7"/>
      <c r="S3" s="7"/>
      <c r="V3" s="7"/>
      <c r="Y3" s="7"/>
      <c r="AC3" s="7"/>
      <c r="AG3" s="7"/>
    </row>
    <row r="4" spans="1:33" x14ac:dyDescent="0.2">
      <c r="A4" s="1"/>
    </row>
    <row r="5" spans="1:33" x14ac:dyDescent="0.2">
      <c r="A5" s="1"/>
    </row>
    <row r="6" spans="1:33" x14ac:dyDescent="0.2">
      <c r="A6" s="1"/>
    </row>
    <row r="7" spans="1:33" x14ac:dyDescent="0.2">
      <c r="A7" s="1"/>
    </row>
    <row r="8" spans="1:33" x14ac:dyDescent="0.2">
      <c r="A8" s="1"/>
    </row>
    <row r="9" spans="1:33" x14ac:dyDescent="0.2">
      <c r="A9" s="1"/>
    </row>
    <row r="10" spans="1:33" x14ac:dyDescent="0.2">
      <c r="A10" s="1"/>
    </row>
    <row r="11" spans="1:33" x14ac:dyDescent="0.2">
      <c r="A11" s="12"/>
    </row>
    <row r="12" spans="1:33" x14ac:dyDescent="0.2">
      <c r="A12" s="12"/>
    </row>
    <row r="13" spans="1:33" x14ac:dyDescent="0.2">
      <c r="A13" s="12"/>
    </row>
    <row r="14" spans="1:33" s="5" customFormat="1" ht="13.5" thickBot="1" x14ac:dyDescent="0.25">
      <c r="A14" s="13"/>
      <c r="C14" s="9"/>
      <c r="E14" s="9"/>
      <c r="G14" s="9"/>
      <c r="I14" s="9"/>
      <c r="K14" s="9"/>
      <c r="M14" s="9"/>
      <c r="P14" s="9"/>
      <c r="S14" s="9"/>
      <c r="V14" s="9"/>
      <c r="Y14" s="9"/>
      <c r="AC14" s="9"/>
      <c r="AG14" s="9"/>
    </row>
    <row r="15" spans="1:33" x14ac:dyDescent="0.2">
      <c r="A15" s="12"/>
    </row>
    <row r="16" spans="1:33" x14ac:dyDescent="0.2">
      <c r="A16" s="14" t="s">
        <v>10</v>
      </c>
    </row>
    <row r="17" spans="1:36" x14ac:dyDescent="0.2">
      <c r="A17" s="12">
        <v>1</v>
      </c>
      <c r="B17" s="8">
        <f>SQRT(B11)</f>
        <v>0</v>
      </c>
      <c r="C17" s="8">
        <f>SQRT(C11)</f>
        <v>0</v>
      </c>
      <c r="E17" s="8">
        <f>SQRT(E11)</f>
        <v>0</v>
      </c>
      <c r="G17" s="8">
        <f>SQRT(G11)</f>
        <v>0</v>
      </c>
      <c r="I17" s="8">
        <f>SQRT(I11)</f>
        <v>0</v>
      </c>
      <c r="K17" s="8">
        <f>SQRT(K11)</f>
        <v>0</v>
      </c>
      <c r="M17" s="8">
        <f>SQRT(M11)</f>
        <v>0</v>
      </c>
      <c r="P17" s="8">
        <f>SQRT(P11)</f>
        <v>0</v>
      </c>
      <c r="S17" s="8">
        <f>SQRT(S11)</f>
        <v>0</v>
      </c>
      <c r="V17" s="8">
        <f>SQRT(V11)</f>
        <v>0</v>
      </c>
      <c r="Y17" s="8">
        <f>SQRT(Y11)</f>
        <v>0</v>
      </c>
      <c r="AC17" s="8">
        <f>SQRT(AC11)</f>
        <v>0</v>
      </c>
      <c r="AG17" s="8">
        <f>SQRT(AG11)</f>
        <v>0</v>
      </c>
    </row>
    <row r="18" spans="1:36" x14ac:dyDescent="0.2">
      <c r="A18" s="12">
        <v>2</v>
      </c>
      <c r="B18" s="8"/>
      <c r="C18" s="8" t="e">
        <f>C12/C17</f>
        <v>#DIV/0!</v>
      </c>
      <c r="D18" s="2" t="e">
        <f>SQRT(D12-C18^2)</f>
        <v>#DIV/0!</v>
      </c>
      <c r="E18" s="8" t="e">
        <f>E12/E17</f>
        <v>#DIV/0!</v>
      </c>
      <c r="F18" s="2" t="e">
        <f>SQRT(F12-E18^2)</f>
        <v>#DIV/0!</v>
      </c>
      <c r="G18" s="8" t="e">
        <f>G12/G17</f>
        <v>#DIV/0!</v>
      </c>
      <c r="H18" s="2" t="e">
        <f>SQRT(H12-G18^2)</f>
        <v>#DIV/0!</v>
      </c>
      <c r="I18" s="8" t="e">
        <f>I12/I17</f>
        <v>#DIV/0!</v>
      </c>
      <c r="J18" s="2" t="e">
        <f>SQRT(J12-I18^2)</f>
        <v>#DIV/0!</v>
      </c>
      <c r="K18" s="8" t="e">
        <f>K12/K17</f>
        <v>#DIV/0!</v>
      </c>
      <c r="L18" s="2" t="e">
        <f>SQRT(L12-K18^2)</f>
        <v>#DIV/0!</v>
      </c>
      <c r="M18" s="8" t="e">
        <f>M12/M17</f>
        <v>#DIV/0!</v>
      </c>
      <c r="N18" s="2" t="e">
        <f>SQRT(N12-M18^2)</f>
        <v>#DIV/0!</v>
      </c>
      <c r="P18" s="8" t="e">
        <f>P12/P17</f>
        <v>#DIV/0!</v>
      </c>
      <c r="Q18" s="2" t="e">
        <f>SQRT(Q12-P18^2)</f>
        <v>#DIV/0!</v>
      </c>
      <c r="S18" s="8" t="e">
        <f>S12/S17</f>
        <v>#DIV/0!</v>
      </c>
      <c r="T18" s="2" t="e">
        <f>SQRT(T12-S18^2)</f>
        <v>#DIV/0!</v>
      </c>
      <c r="V18" s="8" t="e">
        <f>V12/V17</f>
        <v>#DIV/0!</v>
      </c>
      <c r="W18" s="2" t="e">
        <f>SQRT(W12-V18^2)</f>
        <v>#DIV/0!</v>
      </c>
      <c r="Y18" s="8" t="e">
        <f>Y12/Y17</f>
        <v>#DIV/0!</v>
      </c>
      <c r="Z18" s="2" t="e">
        <f>SQRT(Z12-Y18^2)</f>
        <v>#DIV/0!</v>
      </c>
      <c r="AC18" s="8" t="e">
        <f>AC12/AC17</f>
        <v>#DIV/0!</v>
      </c>
      <c r="AD18" s="2" t="e">
        <f>SQRT(AD12-AC18^2)</f>
        <v>#DIV/0!</v>
      </c>
      <c r="AG18" s="8" t="e">
        <f>AG12/AG17</f>
        <v>#DIV/0!</v>
      </c>
      <c r="AH18" s="2" t="e">
        <f>SQRT(AH12-AG18^2)</f>
        <v>#DIV/0!</v>
      </c>
    </row>
    <row r="19" spans="1:36" x14ac:dyDescent="0.2">
      <c r="A19" s="12">
        <v>3</v>
      </c>
      <c r="B19" s="8"/>
      <c r="M19" s="8" t="e">
        <f>M13/M17</f>
        <v>#DIV/0!</v>
      </c>
      <c r="N19" s="2" t="e">
        <f>(N13-M19*M18)/N18</f>
        <v>#DIV/0!</v>
      </c>
      <c r="O19" s="2" t="e">
        <f>SQRT(O13-M19^2-N19^2)</f>
        <v>#DIV/0!</v>
      </c>
      <c r="P19" s="8" t="e">
        <f>P13/P17</f>
        <v>#DIV/0!</v>
      </c>
      <c r="Q19" s="2" t="e">
        <f>(Q13-P19*P18)/Q18</f>
        <v>#DIV/0!</v>
      </c>
      <c r="R19" s="2" t="e">
        <f>SQRT(R13-P19^2-Q19^2)</f>
        <v>#DIV/0!</v>
      </c>
      <c r="S19" s="8" t="e">
        <f>S13/S17</f>
        <v>#DIV/0!</v>
      </c>
      <c r="T19" s="2" t="e">
        <f>(T13-S19*S18)/T18</f>
        <v>#DIV/0!</v>
      </c>
      <c r="U19" s="2" t="e">
        <f>SQRT(U13-S19^2-T19^2)</f>
        <v>#DIV/0!</v>
      </c>
      <c r="V19" s="8" t="e">
        <f>V13/V17</f>
        <v>#DIV/0!</v>
      </c>
      <c r="W19" s="2" t="e">
        <f>(W13-V19*V18)/W18</f>
        <v>#DIV/0!</v>
      </c>
      <c r="X19" s="2" t="e">
        <f>SQRT(X13-V19^2-W19^2)</f>
        <v>#DIV/0!</v>
      </c>
      <c r="Y19" s="8" t="e">
        <f>Y13/Y17</f>
        <v>#DIV/0!</v>
      </c>
      <c r="Z19" s="2" t="e">
        <f>(Z13-Y19*Y18)/Z18</f>
        <v>#DIV/0!</v>
      </c>
      <c r="AA19" s="2" t="e">
        <f>SQRT(AA13-Y19^2-Z19^2)</f>
        <v>#DIV/0!</v>
      </c>
      <c r="AC19" s="8" t="e">
        <f>AC13/AC17</f>
        <v>#DIV/0!</v>
      </c>
      <c r="AD19" s="2" t="e">
        <f>(AD13-AC19*AC18)/AD18</f>
        <v>#DIV/0!</v>
      </c>
      <c r="AE19" s="2" t="e">
        <f>SQRT(AE13-AC19^2-AD19^2)</f>
        <v>#DIV/0!</v>
      </c>
      <c r="AG19" s="8" t="e">
        <f>AG13/AG17</f>
        <v>#DIV/0!</v>
      </c>
      <c r="AH19" s="2" t="e">
        <f>(AH13-AG19*AG18)/AH18</f>
        <v>#DIV/0!</v>
      </c>
      <c r="AI19" s="2" t="e">
        <f>SQRT(AI13-AG19^2-AH19^2)</f>
        <v>#DIV/0!</v>
      </c>
    </row>
    <row r="20" spans="1:36" x14ac:dyDescent="0.2">
      <c r="A20" s="12">
        <v>4</v>
      </c>
      <c r="B20" s="8"/>
      <c r="Y20" s="8" t="e">
        <f>Y14/Y17</f>
        <v>#DIV/0!</v>
      </c>
      <c r="Z20" s="2" t="e">
        <f>(Z14-Y20*Y18)/Z18</f>
        <v>#DIV/0!</v>
      </c>
      <c r="AA20" s="2" t="e">
        <f>(AA14-Y19*Y20-Z19*Z20)/AA19</f>
        <v>#DIV/0!</v>
      </c>
      <c r="AB20" s="2" t="e">
        <f>SQRT(AB14-Y20^2-Z20^2-AA20^2)</f>
        <v>#DIV/0!</v>
      </c>
      <c r="AC20" s="8" t="e">
        <f>AC14/AC17</f>
        <v>#DIV/0!</v>
      </c>
      <c r="AD20" s="2" t="e">
        <f>(AD14-AC20*AC18)/AD18</f>
        <v>#DIV/0!</v>
      </c>
      <c r="AE20" s="2" t="e">
        <f>(AE14-AC19*AC20-AD19*AD20)/AE19</f>
        <v>#DIV/0!</v>
      </c>
      <c r="AF20" s="2" t="e">
        <f>SQRT(AF14-AC20^2-AD20^2-AE20^2)</f>
        <v>#DIV/0!</v>
      </c>
      <c r="AG20" s="8" t="e">
        <f>AG14/AG17</f>
        <v>#DIV/0!</v>
      </c>
      <c r="AH20" s="2" t="e">
        <f>(AH14-AG20*AG18)/AH18</f>
        <v>#DIV/0!</v>
      </c>
      <c r="AI20" s="2" t="e">
        <f>(AI14-AG19*AG20-AH19*AH20)/AI19</f>
        <v>#DIV/0!</v>
      </c>
      <c r="AJ20" s="2" t="e">
        <f>SQRT(AJ14-AG20^2-AH20^2-AI20^2)</f>
        <v>#DIV/0!</v>
      </c>
    </row>
    <row r="21" spans="1:36" x14ac:dyDescent="0.2">
      <c r="A21" s="6"/>
      <c r="B21" s="8"/>
    </row>
    <row r="22" spans="1:36" x14ac:dyDescent="0.2">
      <c r="A22" s="6" t="s">
        <v>11</v>
      </c>
      <c r="B22" s="8">
        <f ca="1">NORMINV(RAND(),0,1)</f>
        <v>-1.0383892824331391</v>
      </c>
      <c r="C22" s="8">
        <f ca="1">NORMINV(RAND(),0,1)</f>
        <v>-0.10518671198325984</v>
      </c>
      <c r="D22" s="2">
        <f t="shared" ref="D22" ca="1" si="0">NORMINV(RAND(),0,1)</f>
        <v>-6.037339094555591E-2</v>
      </c>
      <c r="E22" s="8">
        <f ca="1">NORMINV(RAND(),0,1)</f>
        <v>-0.24093180743664483</v>
      </c>
      <c r="F22" s="2">
        <f t="shared" ref="F22" ca="1" si="1">NORMINV(RAND(),0,1)</f>
        <v>2.1472425714849499</v>
      </c>
      <c r="G22" s="8">
        <f ca="1">NORMINV(RAND(),0,1)</f>
        <v>0.61478870152501819</v>
      </c>
      <c r="H22" s="2">
        <f t="shared" ref="H22" ca="1" si="2">NORMINV(RAND(),0,1)</f>
        <v>-0.45336239034314135</v>
      </c>
      <c r="I22" s="8">
        <f ca="1">NORMINV(RAND(),0,1)</f>
        <v>-0.51102588186026354</v>
      </c>
      <c r="J22" s="2">
        <f t="shared" ref="J22" ca="1" si="3">NORMINV(RAND(),0,1)</f>
        <v>-0.29634566597283968</v>
      </c>
      <c r="K22" s="8">
        <f ca="1">NORMINV(RAND(),0,1)</f>
        <v>0.74066715611955924</v>
      </c>
      <c r="L22" s="2">
        <f t="shared" ref="L22" ca="1" si="4">NORMINV(RAND(),0,1)</f>
        <v>0.46011227977774377</v>
      </c>
      <c r="M22" s="8">
        <f ca="1">NORMINV(RAND(),0,1)</f>
        <v>1.5273011452895195</v>
      </c>
      <c r="N22" s="2">
        <f t="shared" ref="N22:O22" ca="1" si="5">NORMINV(RAND(),0,1)</f>
        <v>0.44047062483708893</v>
      </c>
      <c r="O22" s="2">
        <f t="shared" ca="1" si="5"/>
        <v>1.4960485340745615</v>
      </c>
      <c r="P22" s="8">
        <f ca="1">NORMINV(RAND(),0,1)</f>
        <v>-0.68760702777927285</v>
      </c>
      <c r="Q22" s="2">
        <f t="shared" ref="Q22:R22" ca="1" si="6">NORMINV(RAND(),0,1)</f>
        <v>-0.57544713986997831</v>
      </c>
      <c r="R22" s="2">
        <f t="shared" ca="1" si="6"/>
        <v>-0.17496111539332956</v>
      </c>
      <c r="S22" s="8">
        <f ca="1">NORMINV(RAND(),0,1)</f>
        <v>-1.0656744095704846</v>
      </c>
      <c r="T22" s="2">
        <f t="shared" ref="T22:U22" ca="1" si="7">NORMINV(RAND(),0,1)</f>
        <v>-0.56039556900215304</v>
      </c>
      <c r="U22" s="2">
        <f t="shared" ca="1" si="7"/>
        <v>-1.4300511064701438</v>
      </c>
      <c r="V22" s="8">
        <f ca="1">NORMINV(RAND(),0,1)</f>
        <v>-0.98447969176508998</v>
      </c>
      <c r="W22" s="2">
        <f t="shared" ref="W22:X22" ca="1" si="8">NORMINV(RAND(),0,1)</f>
        <v>-0.14348293782059168</v>
      </c>
      <c r="X22" s="2">
        <f t="shared" ca="1" si="8"/>
        <v>-1.9073745878001254</v>
      </c>
      <c r="Y22" s="8">
        <f ca="1">NORMINV(RAND(),0,1)</f>
        <v>-0.90918454567780038</v>
      </c>
      <c r="Z22" s="2">
        <f t="shared" ref="Z22:AB22" ca="1" si="9">NORMINV(RAND(),0,1)</f>
        <v>-0.11873839482915716</v>
      </c>
      <c r="AA22" s="2">
        <f t="shared" ca="1" si="9"/>
        <v>0.44093985890094245</v>
      </c>
      <c r="AB22" s="2">
        <f t="shared" ca="1" si="9"/>
        <v>0.23655743656681871</v>
      </c>
      <c r="AC22" s="8">
        <f ca="1">NORMINV(RAND(),0,1)</f>
        <v>-1.0696256369191599</v>
      </c>
      <c r="AD22" s="2">
        <f t="shared" ref="AD22:AF22" ca="1" si="10">NORMINV(RAND(),0,1)</f>
        <v>0.83334298849449318</v>
      </c>
      <c r="AE22" s="2">
        <f t="shared" ca="1" si="10"/>
        <v>0.9376713718254831</v>
      </c>
      <c r="AF22" s="2">
        <f t="shared" ca="1" si="10"/>
        <v>0.69663216566061603</v>
      </c>
      <c r="AG22" s="8">
        <f ca="1">NORMINV(RAND(),0,1)</f>
        <v>0.2589860946713019</v>
      </c>
      <c r="AH22" s="2">
        <f t="shared" ref="AH22:AJ22" ca="1" si="11">NORMINV(RAND(),0,1)</f>
        <v>0.48107313989198924</v>
      </c>
      <c r="AI22" s="2">
        <f t="shared" ca="1" si="11"/>
        <v>-0.19421632110533762</v>
      </c>
      <c r="AJ22" s="2">
        <f t="shared" ca="1" si="11"/>
        <v>0.40883441020208344</v>
      </c>
    </row>
    <row r="23" spans="1:36" x14ac:dyDescent="0.2">
      <c r="A23" s="6" t="s">
        <v>12</v>
      </c>
      <c r="B23" s="8">
        <f ca="1">SUMPRODUCT(B17:B17,B22:B22)</f>
        <v>0</v>
      </c>
      <c r="C23" s="8">
        <f ca="1">SUMPRODUCT(C17:C17,C22:C22)</f>
        <v>0</v>
      </c>
      <c r="D23" s="2" t="e">
        <f>SUMPRODUCT(C18:D18,C22:D22)</f>
        <v>#DIV/0!</v>
      </c>
      <c r="E23" s="8">
        <f ca="1">SUMPRODUCT(E17:E17,E22:E22)</f>
        <v>0</v>
      </c>
      <c r="F23" s="2" t="e">
        <f>SUMPRODUCT(E18:F18,E22:F22)</f>
        <v>#DIV/0!</v>
      </c>
      <c r="G23" s="8">
        <f ca="1">SUMPRODUCT(G17:G17,G22:G22)</f>
        <v>0</v>
      </c>
      <c r="H23" s="2" t="e">
        <f>SUMPRODUCT(G18:H18,G22:H22)</f>
        <v>#DIV/0!</v>
      </c>
      <c r="I23" s="8">
        <f ca="1">SUMPRODUCT(I17:I17,I22:I22)</f>
        <v>0</v>
      </c>
      <c r="J23" s="2" t="e">
        <f>SUMPRODUCT(I18:J18,I22:J22)</f>
        <v>#DIV/0!</v>
      </c>
      <c r="K23" s="8">
        <f ca="1">SUMPRODUCT(K17:K17,K22:K22)</f>
        <v>0</v>
      </c>
      <c r="L23" s="2" t="e">
        <f>SUMPRODUCT(K18:L18,K22:L22)</f>
        <v>#DIV/0!</v>
      </c>
      <c r="M23" s="8">
        <f ca="1">SUMPRODUCT(M17:M17,M22:M22)</f>
        <v>0</v>
      </c>
      <c r="N23" s="2" t="e">
        <f>SUMPRODUCT(M18:N18,M22:N22)</f>
        <v>#DIV/0!</v>
      </c>
      <c r="O23" s="2" t="e">
        <f>SUMPRODUCT(M19:O19,M22:O22)</f>
        <v>#DIV/0!</v>
      </c>
      <c r="P23" s="8">
        <f ca="1">SUMPRODUCT(P17:P17,P22:P22)</f>
        <v>0</v>
      </c>
      <c r="Q23" s="2" t="e">
        <f>SUMPRODUCT(P18:Q18,P22:Q22)</f>
        <v>#DIV/0!</v>
      </c>
      <c r="R23" s="2" t="e">
        <f>SUMPRODUCT(P19:R19,P22:R22)</f>
        <v>#DIV/0!</v>
      </c>
      <c r="S23" s="8">
        <f ca="1">SUMPRODUCT(S17:S17,S22:S22)</f>
        <v>0</v>
      </c>
      <c r="T23" s="2" t="e">
        <f>SUMPRODUCT(S18:T18,S22:T22)</f>
        <v>#DIV/0!</v>
      </c>
      <c r="U23" s="2" t="e">
        <f>SUMPRODUCT(S19:U19,S22:U22)</f>
        <v>#DIV/0!</v>
      </c>
      <c r="V23" s="8">
        <f ca="1">SUMPRODUCT(V17:V17,V22:V22)</f>
        <v>0</v>
      </c>
      <c r="W23" s="2" t="e">
        <f>SUMPRODUCT(V18:W18,V22:W22)</f>
        <v>#DIV/0!</v>
      </c>
      <c r="X23" s="2" t="e">
        <f>SUMPRODUCT(V19:X19,V22:X22)</f>
        <v>#DIV/0!</v>
      </c>
      <c r="Y23" s="8">
        <f ca="1">SUMPRODUCT(Y17:Y17,Y22:Y22)</f>
        <v>0</v>
      </c>
      <c r="Z23" s="2" t="e">
        <f>SUMPRODUCT(Y18:Z18,Y22:Z22)</f>
        <v>#DIV/0!</v>
      </c>
      <c r="AA23" s="2" t="e">
        <f>SUMPRODUCT(Y19:AA19,Y22:AA22)</f>
        <v>#DIV/0!</v>
      </c>
      <c r="AB23" s="2" t="e">
        <f>SUMPRODUCT(Y20:AB20,Y22:AB22)</f>
        <v>#DIV/0!</v>
      </c>
      <c r="AC23" s="8">
        <f ca="1">SUMPRODUCT(AC17:AC17,AC22:AC22)</f>
        <v>0</v>
      </c>
      <c r="AD23" s="2" t="e">
        <f>SUMPRODUCT(AC18:AD18,AC22:AD22)</f>
        <v>#DIV/0!</v>
      </c>
      <c r="AE23" s="2" t="e">
        <f>SUMPRODUCT(AC19:AE19,AC22:AE22)</f>
        <v>#DIV/0!</v>
      </c>
      <c r="AF23" s="2" t="e">
        <f>SUMPRODUCT(AC20:AF20,AC22:AF22)</f>
        <v>#DIV/0!</v>
      </c>
      <c r="AG23" s="8">
        <f ca="1">SUMPRODUCT(AG17:AG17,AG22:AG22)</f>
        <v>0</v>
      </c>
      <c r="AH23" s="2" t="e">
        <f>SUMPRODUCT(AG18:AH18,AG22:AH22)</f>
        <v>#DIV/0!</v>
      </c>
      <c r="AI23" s="2" t="e">
        <f>SUMPRODUCT(AG19:AI19,AG22:AI22)</f>
        <v>#DIV/0!</v>
      </c>
      <c r="AJ23" s="2" t="e">
        <f>SUMPRODUCT(AG20:AJ20,AG22:AJ22)</f>
        <v>#DIV/0!</v>
      </c>
    </row>
    <row r="24" spans="1:36" x14ac:dyDescent="0.2">
      <c r="A24" s="6"/>
      <c r="B24" s="8"/>
    </row>
    <row r="25" spans="1:36" x14ac:dyDescent="0.2">
      <c r="A25" s="1" t="s">
        <v>7</v>
      </c>
      <c r="B25" s="8">
        <f t="shared" ref="B25:AJ25" ca="1" si="12">B23+B4</f>
        <v>0</v>
      </c>
      <c r="C25" s="8">
        <f t="shared" ca="1" si="12"/>
        <v>0</v>
      </c>
      <c r="D25" s="2" t="e">
        <f t="shared" si="12"/>
        <v>#DIV/0!</v>
      </c>
      <c r="E25" s="8">
        <f t="shared" ca="1" si="12"/>
        <v>0</v>
      </c>
      <c r="F25" s="2" t="e">
        <f t="shared" si="12"/>
        <v>#DIV/0!</v>
      </c>
      <c r="G25" s="8">
        <f t="shared" ca="1" si="12"/>
        <v>0</v>
      </c>
      <c r="H25" s="2" t="e">
        <f t="shared" si="12"/>
        <v>#DIV/0!</v>
      </c>
      <c r="I25" s="8">
        <f t="shared" ca="1" si="12"/>
        <v>0</v>
      </c>
      <c r="J25" s="2" t="e">
        <f t="shared" si="12"/>
        <v>#DIV/0!</v>
      </c>
      <c r="K25" s="8">
        <f t="shared" ca="1" si="12"/>
        <v>0</v>
      </c>
      <c r="L25" s="2" t="e">
        <f t="shared" si="12"/>
        <v>#DIV/0!</v>
      </c>
      <c r="M25" s="8">
        <f t="shared" ca="1" si="12"/>
        <v>0</v>
      </c>
      <c r="N25" s="2" t="e">
        <f t="shared" si="12"/>
        <v>#DIV/0!</v>
      </c>
      <c r="O25" s="2" t="e">
        <f t="shared" si="12"/>
        <v>#DIV/0!</v>
      </c>
      <c r="P25" s="8">
        <f t="shared" ca="1" si="12"/>
        <v>0</v>
      </c>
      <c r="Q25" s="2" t="e">
        <f t="shared" si="12"/>
        <v>#DIV/0!</v>
      </c>
      <c r="R25" s="2" t="e">
        <f t="shared" si="12"/>
        <v>#DIV/0!</v>
      </c>
      <c r="S25" s="8">
        <f t="shared" ca="1" si="12"/>
        <v>0</v>
      </c>
      <c r="T25" s="2" t="e">
        <f t="shared" si="12"/>
        <v>#DIV/0!</v>
      </c>
      <c r="U25" s="2" t="e">
        <f t="shared" si="12"/>
        <v>#DIV/0!</v>
      </c>
      <c r="V25" s="8">
        <f t="shared" ca="1" si="12"/>
        <v>0</v>
      </c>
      <c r="W25" s="2" t="e">
        <f t="shared" si="12"/>
        <v>#DIV/0!</v>
      </c>
      <c r="X25" s="2" t="e">
        <f t="shared" si="12"/>
        <v>#DIV/0!</v>
      </c>
      <c r="Y25" s="8">
        <f t="shared" ca="1" si="12"/>
        <v>0</v>
      </c>
      <c r="Z25" s="2" t="e">
        <f t="shared" si="12"/>
        <v>#DIV/0!</v>
      </c>
      <c r="AA25" s="2" t="e">
        <f t="shared" si="12"/>
        <v>#DIV/0!</v>
      </c>
      <c r="AB25" s="2" t="e">
        <f t="shared" si="12"/>
        <v>#DIV/0!</v>
      </c>
      <c r="AC25" s="8">
        <f t="shared" ca="1" si="12"/>
        <v>0</v>
      </c>
      <c r="AD25" s="2" t="e">
        <f t="shared" si="12"/>
        <v>#DIV/0!</v>
      </c>
      <c r="AE25" s="2" t="e">
        <f t="shared" si="12"/>
        <v>#DIV/0!</v>
      </c>
      <c r="AF25" s="2" t="e">
        <f t="shared" si="12"/>
        <v>#DIV/0!</v>
      </c>
      <c r="AG25" s="8">
        <f t="shared" ca="1" si="12"/>
        <v>0</v>
      </c>
      <c r="AH25" s="2" t="e">
        <f t="shared" si="12"/>
        <v>#DIV/0!</v>
      </c>
      <c r="AI25" s="2" t="e">
        <f t="shared" si="12"/>
        <v>#DIV/0!</v>
      </c>
      <c r="AJ25" s="2" t="e">
        <f t="shared" si="12"/>
        <v>#DIV/0!</v>
      </c>
    </row>
    <row r="26" spans="1:36" s="1" customFormat="1" x14ac:dyDescent="0.2">
      <c r="A26" s="1" t="s">
        <v>5</v>
      </c>
      <c r="B26" s="3">
        <f t="shared" ref="B26:AJ26" si="13">B4</f>
        <v>0</v>
      </c>
      <c r="C26" s="10">
        <f t="shared" si="13"/>
        <v>0</v>
      </c>
      <c r="D26" s="3">
        <f t="shared" si="13"/>
        <v>0</v>
      </c>
      <c r="E26" s="10">
        <f t="shared" si="13"/>
        <v>0</v>
      </c>
      <c r="F26" s="3">
        <f t="shared" si="13"/>
        <v>0</v>
      </c>
      <c r="G26" s="10">
        <f t="shared" si="13"/>
        <v>0</v>
      </c>
      <c r="H26" s="3">
        <f t="shared" si="13"/>
        <v>0</v>
      </c>
      <c r="I26" s="10">
        <f t="shared" si="13"/>
        <v>0</v>
      </c>
      <c r="J26" s="3">
        <f t="shared" si="13"/>
        <v>0</v>
      </c>
      <c r="K26" s="10">
        <f t="shared" si="13"/>
        <v>0</v>
      </c>
      <c r="L26" s="3">
        <f t="shared" si="13"/>
        <v>0</v>
      </c>
      <c r="M26" s="10">
        <f t="shared" si="13"/>
        <v>0</v>
      </c>
      <c r="N26" s="3">
        <f t="shared" si="13"/>
        <v>0</v>
      </c>
      <c r="O26" s="3">
        <f t="shared" si="13"/>
        <v>0</v>
      </c>
      <c r="P26" s="10">
        <f t="shared" si="13"/>
        <v>0</v>
      </c>
      <c r="Q26" s="3">
        <f t="shared" si="13"/>
        <v>0</v>
      </c>
      <c r="R26" s="3">
        <f t="shared" si="13"/>
        <v>0</v>
      </c>
      <c r="S26" s="10">
        <f t="shared" si="13"/>
        <v>0</v>
      </c>
      <c r="T26" s="3">
        <f t="shared" si="13"/>
        <v>0</v>
      </c>
      <c r="U26" s="3">
        <f t="shared" si="13"/>
        <v>0</v>
      </c>
      <c r="V26" s="10">
        <f t="shared" si="13"/>
        <v>0</v>
      </c>
      <c r="W26" s="3">
        <f t="shared" si="13"/>
        <v>0</v>
      </c>
      <c r="X26" s="3">
        <f t="shared" si="13"/>
        <v>0</v>
      </c>
      <c r="Y26" s="10">
        <f t="shared" si="13"/>
        <v>0</v>
      </c>
      <c r="Z26" s="3">
        <f t="shared" si="13"/>
        <v>0</v>
      </c>
      <c r="AA26" s="3">
        <f t="shared" si="13"/>
        <v>0</v>
      </c>
      <c r="AB26" s="3">
        <f t="shared" si="13"/>
        <v>0</v>
      </c>
      <c r="AC26" s="10">
        <f t="shared" si="13"/>
        <v>0</v>
      </c>
      <c r="AD26" s="3">
        <f t="shared" si="13"/>
        <v>0</v>
      </c>
      <c r="AE26" s="3">
        <f t="shared" si="13"/>
        <v>0</v>
      </c>
      <c r="AF26" s="3">
        <f t="shared" si="13"/>
        <v>0</v>
      </c>
      <c r="AG26" s="10">
        <f t="shared" si="13"/>
        <v>0</v>
      </c>
      <c r="AH26" s="3">
        <f t="shared" si="13"/>
        <v>0</v>
      </c>
      <c r="AI26" s="3">
        <f t="shared" si="13"/>
        <v>0</v>
      </c>
      <c r="AJ26" s="3">
        <f t="shared" si="13"/>
        <v>0</v>
      </c>
    </row>
    <row r="27" spans="1:36" s="1" customFormat="1" x14ac:dyDescent="0.2">
      <c r="A27" s="1" t="s">
        <v>16</v>
      </c>
      <c r="B27" s="1">
        <f>EXP(B26)</f>
        <v>1</v>
      </c>
      <c r="C27" s="11">
        <f>EXP(C26)</f>
        <v>1</v>
      </c>
      <c r="D27" s="1">
        <f>1/EXP(D26)</f>
        <v>1</v>
      </c>
      <c r="E27" s="11">
        <f>E26</f>
        <v>0</v>
      </c>
      <c r="F27" s="1">
        <f t="shared" ref="F27:H27" si="14">EXP(F26)</f>
        <v>1</v>
      </c>
      <c r="G27" s="11">
        <f>G26</f>
        <v>0</v>
      </c>
      <c r="H27" s="1">
        <f t="shared" si="14"/>
        <v>1</v>
      </c>
      <c r="I27" s="11">
        <f t="shared" ref="I27:L27" si="15">EXP(I26)</f>
        <v>1</v>
      </c>
      <c r="J27" s="1">
        <f t="shared" si="15"/>
        <v>1</v>
      </c>
      <c r="K27" s="11">
        <f t="shared" si="15"/>
        <v>1</v>
      </c>
      <c r="L27" s="1">
        <f t="shared" si="15"/>
        <v>1</v>
      </c>
      <c r="M27" s="11">
        <f>M26</f>
        <v>0</v>
      </c>
      <c r="N27" s="1">
        <f t="shared" ref="N27" si="16">EXP(N26)</f>
        <v>1</v>
      </c>
      <c r="O27" s="1">
        <f t="shared" ref="O27" si="17">O26</f>
        <v>0</v>
      </c>
      <c r="P27" s="11">
        <f>P26</f>
        <v>0</v>
      </c>
      <c r="Q27" s="1">
        <f t="shared" ref="Q27:AJ27" si="18">Q26</f>
        <v>0</v>
      </c>
      <c r="R27" s="1">
        <f t="shared" si="18"/>
        <v>0</v>
      </c>
      <c r="S27" s="11">
        <f t="shared" si="18"/>
        <v>0</v>
      </c>
      <c r="T27" s="1">
        <f t="shared" si="18"/>
        <v>0</v>
      </c>
      <c r="U27" s="1">
        <f t="shared" si="18"/>
        <v>0</v>
      </c>
      <c r="V27" s="11">
        <f t="shared" si="18"/>
        <v>0</v>
      </c>
      <c r="W27" s="1">
        <f t="shared" si="18"/>
        <v>0</v>
      </c>
      <c r="X27" s="1">
        <f t="shared" si="18"/>
        <v>0</v>
      </c>
      <c r="Y27" s="11">
        <f t="shared" si="18"/>
        <v>0</v>
      </c>
      <c r="Z27" s="1">
        <f t="shared" si="18"/>
        <v>0</v>
      </c>
      <c r="AA27" s="1">
        <f t="shared" si="18"/>
        <v>0</v>
      </c>
      <c r="AB27" s="1">
        <f t="shared" si="18"/>
        <v>0</v>
      </c>
      <c r="AC27" s="11">
        <f t="shared" si="18"/>
        <v>0</v>
      </c>
      <c r="AD27" s="1">
        <f t="shared" si="18"/>
        <v>0</v>
      </c>
      <c r="AE27" s="1">
        <f t="shared" si="18"/>
        <v>0</v>
      </c>
      <c r="AF27" s="1">
        <f t="shared" si="18"/>
        <v>0</v>
      </c>
      <c r="AG27" s="11">
        <f t="shared" si="18"/>
        <v>0</v>
      </c>
      <c r="AH27" s="1">
        <f t="shared" si="18"/>
        <v>0</v>
      </c>
      <c r="AI27" s="1">
        <f t="shared" si="18"/>
        <v>0</v>
      </c>
      <c r="AJ27" s="1">
        <f t="shared" si="18"/>
        <v>0</v>
      </c>
    </row>
    <row r="28" spans="1:36" s="1" customFormat="1" x14ac:dyDescent="0.2">
      <c r="C28" s="11"/>
      <c r="E28" s="11"/>
      <c r="G28" s="11"/>
      <c r="I28" s="11"/>
      <c r="K28" s="11"/>
      <c r="M28" s="11"/>
      <c r="P28" s="11"/>
      <c r="S28" s="11"/>
      <c r="V28" s="11"/>
      <c r="Y28" s="11"/>
      <c r="AC28" s="11"/>
      <c r="AG28" s="11"/>
    </row>
    <row r="29" spans="1:36" s="4" customFormat="1" x14ac:dyDescent="0.2">
      <c r="A29" s="4" t="s">
        <v>0</v>
      </c>
      <c r="B29" s="4" t="s">
        <v>1</v>
      </c>
      <c r="C29" s="7" t="s">
        <v>1</v>
      </c>
      <c r="E29" s="7" t="s">
        <v>1</v>
      </c>
      <c r="G29" s="7" t="s">
        <v>1</v>
      </c>
      <c r="I29" s="7" t="s">
        <v>1</v>
      </c>
      <c r="K29" s="7" t="s">
        <v>1</v>
      </c>
      <c r="M29" s="7" t="s">
        <v>1</v>
      </c>
      <c r="P29" s="7" t="s">
        <v>1</v>
      </c>
      <c r="Q29" s="4" t="s">
        <v>9</v>
      </c>
      <c r="R29" s="4" t="e">
        <f>(MAX(P9:R9)-Q9)/(MAX(P9:R9)-MIN(P9:R9))</f>
        <v>#DIV/0!</v>
      </c>
      <c r="S29" s="7" t="s">
        <v>1</v>
      </c>
      <c r="T29" s="4" t="s">
        <v>9</v>
      </c>
      <c r="U29" s="4" t="e">
        <f>(MAX(S9:U9)-T9)/(MAX(S9:U9)-MIN(S9:U9))</f>
        <v>#DIV/0!</v>
      </c>
      <c r="V29" s="7" t="s">
        <v>1</v>
      </c>
      <c r="W29" s="4" t="s">
        <v>9</v>
      </c>
      <c r="X29" s="4" t="e">
        <f>(MAX(V9:X9)-W9)/(MAX(V9:X9)-MIN(V9:X9))</f>
        <v>#DIV/0!</v>
      </c>
      <c r="Y29" s="7" t="s">
        <v>1</v>
      </c>
      <c r="Z29" s="4" t="s">
        <v>9</v>
      </c>
      <c r="AA29" s="4" t="e">
        <f>(MAX(Y9:AB9)-Z9)/(MAX(Y9:AB9)-MIN(Y9:AB9))</f>
        <v>#DIV/0!</v>
      </c>
      <c r="AB29" s="4" t="e">
        <f>(MAX(Y9:AB9)-AA9)/(MAX(Y9:AB9)-MIN(Y9:AB9))</f>
        <v>#DIV/0!</v>
      </c>
      <c r="AC29" s="7" t="s">
        <v>1</v>
      </c>
      <c r="AD29" s="4" t="s">
        <v>9</v>
      </c>
      <c r="AE29" s="4" t="e">
        <f>(MAX(AC9:AF9)-AD9)/(MAX(AC9:AF9)-MIN(AC9:AF9))</f>
        <v>#DIV/0!</v>
      </c>
      <c r="AF29" s="4" t="e">
        <f>(MAX(AC9:AF9)-AE9)/(MAX(AC9:AF9)-MIN(AC9:AF9))</f>
        <v>#DIV/0!</v>
      </c>
      <c r="AG29" s="7" t="s">
        <v>1</v>
      </c>
      <c r="AH29" s="4" t="s">
        <v>9</v>
      </c>
      <c r="AI29" s="4" t="e">
        <f>(MAX(AG9:AJ9)-AH9)/(MAX(AG9:AJ9)-MIN(AG9:AJ9))</f>
        <v>#DIV/0!</v>
      </c>
      <c r="AJ29" s="4" t="e">
        <f>(MAX(AG9:AJ9)-AI9)/(MAX(AG9:AJ9)-MIN(AG9:AJ9))</f>
        <v>#DIV/0!</v>
      </c>
    </row>
    <row r="30" spans="1:36" s="4" customFormat="1" x14ac:dyDescent="0.2">
      <c r="A30" s="4" t="s">
        <v>6</v>
      </c>
      <c r="B30" s="4">
        <f>B2</f>
        <v>0</v>
      </c>
      <c r="C30" s="7">
        <f>C2</f>
        <v>0</v>
      </c>
      <c r="E30" s="7">
        <f>E2</f>
        <v>0</v>
      </c>
      <c r="G30" s="7">
        <f>G2</f>
        <v>0</v>
      </c>
      <c r="I30" s="7">
        <f>I2</f>
        <v>0</v>
      </c>
      <c r="K30" s="7">
        <f>K2</f>
        <v>0</v>
      </c>
      <c r="M30" s="7">
        <f>M2</f>
        <v>0</v>
      </c>
      <c r="P30" s="7">
        <f>P2</f>
        <v>0</v>
      </c>
      <c r="S30" s="7">
        <f>S2</f>
        <v>0</v>
      </c>
      <c r="V30" s="7">
        <f>V2</f>
        <v>0</v>
      </c>
      <c r="Y30" s="7">
        <f>Y2</f>
        <v>0</v>
      </c>
      <c r="AC30" s="7">
        <f>AC2</f>
        <v>0</v>
      </c>
      <c r="AG30" s="7">
        <f>AG2</f>
        <v>0</v>
      </c>
    </row>
    <row r="31" spans="1:36" s="1" customFormat="1" x14ac:dyDescent="0.2">
      <c r="A31" s="3">
        <f>1/12</f>
        <v>8.3333333333333329E-2</v>
      </c>
      <c r="B31" s="1" t="s">
        <v>2</v>
      </c>
      <c r="C31" s="11" t="s">
        <v>2</v>
      </c>
      <c r="E31" s="11" t="s">
        <v>2</v>
      </c>
      <c r="G31" s="11" t="s">
        <v>2</v>
      </c>
      <c r="I31" s="11" t="s">
        <v>2</v>
      </c>
      <c r="K31" s="11" t="s">
        <v>2</v>
      </c>
      <c r="M31" s="11" t="s">
        <v>2</v>
      </c>
      <c r="P31" s="11" t="s">
        <v>8</v>
      </c>
      <c r="Q31" s="1" t="s">
        <v>2</v>
      </c>
      <c r="S31" s="11" t="s">
        <v>8</v>
      </c>
      <c r="T31" s="1" t="s">
        <v>2</v>
      </c>
      <c r="V31" s="11" t="s">
        <v>8</v>
      </c>
      <c r="W31" s="1" t="s">
        <v>2</v>
      </c>
      <c r="Y31" s="11" t="s">
        <v>8</v>
      </c>
      <c r="Z31" s="1" t="s">
        <v>2</v>
      </c>
      <c r="AC31" s="11" t="s">
        <v>8</v>
      </c>
      <c r="AD31" s="1" t="s">
        <v>2</v>
      </c>
      <c r="AG31" s="11" t="s">
        <v>8</v>
      </c>
      <c r="AH31" s="1" t="s">
        <v>2</v>
      </c>
    </row>
    <row r="32" spans="1:36" x14ac:dyDescent="0.2">
      <c r="A32" s="2">
        <v>0</v>
      </c>
      <c r="B32" s="2">
        <v>1</v>
      </c>
      <c r="C32" s="8">
        <v>1</v>
      </c>
      <c r="E32" s="8">
        <v>1</v>
      </c>
      <c r="G32" s="8">
        <v>1</v>
      </c>
      <c r="I32" s="8">
        <v>1</v>
      </c>
      <c r="K32" s="8">
        <v>1</v>
      </c>
      <c r="M32" s="8">
        <v>1</v>
      </c>
      <c r="Q32" s="2">
        <v>1</v>
      </c>
      <c r="T32" s="2">
        <v>1</v>
      </c>
      <c r="W32" s="2">
        <v>1</v>
      </c>
      <c r="Z32" s="2">
        <v>1</v>
      </c>
      <c r="AD32" s="2">
        <v>1</v>
      </c>
      <c r="AH32" s="2">
        <v>1</v>
      </c>
    </row>
    <row r="33" spans="1:34" x14ac:dyDescent="0.2">
      <c r="A33" s="2">
        <f>A32+$A$31</f>
        <v>8.3333333333333329E-2</v>
      </c>
      <c r="B33" s="2">
        <f>EXP(-$A33*$B$27)</f>
        <v>0.92004441462932329</v>
      </c>
      <c r="C33" s="8">
        <f t="shared" ref="C33:C64" si="19">EXP(-(($A33*$D$27)^$C$27))</f>
        <v>0.92004441462932329</v>
      </c>
      <c r="E33" s="8" t="e">
        <f t="shared" ref="E33:E64" si="20">EXP(-(($F$27)/$E$27)*(EXP($E$27*$A33)-1))</f>
        <v>#DIV/0!</v>
      </c>
      <c r="G33" s="8">
        <f t="shared" ref="G33:G64" si="21">1-_xlfn.NORM.S.DIST((LN($A33)-$G$27)/$H$27,TRUE)</f>
        <v>0.99352072946647285</v>
      </c>
      <c r="I33" s="8">
        <f t="shared" ref="I33:I64" si="22">1-(1/(1+($A33/($J$27))^(-$I$27)))</f>
        <v>0.92307692307692313</v>
      </c>
      <c r="K33" s="8">
        <f t="shared" ref="K33:K64" si="23">1-(_xlfn.GAMMA.DIST($L$27*$A33,$K$27,1,TRUE)*EXP(GAMMALN($K$27)))/EXP(GAMMALN($K$27))</f>
        <v>0.92004441462932329</v>
      </c>
      <c r="M33" s="8">
        <f t="shared" ref="M33:M64" si="24">IF(ABS($O$27)&lt;0.05,
        1-_xlfn.NORM.S.DIST((LN($A33)-$M$27)/$N$27,TRUE),
        IF(0=1-
            IF($O$27&gt;0,
                    _xlfn.GAMMA.DIST(EXP($O$27*((LN($A33)-$M$27)/$N$27))*($O$27^(-2)),($O$27^(-2)),1, TRUE),
                    1-_xlfn.GAMMA.DIST(EXP($O$27*((LN($A33)-$M$27)/$N$27))*($O$27^(-2)),($O$27^(-2)),1, TRUE)),
            0,
            EXP(LN(1-
                IF($O$27&gt;0,
                    _xlfn.GAMMA.DIST(EXP($O$27*((LN($A33)-$M$27)/$N$27))*($O$27^(-2)),($O$27^(-2)),1, TRUE),
                    1-_xlfn.GAMMA.DIST(EXP($O$27*((LN($A33)-$M$27)/$N$27))*($O$27^(-2)),($O$27^(-2)),1, TRUE))))))</f>
        <v>0.99352072946647285</v>
      </c>
      <c r="P33" s="8" t="e">
        <f t="shared" ref="P33:P64" si="25">P$27+
Q$27*LN($A33)+
R$27*(MAX(LN($A33)-Q$9,0)^3-R$29*MAX(LN($A33)-P$9,0)^3-(1-R$29)*MAX(LN($A33)-R$9,0)^3)</f>
        <v>#DIV/0!</v>
      </c>
      <c r="Q33" s="2" t="e">
        <f>EXP(-EXP($P33))</f>
        <v>#DIV/0!</v>
      </c>
      <c r="S33" s="8" t="e">
        <f t="shared" ref="S33:S64" si="26">S$27+
T$27*LN($A33)+
U$27*(MAX(LN($A33)-T$9,0)^3-U$29*MAX(LN($A33)-S$9,0)^3-(1-U$29)*MAX(LN($A33)-U$9,0)^3)</f>
        <v>#DIV/0!</v>
      </c>
      <c r="T33" s="2" t="e">
        <f>1-(EXP($S33)/(1 + EXP($S33)))</f>
        <v>#DIV/0!</v>
      </c>
      <c r="V33" s="8" t="e">
        <f t="shared" ref="V33:V64" si="27">V$27+
W$27*LN($A33)+
X$27*(MAX(LN($A33)-W$9,0)^3-X$29*MAX(LN($A33)-V$9,0)^3-(1-X$29)*MAX(LN($A33)-X$9,0)^3)</f>
        <v>#DIV/0!</v>
      </c>
      <c r="W33" s="2" t="e">
        <f>1-NORMSDIST($V33)</f>
        <v>#DIV/0!</v>
      </c>
      <c r="Y33" s="8" t="e">
        <f t="shared" ref="Y33:Y64" si="28">Y$27+
Z$27*LN($A33)+
AA$27*(MAX(LN($A33)-Z$9,0)^3-AA$29*MAX(LN($A33)-Y$9,0)^3-(1-AA$29)*MAX(LN($A33)-AB$9,0)^3)+
AB$27*(MAX(LN($A33)-AA$9,0)^3-AB$29*MAX(LN($A33)-Y$9,0)^3-(1-AB$29)*MAX(LN($A33)-AB$9,0)^3)</f>
        <v>#DIV/0!</v>
      </c>
      <c r="Z33" s="2" t="e">
        <f>EXP(-EXP($Y33))</f>
        <v>#DIV/0!</v>
      </c>
      <c r="AC33" s="8" t="e">
        <f t="shared" ref="AC33:AC64" si="29">AC$27+
AD$27*LN($A33)+
AE$27*(MAX(LN($A33)-AD$9,0)^3-AE$29*MAX(LN($A33)-AC$9,0)^3-(1-AE$29)*MAX(LN($A33)-AF$9,0)^3)+
AF$27*(MAX(LN($A33)-AE$9,0)^3-AF$29*MAX(LN($A33)-AC$9,0)^3-(1-AF$29)*MAX(LN($A33)-AF$9,0)^3)</f>
        <v>#DIV/0!</v>
      </c>
      <c r="AD33" s="2" t="e">
        <f>1-(EXP($AC33)/(1 + EXP($AC33)))</f>
        <v>#DIV/0!</v>
      </c>
      <c r="AG33" s="8" t="e">
        <f t="shared" ref="AG33:AG64" si="30">AG$27+
AH$27*LN($A33)+
AI$27*(MAX(LN($A33)-AH$9,0)^3-AI$29*MAX(LN($A33)-AG$9,0)^3-(1-AI$29)*MAX(LN($A33)-AJ$9,0)^3)+
AJ$27*(MAX(LN($A33)-AI$9,0)^3-AJ$29*MAX(LN($A33)-AG$9,0)^3-(1-AJ$29)*MAX(LN($A33)-AJ$9,0)^3)</f>
        <v>#DIV/0!</v>
      </c>
      <c r="AH33" s="2" t="e">
        <f>1-NORMSDIST($AG33)</f>
        <v>#DIV/0!</v>
      </c>
    </row>
    <row r="34" spans="1:34" x14ac:dyDescent="0.2">
      <c r="A34" s="2">
        <f t="shared" ref="A34:A97" si="31">A33+$A$31</f>
        <v>0.16666666666666666</v>
      </c>
      <c r="B34" s="2">
        <f t="shared" ref="B34:B97" si="32">EXP(-$A34*$B$27)</f>
        <v>0.84648172489061413</v>
      </c>
      <c r="C34" s="8">
        <f t="shared" si="19"/>
        <v>0.84648172489061413</v>
      </c>
      <c r="E34" s="8" t="e">
        <f t="shared" si="20"/>
        <v>#DIV/0!</v>
      </c>
      <c r="G34" s="8">
        <f t="shared" si="21"/>
        <v>0.96341424808295706</v>
      </c>
      <c r="I34" s="8">
        <f t="shared" si="22"/>
        <v>0.85714285714285721</v>
      </c>
      <c r="K34" s="8">
        <f t="shared" si="23"/>
        <v>0.84648172489061402</v>
      </c>
      <c r="M34" s="8">
        <f t="shared" si="24"/>
        <v>0.96341424808295706</v>
      </c>
      <c r="P34" s="8" t="e">
        <f t="shared" si="25"/>
        <v>#DIV/0!</v>
      </c>
      <c r="Q34" s="2" t="e">
        <f t="shared" ref="Q34:Q97" si="33">EXP(-EXP($P34))</f>
        <v>#DIV/0!</v>
      </c>
      <c r="S34" s="8" t="e">
        <f t="shared" si="26"/>
        <v>#DIV/0!</v>
      </c>
      <c r="T34" s="2" t="e">
        <f t="shared" ref="T34:T97" si="34">1-(EXP($S34)/(1 + EXP($S34)))</f>
        <v>#DIV/0!</v>
      </c>
      <c r="V34" s="8" t="e">
        <f t="shared" si="27"/>
        <v>#DIV/0!</v>
      </c>
      <c r="W34" s="2" t="e">
        <f t="shared" ref="W34:W97" si="35">1-NORMSDIST($V34)</f>
        <v>#DIV/0!</v>
      </c>
      <c r="Y34" s="8" t="e">
        <f t="shared" si="28"/>
        <v>#DIV/0!</v>
      </c>
      <c r="Z34" s="2" t="e">
        <f t="shared" ref="Z34:Z97" si="36">EXP(-EXP($Y34))</f>
        <v>#DIV/0!</v>
      </c>
      <c r="AC34" s="8" t="e">
        <f t="shared" si="29"/>
        <v>#DIV/0!</v>
      </c>
      <c r="AD34" s="2" t="e">
        <f t="shared" ref="AD34:AD97" si="37">1-(EXP($AC34)/(1 + EXP($AC34)))</f>
        <v>#DIV/0!</v>
      </c>
      <c r="AG34" s="8" t="e">
        <f t="shared" si="30"/>
        <v>#DIV/0!</v>
      </c>
      <c r="AH34" s="2" t="e">
        <f t="shared" ref="AH34:AH97" si="38">1-NORMSDIST($AG34)</f>
        <v>#DIV/0!</v>
      </c>
    </row>
    <row r="35" spans="1:34" x14ac:dyDescent="0.2">
      <c r="A35" s="2">
        <f t="shared" si="31"/>
        <v>0.25</v>
      </c>
      <c r="B35" s="2">
        <f t="shared" si="32"/>
        <v>0.77880078307140488</v>
      </c>
      <c r="C35" s="8">
        <f t="shared" si="19"/>
        <v>0.77880078307140488</v>
      </c>
      <c r="E35" s="8" t="e">
        <f t="shared" si="20"/>
        <v>#DIV/0!</v>
      </c>
      <c r="G35" s="8">
        <f t="shared" si="21"/>
        <v>0.91717148099830148</v>
      </c>
      <c r="I35" s="8">
        <f t="shared" si="22"/>
        <v>0.8</v>
      </c>
      <c r="K35" s="8">
        <f t="shared" si="23"/>
        <v>0.77880078307140488</v>
      </c>
      <c r="M35" s="8">
        <f t="shared" si="24"/>
        <v>0.91717148099830148</v>
      </c>
      <c r="P35" s="8" t="e">
        <f t="shared" si="25"/>
        <v>#DIV/0!</v>
      </c>
      <c r="Q35" s="2" t="e">
        <f t="shared" si="33"/>
        <v>#DIV/0!</v>
      </c>
      <c r="S35" s="8" t="e">
        <f t="shared" si="26"/>
        <v>#DIV/0!</v>
      </c>
      <c r="T35" s="2" t="e">
        <f t="shared" si="34"/>
        <v>#DIV/0!</v>
      </c>
      <c r="V35" s="8" t="e">
        <f t="shared" si="27"/>
        <v>#DIV/0!</v>
      </c>
      <c r="W35" s="2" t="e">
        <f t="shared" si="35"/>
        <v>#DIV/0!</v>
      </c>
      <c r="Y35" s="8" t="e">
        <f t="shared" si="28"/>
        <v>#DIV/0!</v>
      </c>
      <c r="Z35" s="2" t="e">
        <f t="shared" si="36"/>
        <v>#DIV/0!</v>
      </c>
      <c r="AC35" s="8" t="e">
        <f t="shared" si="29"/>
        <v>#DIV/0!</v>
      </c>
      <c r="AD35" s="2" t="e">
        <f t="shared" si="37"/>
        <v>#DIV/0!</v>
      </c>
      <c r="AG35" s="8" t="e">
        <f t="shared" si="30"/>
        <v>#DIV/0!</v>
      </c>
      <c r="AH35" s="2" t="e">
        <f t="shared" si="38"/>
        <v>#DIV/0!</v>
      </c>
    </row>
    <row r="36" spans="1:34" x14ac:dyDescent="0.2">
      <c r="A36" s="2">
        <f t="shared" si="31"/>
        <v>0.33333333333333331</v>
      </c>
      <c r="B36" s="2">
        <f t="shared" si="32"/>
        <v>0.71653131057378927</v>
      </c>
      <c r="C36" s="8">
        <f t="shared" si="19"/>
        <v>0.71653131057378927</v>
      </c>
      <c r="E36" s="8" t="e">
        <f t="shared" si="20"/>
        <v>#DIV/0!</v>
      </c>
      <c r="G36" s="8">
        <f t="shared" si="21"/>
        <v>0.86403139235857551</v>
      </c>
      <c r="I36" s="8">
        <f t="shared" si="22"/>
        <v>0.75</v>
      </c>
      <c r="K36" s="8">
        <f t="shared" si="23"/>
        <v>0.71653131057378927</v>
      </c>
      <c r="M36" s="8">
        <f t="shared" si="24"/>
        <v>0.86403139235857551</v>
      </c>
      <c r="P36" s="8" t="e">
        <f t="shared" si="25"/>
        <v>#DIV/0!</v>
      </c>
      <c r="Q36" s="2" t="e">
        <f t="shared" si="33"/>
        <v>#DIV/0!</v>
      </c>
      <c r="S36" s="8" t="e">
        <f t="shared" si="26"/>
        <v>#DIV/0!</v>
      </c>
      <c r="T36" s="2" t="e">
        <f t="shared" si="34"/>
        <v>#DIV/0!</v>
      </c>
      <c r="V36" s="8" t="e">
        <f t="shared" si="27"/>
        <v>#DIV/0!</v>
      </c>
      <c r="W36" s="2" t="e">
        <f t="shared" si="35"/>
        <v>#DIV/0!</v>
      </c>
      <c r="Y36" s="8" t="e">
        <f t="shared" si="28"/>
        <v>#DIV/0!</v>
      </c>
      <c r="Z36" s="2" t="e">
        <f t="shared" si="36"/>
        <v>#DIV/0!</v>
      </c>
      <c r="AC36" s="8" t="e">
        <f t="shared" si="29"/>
        <v>#DIV/0!</v>
      </c>
      <c r="AD36" s="2" t="e">
        <f t="shared" si="37"/>
        <v>#DIV/0!</v>
      </c>
      <c r="AG36" s="8" t="e">
        <f t="shared" si="30"/>
        <v>#DIV/0!</v>
      </c>
      <c r="AH36" s="2" t="e">
        <f t="shared" si="38"/>
        <v>#DIV/0!</v>
      </c>
    </row>
    <row r="37" spans="1:34" x14ac:dyDescent="0.2">
      <c r="A37" s="2">
        <f t="shared" si="31"/>
        <v>0.41666666666666663</v>
      </c>
      <c r="B37" s="2">
        <f t="shared" si="32"/>
        <v>0.65924063020044377</v>
      </c>
      <c r="C37" s="8">
        <f t="shared" si="19"/>
        <v>0.65924063020044377</v>
      </c>
      <c r="E37" s="8" t="e">
        <f t="shared" si="20"/>
        <v>#DIV/0!</v>
      </c>
      <c r="G37" s="8">
        <f t="shared" si="21"/>
        <v>0.8093405433351144</v>
      </c>
      <c r="I37" s="8">
        <f t="shared" si="22"/>
        <v>0.70588235294117652</v>
      </c>
      <c r="K37" s="8">
        <f t="shared" si="23"/>
        <v>0.65924063020044377</v>
      </c>
      <c r="M37" s="8">
        <f t="shared" si="24"/>
        <v>0.8093405433351144</v>
      </c>
      <c r="P37" s="8" t="e">
        <f t="shared" si="25"/>
        <v>#DIV/0!</v>
      </c>
      <c r="Q37" s="2" t="e">
        <f t="shared" si="33"/>
        <v>#DIV/0!</v>
      </c>
      <c r="S37" s="8" t="e">
        <f t="shared" si="26"/>
        <v>#DIV/0!</v>
      </c>
      <c r="T37" s="2" t="e">
        <f t="shared" si="34"/>
        <v>#DIV/0!</v>
      </c>
      <c r="V37" s="8" t="e">
        <f t="shared" si="27"/>
        <v>#DIV/0!</v>
      </c>
      <c r="W37" s="2" t="e">
        <f t="shared" si="35"/>
        <v>#DIV/0!</v>
      </c>
      <c r="Y37" s="8" t="e">
        <f t="shared" si="28"/>
        <v>#DIV/0!</v>
      </c>
      <c r="Z37" s="2" t="e">
        <f t="shared" si="36"/>
        <v>#DIV/0!</v>
      </c>
      <c r="AC37" s="8" t="e">
        <f t="shared" si="29"/>
        <v>#DIV/0!</v>
      </c>
      <c r="AD37" s="2" t="e">
        <f t="shared" si="37"/>
        <v>#DIV/0!</v>
      </c>
      <c r="AG37" s="8" t="e">
        <f t="shared" si="30"/>
        <v>#DIV/0!</v>
      </c>
      <c r="AH37" s="2" t="e">
        <f t="shared" si="38"/>
        <v>#DIV/0!</v>
      </c>
    </row>
    <row r="38" spans="1:34" x14ac:dyDescent="0.2">
      <c r="A38" s="2">
        <f t="shared" si="31"/>
        <v>0.49999999999999994</v>
      </c>
      <c r="B38" s="2">
        <f t="shared" si="32"/>
        <v>0.60653065971263342</v>
      </c>
      <c r="C38" s="8">
        <f t="shared" si="19"/>
        <v>0.60653065971263342</v>
      </c>
      <c r="E38" s="8" t="e">
        <f t="shared" si="20"/>
        <v>#DIV/0!</v>
      </c>
      <c r="G38" s="8">
        <f t="shared" si="21"/>
        <v>0.75589140421441736</v>
      </c>
      <c r="I38" s="8">
        <f t="shared" si="22"/>
        <v>0.66666666666666674</v>
      </c>
      <c r="K38" s="8">
        <f t="shared" si="23"/>
        <v>0.60653065971263342</v>
      </c>
      <c r="M38" s="8">
        <f t="shared" si="24"/>
        <v>0.75589140421441736</v>
      </c>
      <c r="P38" s="8" t="e">
        <f t="shared" si="25"/>
        <v>#DIV/0!</v>
      </c>
      <c r="Q38" s="2" t="e">
        <f t="shared" si="33"/>
        <v>#DIV/0!</v>
      </c>
      <c r="S38" s="8" t="e">
        <f t="shared" si="26"/>
        <v>#DIV/0!</v>
      </c>
      <c r="T38" s="2" t="e">
        <f t="shared" si="34"/>
        <v>#DIV/0!</v>
      </c>
      <c r="V38" s="8" t="e">
        <f t="shared" si="27"/>
        <v>#DIV/0!</v>
      </c>
      <c r="W38" s="2" t="e">
        <f t="shared" si="35"/>
        <v>#DIV/0!</v>
      </c>
      <c r="Y38" s="8" t="e">
        <f t="shared" si="28"/>
        <v>#DIV/0!</v>
      </c>
      <c r="Z38" s="2" t="e">
        <f t="shared" si="36"/>
        <v>#DIV/0!</v>
      </c>
      <c r="AC38" s="8" t="e">
        <f t="shared" si="29"/>
        <v>#DIV/0!</v>
      </c>
      <c r="AD38" s="2" t="e">
        <f t="shared" si="37"/>
        <v>#DIV/0!</v>
      </c>
      <c r="AG38" s="8" t="e">
        <f t="shared" si="30"/>
        <v>#DIV/0!</v>
      </c>
      <c r="AH38" s="2" t="e">
        <f t="shared" si="38"/>
        <v>#DIV/0!</v>
      </c>
    </row>
    <row r="39" spans="1:34" x14ac:dyDescent="0.2">
      <c r="A39" s="2">
        <f t="shared" si="31"/>
        <v>0.58333333333333326</v>
      </c>
      <c r="B39" s="2">
        <f t="shared" si="32"/>
        <v>0.55803514577004709</v>
      </c>
      <c r="C39" s="8">
        <f t="shared" si="19"/>
        <v>0.55803514577004709</v>
      </c>
      <c r="E39" s="8" t="e">
        <f t="shared" si="20"/>
        <v>#DIV/0!</v>
      </c>
      <c r="G39" s="8">
        <f t="shared" si="21"/>
        <v>0.70505536546009306</v>
      </c>
      <c r="I39" s="8">
        <f t="shared" si="22"/>
        <v>0.63157894736842102</v>
      </c>
      <c r="K39" s="8">
        <f t="shared" si="23"/>
        <v>0.55803514577004709</v>
      </c>
      <c r="M39" s="8">
        <f t="shared" si="24"/>
        <v>0.70505536546009306</v>
      </c>
      <c r="P39" s="8" t="e">
        <f t="shared" si="25"/>
        <v>#DIV/0!</v>
      </c>
      <c r="Q39" s="2" t="e">
        <f t="shared" si="33"/>
        <v>#DIV/0!</v>
      </c>
      <c r="S39" s="8" t="e">
        <f t="shared" si="26"/>
        <v>#DIV/0!</v>
      </c>
      <c r="T39" s="2" t="e">
        <f t="shared" si="34"/>
        <v>#DIV/0!</v>
      </c>
      <c r="V39" s="8" t="e">
        <f t="shared" si="27"/>
        <v>#DIV/0!</v>
      </c>
      <c r="W39" s="2" t="e">
        <f t="shared" si="35"/>
        <v>#DIV/0!</v>
      </c>
      <c r="Y39" s="8" t="e">
        <f t="shared" si="28"/>
        <v>#DIV/0!</v>
      </c>
      <c r="Z39" s="2" t="e">
        <f t="shared" si="36"/>
        <v>#DIV/0!</v>
      </c>
      <c r="AC39" s="8" t="e">
        <f t="shared" si="29"/>
        <v>#DIV/0!</v>
      </c>
      <c r="AD39" s="2" t="e">
        <f t="shared" si="37"/>
        <v>#DIV/0!</v>
      </c>
      <c r="AG39" s="8" t="e">
        <f t="shared" si="30"/>
        <v>#DIV/0!</v>
      </c>
      <c r="AH39" s="2" t="e">
        <f t="shared" si="38"/>
        <v>#DIV/0!</v>
      </c>
    </row>
    <row r="40" spans="1:34" x14ac:dyDescent="0.2">
      <c r="A40" s="2">
        <f t="shared" si="31"/>
        <v>0.66666666666666663</v>
      </c>
      <c r="B40" s="2">
        <f t="shared" si="32"/>
        <v>0.51341711903259202</v>
      </c>
      <c r="C40" s="8">
        <f t="shared" si="19"/>
        <v>0.51341711903259202</v>
      </c>
      <c r="E40" s="8" t="e">
        <f t="shared" si="20"/>
        <v>#DIV/0!</v>
      </c>
      <c r="G40" s="8">
        <f t="shared" si="21"/>
        <v>0.65743216948515415</v>
      </c>
      <c r="I40" s="8">
        <f t="shared" si="22"/>
        <v>0.6</v>
      </c>
      <c r="K40" s="8">
        <f t="shared" si="23"/>
        <v>0.51341711903259202</v>
      </c>
      <c r="M40" s="8">
        <f t="shared" si="24"/>
        <v>0.65743216948515415</v>
      </c>
      <c r="P40" s="8" t="e">
        <f t="shared" si="25"/>
        <v>#DIV/0!</v>
      </c>
      <c r="Q40" s="2" t="e">
        <f t="shared" si="33"/>
        <v>#DIV/0!</v>
      </c>
      <c r="S40" s="8" t="e">
        <f t="shared" si="26"/>
        <v>#DIV/0!</v>
      </c>
      <c r="T40" s="2" t="e">
        <f t="shared" si="34"/>
        <v>#DIV/0!</v>
      </c>
      <c r="V40" s="8" t="e">
        <f t="shared" si="27"/>
        <v>#DIV/0!</v>
      </c>
      <c r="W40" s="2" t="e">
        <f t="shared" si="35"/>
        <v>#DIV/0!</v>
      </c>
      <c r="Y40" s="8" t="e">
        <f t="shared" si="28"/>
        <v>#DIV/0!</v>
      </c>
      <c r="Z40" s="2" t="e">
        <f t="shared" si="36"/>
        <v>#DIV/0!</v>
      </c>
      <c r="AC40" s="8" t="e">
        <f t="shared" si="29"/>
        <v>#DIV/0!</v>
      </c>
      <c r="AD40" s="2" t="e">
        <f t="shared" si="37"/>
        <v>#DIV/0!</v>
      </c>
      <c r="AG40" s="8" t="e">
        <f t="shared" si="30"/>
        <v>#DIV/0!</v>
      </c>
      <c r="AH40" s="2" t="e">
        <f t="shared" si="38"/>
        <v>#DIV/0!</v>
      </c>
    </row>
    <row r="41" spans="1:34" x14ac:dyDescent="0.2">
      <c r="A41" s="2">
        <f t="shared" si="31"/>
        <v>0.75</v>
      </c>
      <c r="B41" s="2">
        <f t="shared" si="32"/>
        <v>0.47236655274101469</v>
      </c>
      <c r="C41" s="8">
        <f t="shared" si="19"/>
        <v>0.47236655274101469</v>
      </c>
      <c r="E41" s="8" t="e">
        <f t="shared" si="20"/>
        <v>#DIV/0!</v>
      </c>
      <c r="G41" s="8">
        <f t="shared" si="21"/>
        <v>0.61320494286590277</v>
      </c>
      <c r="I41" s="8">
        <f t="shared" si="22"/>
        <v>0.5714285714285714</v>
      </c>
      <c r="K41" s="8">
        <f t="shared" si="23"/>
        <v>0.47236655274101469</v>
      </c>
      <c r="M41" s="8">
        <f t="shared" si="24"/>
        <v>0.61320494286590277</v>
      </c>
      <c r="P41" s="8" t="e">
        <f t="shared" si="25"/>
        <v>#DIV/0!</v>
      </c>
      <c r="Q41" s="2" t="e">
        <f t="shared" si="33"/>
        <v>#DIV/0!</v>
      </c>
      <c r="S41" s="8" t="e">
        <f t="shared" si="26"/>
        <v>#DIV/0!</v>
      </c>
      <c r="T41" s="2" t="e">
        <f t="shared" si="34"/>
        <v>#DIV/0!</v>
      </c>
      <c r="V41" s="8" t="e">
        <f t="shared" si="27"/>
        <v>#DIV/0!</v>
      </c>
      <c r="W41" s="2" t="e">
        <f t="shared" si="35"/>
        <v>#DIV/0!</v>
      </c>
      <c r="Y41" s="8" t="e">
        <f t="shared" si="28"/>
        <v>#DIV/0!</v>
      </c>
      <c r="Z41" s="2" t="e">
        <f t="shared" si="36"/>
        <v>#DIV/0!</v>
      </c>
      <c r="AC41" s="8" t="e">
        <f t="shared" si="29"/>
        <v>#DIV/0!</v>
      </c>
      <c r="AD41" s="2" t="e">
        <f t="shared" si="37"/>
        <v>#DIV/0!</v>
      </c>
      <c r="AG41" s="8" t="e">
        <f t="shared" si="30"/>
        <v>#DIV/0!</v>
      </c>
      <c r="AH41" s="2" t="e">
        <f t="shared" si="38"/>
        <v>#DIV/0!</v>
      </c>
    </row>
    <row r="42" spans="1:34" x14ac:dyDescent="0.2">
      <c r="A42" s="2">
        <f t="shared" si="31"/>
        <v>0.83333333333333337</v>
      </c>
      <c r="B42" s="2">
        <f t="shared" si="32"/>
        <v>0.4345982085070782</v>
      </c>
      <c r="C42" s="8">
        <f t="shared" si="19"/>
        <v>0.4345982085070782</v>
      </c>
      <c r="E42" s="8" t="e">
        <f t="shared" si="20"/>
        <v>#DIV/0!</v>
      </c>
      <c r="G42" s="8">
        <f t="shared" si="21"/>
        <v>0.57233480883676835</v>
      </c>
      <c r="I42" s="8">
        <f t="shared" si="22"/>
        <v>0.54545454545454541</v>
      </c>
      <c r="K42" s="8">
        <f t="shared" si="23"/>
        <v>0.4345982085070782</v>
      </c>
      <c r="M42" s="8">
        <f t="shared" si="24"/>
        <v>0.57233480883676835</v>
      </c>
      <c r="P42" s="8" t="e">
        <f t="shared" si="25"/>
        <v>#DIV/0!</v>
      </c>
      <c r="Q42" s="2" t="e">
        <f t="shared" si="33"/>
        <v>#DIV/0!</v>
      </c>
      <c r="S42" s="8" t="e">
        <f t="shared" si="26"/>
        <v>#DIV/0!</v>
      </c>
      <c r="T42" s="2" t="e">
        <f t="shared" si="34"/>
        <v>#DIV/0!</v>
      </c>
      <c r="V42" s="8" t="e">
        <f t="shared" si="27"/>
        <v>#DIV/0!</v>
      </c>
      <c r="W42" s="2" t="e">
        <f t="shared" si="35"/>
        <v>#DIV/0!</v>
      </c>
      <c r="Y42" s="8" t="e">
        <f t="shared" si="28"/>
        <v>#DIV/0!</v>
      </c>
      <c r="Z42" s="2" t="e">
        <f t="shared" si="36"/>
        <v>#DIV/0!</v>
      </c>
      <c r="AC42" s="8" t="e">
        <f t="shared" si="29"/>
        <v>#DIV/0!</v>
      </c>
      <c r="AD42" s="2" t="e">
        <f t="shared" si="37"/>
        <v>#DIV/0!</v>
      </c>
      <c r="AG42" s="8" t="e">
        <f t="shared" si="30"/>
        <v>#DIV/0!</v>
      </c>
      <c r="AH42" s="2" t="e">
        <f t="shared" si="38"/>
        <v>#DIV/0!</v>
      </c>
    </row>
    <row r="43" spans="1:34" x14ac:dyDescent="0.2">
      <c r="A43" s="2">
        <f t="shared" si="31"/>
        <v>0.91666666666666674</v>
      </c>
      <c r="B43" s="2">
        <f t="shared" si="32"/>
        <v>0.39984965434484732</v>
      </c>
      <c r="C43" s="8">
        <f t="shared" si="19"/>
        <v>0.39984965434484732</v>
      </c>
      <c r="E43" s="8" t="e">
        <f t="shared" si="20"/>
        <v>#DIV/0!</v>
      </c>
      <c r="G43" s="8">
        <f t="shared" si="21"/>
        <v>0.53466876556118026</v>
      </c>
      <c r="I43" s="8">
        <f t="shared" si="22"/>
        <v>0.52173913043478259</v>
      </c>
      <c r="K43" s="8">
        <f t="shared" si="23"/>
        <v>0.39984965434484732</v>
      </c>
      <c r="M43" s="8">
        <f t="shared" si="24"/>
        <v>0.53466876556118026</v>
      </c>
      <c r="P43" s="8" t="e">
        <f t="shared" si="25"/>
        <v>#DIV/0!</v>
      </c>
      <c r="Q43" s="2" t="e">
        <f t="shared" si="33"/>
        <v>#DIV/0!</v>
      </c>
      <c r="S43" s="8" t="e">
        <f t="shared" si="26"/>
        <v>#DIV/0!</v>
      </c>
      <c r="T43" s="2" t="e">
        <f t="shared" si="34"/>
        <v>#DIV/0!</v>
      </c>
      <c r="V43" s="8" t="e">
        <f t="shared" si="27"/>
        <v>#DIV/0!</v>
      </c>
      <c r="W43" s="2" t="e">
        <f t="shared" si="35"/>
        <v>#DIV/0!</v>
      </c>
      <c r="Y43" s="8" t="e">
        <f t="shared" si="28"/>
        <v>#DIV/0!</v>
      </c>
      <c r="Z43" s="2" t="e">
        <f t="shared" si="36"/>
        <v>#DIV/0!</v>
      </c>
      <c r="AC43" s="8" t="e">
        <f t="shared" si="29"/>
        <v>#DIV/0!</v>
      </c>
      <c r="AD43" s="2" t="e">
        <f t="shared" si="37"/>
        <v>#DIV/0!</v>
      </c>
      <c r="AG43" s="8" t="e">
        <f t="shared" si="30"/>
        <v>#DIV/0!</v>
      </c>
      <c r="AH43" s="2" t="e">
        <f t="shared" si="38"/>
        <v>#DIV/0!</v>
      </c>
    </row>
    <row r="44" spans="1:34" x14ac:dyDescent="0.2">
      <c r="A44" s="2">
        <f t="shared" si="31"/>
        <v>1</v>
      </c>
      <c r="B44" s="2">
        <f t="shared" si="32"/>
        <v>0.36787944117144233</v>
      </c>
      <c r="C44" s="8">
        <f t="shared" si="19"/>
        <v>0.36787944117144233</v>
      </c>
      <c r="E44" s="8" t="e">
        <f t="shared" si="20"/>
        <v>#DIV/0!</v>
      </c>
      <c r="G44" s="8">
        <f t="shared" si="21"/>
        <v>0.5</v>
      </c>
      <c r="I44" s="8">
        <f t="shared" si="22"/>
        <v>0.5</v>
      </c>
      <c r="K44" s="8">
        <f t="shared" si="23"/>
        <v>0.36787944117144233</v>
      </c>
      <c r="M44" s="8">
        <f t="shared" si="24"/>
        <v>0.5</v>
      </c>
      <c r="P44" s="8" t="e">
        <f t="shared" si="25"/>
        <v>#DIV/0!</v>
      </c>
      <c r="Q44" s="2" t="e">
        <f t="shared" si="33"/>
        <v>#DIV/0!</v>
      </c>
      <c r="S44" s="8" t="e">
        <f t="shared" si="26"/>
        <v>#DIV/0!</v>
      </c>
      <c r="T44" s="2" t="e">
        <f t="shared" si="34"/>
        <v>#DIV/0!</v>
      </c>
      <c r="V44" s="8" t="e">
        <f t="shared" si="27"/>
        <v>#DIV/0!</v>
      </c>
      <c r="W44" s="2" t="e">
        <f t="shared" si="35"/>
        <v>#DIV/0!</v>
      </c>
      <c r="Y44" s="8" t="e">
        <f t="shared" si="28"/>
        <v>#DIV/0!</v>
      </c>
      <c r="Z44" s="2" t="e">
        <f t="shared" si="36"/>
        <v>#DIV/0!</v>
      </c>
      <c r="AC44" s="8" t="e">
        <f t="shared" si="29"/>
        <v>#DIV/0!</v>
      </c>
      <c r="AD44" s="2" t="e">
        <f t="shared" si="37"/>
        <v>#DIV/0!</v>
      </c>
      <c r="AG44" s="8" t="e">
        <f t="shared" si="30"/>
        <v>#DIV/0!</v>
      </c>
      <c r="AH44" s="2" t="e">
        <f t="shared" si="38"/>
        <v>#DIV/0!</v>
      </c>
    </row>
    <row r="45" spans="1:34" x14ac:dyDescent="0.2">
      <c r="A45" s="2">
        <f t="shared" si="31"/>
        <v>1.0833333333333333</v>
      </c>
      <c r="B45" s="2">
        <f t="shared" si="32"/>
        <v>0.33846542510674221</v>
      </c>
      <c r="C45" s="8">
        <f t="shared" si="19"/>
        <v>0.33846542510674221</v>
      </c>
      <c r="E45" s="8" t="e">
        <f t="shared" si="20"/>
        <v>#DIV/0!</v>
      </c>
      <c r="G45" s="8">
        <f t="shared" si="21"/>
        <v>0.46810164455248771</v>
      </c>
      <c r="I45" s="8">
        <f t="shared" si="22"/>
        <v>0.48</v>
      </c>
      <c r="K45" s="8">
        <f t="shared" si="23"/>
        <v>0.33846542510674227</v>
      </c>
      <c r="M45" s="8">
        <f t="shared" si="24"/>
        <v>0.46810164455248771</v>
      </c>
      <c r="P45" s="8" t="e">
        <f t="shared" si="25"/>
        <v>#DIV/0!</v>
      </c>
      <c r="Q45" s="2" t="e">
        <f t="shared" si="33"/>
        <v>#DIV/0!</v>
      </c>
      <c r="S45" s="8" t="e">
        <f t="shared" si="26"/>
        <v>#DIV/0!</v>
      </c>
      <c r="T45" s="2" t="e">
        <f t="shared" si="34"/>
        <v>#DIV/0!</v>
      </c>
      <c r="V45" s="8" t="e">
        <f t="shared" si="27"/>
        <v>#DIV/0!</v>
      </c>
      <c r="W45" s="2" t="e">
        <f t="shared" si="35"/>
        <v>#DIV/0!</v>
      </c>
      <c r="Y45" s="8" t="e">
        <f t="shared" si="28"/>
        <v>#DIV/0!</v>
      </c>
      <c r="Z45" s="2" t="e">
        <f t="shared" si="36"/>
        <v>#DIV/0!</v>
      </c>
      <c r="AC45" s="8" t="e">
        <f t="shared" si="29"/>
        <v>#DIV/0!</v>
      </c>
      <c r="AD45" s="2" t="e">
        <f t="shared" si="37"/>
        <v>#DIV/0!</v>
      </c>
      <c r="AG45" s="8" t="e">
        <f t="shared" si="30"/>
        <v>#DIV/0!</v>
      </c>
      <c r="AH45" s="2" t="e">
        <f t="shared" si="38"/>
        <v>#DIV/0!</v>
      </c>
    </row>
    <row r="46" spans="1:34" x14ac:dyDescent="0.2">
      <c r="A46" s="2">
        <f t="shared" si="31"/>
        <v>1.1666666666666665</v>
      </c>
      <c r="B46" s="2">
        <f t="shared" si="32"/>
        <v>0.31140322391459774</v>
      </c>
      <c r="C46" s="8">
        <f t="shared" si="19"/>
        <v>0.31140322391459774</v>
      </c>
      <c r="E46" s="8" t="e">
        <f t="shared" si="20"/>
        <v>#DIV/0!</v>
      </c>
      <c r="G46" s="8">
        <f t="shared" si="21"/>
        <v>0.4387454645331279</v>
      </c>
      <c r="I46" s="8">
        <f t="shared" si="22"/>
        <v>0.46153846153846156</v>
      </c>
      <c r="K46" s="8">
        <f t="shared" si="23"/>
        <v>0.31140322391459774</v>
      </c>
      <c r="M46" s="8">
        <f t="shared" si="24"/>
        <v>0.4387454645331279</v>
      </c>
      <c r="P46" s="8" t="e">
        <f t="shared" si="25"/>
        <v>#DIV/0!</v>
      </c>
      <c r="Q46" s="2" t="e">
        <f t="shared" si="33"/>
        <v>#DIV/0!</v>
      </c>
      <c r="S46" s="8" t="e">
        <f t="shared" si="26"/>
        <v>#DIV/0!</v>
      </c>
      <c r="T46" s="2" t="e">
        <f t="shared" si="34"/>
        <v>#DIV/0!</v>
      </c>
      <c r="V46" s="8" t="e">
        <f t="shared" si="27"/>
        <v>#DIV/0!</v>
      </c>
      <c r="W46" s="2" t="e">
        <f t="shared" si="35"/>
        <v>#DIV/0!</v>
      </c>
      <c r="Y46" s="8" t="e">
        <f t="shared" si="28"/>
        <v>#DIV/0!</v>
      </c>
      <c r="Z46" s="2" t="e">
        <f t="shared" si="36"/>
        <v>#DIV/0!</v>
      </c>
      <c r="AC46" s="8" t="e">
        <f t="shared" si="29"/>
        <v>#DIV/0!</v>
      </c>
      <c r="AD46" s="2" t="e">
        <f t="shared" si="37"/>
        <v>#DIV/0!</v>
      </c>
      <c r="AG46" s="8" t="e">
        <f t="shared" si="30"/>
        <v>#DIV/0!</v>
      </c>
      <c r="AH46" s="2" t="e">
        <f t="shared" si="38"/>
        <v>#DIV/0!</v>
      </c>
    </row>
    <row r="47" spans="1:34" x14ac:dyDescent="0.2">
      <c r="A47" s="2">
        <f t="shared" si="31"/>
        <v>1.2499999999999998</v>
      </c>
      <c r="B47" s="2">
        <f t="shared" si="32"/>
        <v>0.28650479686019015</v>
      </c>
      <c r="C47" s="8">
        <f t="shared" si="19"/>
        <v>0.28650479686019015</v>
      </c>
      <c r="E47" s="8" t="e">
        <f t="shared" si="20"/>
        <v>#DIV/0!</v>
      </c>
      <c r="G47" s="8">
        <f t="shared" si="21"/>
        <v>0.41171189185745494</v>
      </c>
      <c r="I47" s="8">
        <f t="shared" si="22"/>
        <v>0.44444444444444453</v>
      </c>
      <c r="K47" s="8">
        <f t="shared" si="23"/>
        <v>0.28650479686019015</v>
      </c>
      <c r="M47" s="8">
        <f t="shared" si="24"/>
        <v>0.41171189185745494</v>
      </c>
      <c r="P47" s="8" t="e">
        <f t="shared" si="25"/>
        <v>#DIV/0!</v>
      </c>
      <c r="Q47" s="2" t="e">
        <f t="shared" si="33"/>
        <v>#DIV/0!</v>
      </c>
      <c r="S47" s="8" t="e">
        <f t="shared" si="26"/>
        <v>#DIV/0!</v>
      </c>
      <c r="T47" s="2" t="e">
        <f t="shared" si="34"/>
        <v>#DIV/0!</v>
      </c>
      <c r="V47" s="8" t="e">
        <f t="shared" si="27"/>
        <v>#DIV/0!</v>
      </c>
      <c r="W47" s="2" t="e">
        <f t="shared" si="35"/>
        <v>#DIV/0!</v>
      </c>
      <c r="Y47" s="8" t="e">
        <f t="shared" si="28"/>
        <v>#DIV/0!</v>
      </c>
      <c r="Z47" s="2" t="e">
        <f t="shared" si="36"/>
        <v>#DIV/0!</v>
      </c>
      <c r="AC47" s="8" t="e">
        <f t="shared" si="29"/>
        <v>#DIV/0!</v>
      </c>
      <c r="AD47" s="2" t="e">
        <f t="shared" si="37"/>
        <v>#DIV/0!</v>
      </c>
      <c r="AG47" s="8" t="e">
        <f t="shared" si="30"/>
        <v>#DIV/0!</v>
      </c>
      <c r="AH47" s="2" t="e">
        <f t="shared" si="38"/>
        <v>#DIV/0!</v>
      </c>
    </row>
    <row r="48" spans="1:34" x14ac:dyDescent="0.2">
      <c r="A48" s="2">
        <f t="shared" si="31"/>
        <v>1.333333333333333</v>
      </c>
      <c r="B48" s="2">
        <f t="shared" si="32"/>
        <v>0.26359713811572683</v>
      </c>
      <c r="C48" s="8">
        <f t="shared" si="19"/>
        <v>0.26359713811572683</v>
      </c>
      <c r="E48" s="8" t="e">
        <f t="shared" si="20"/>
        <v>#DIV/0!</v>
      </c>
      <c r="G48" s="8">
        <f t="shared" si="21"/>
        <v>0.38679505713409734</v>
      </c>
      <c r="I48" s="8">
        <f t="shared" si="22"/>
        <v>0.4285714285714286</v>
      </c>
      <c r="K48" s="8">
        <f t="shared" si="23"/>
        <v>0.26359713811572683</v>
      </c>
      <c r="M48" s="8">
        <f t="shared" si="24"/>
        <v>0.38679505713409734</v>
      </c>
      <c r="P48" s="8" t="e">
        <f t="shared" si="25"/>
        <v>#DIV/0!</v>
      </c>
      <c r="Q48" s="2" t="e">
        <f t="shared" si="33"/>
        <v>#DIV/0!</v>
      </c>
      <c r="S48" s="8" t="e">
        <f t="shared" si="26"/>
        <v>#DIV/0!</v>
      </c>
      <c r="T48" s="2" t="e">
        <f t="shared" si="34"/>
        <v>#DIV/0!</v>
      </c>
      <c r="V48" s="8" t="e">
        <f t="shared" si="27"/>
        <v>#DIV/0!</v>
      </c>
      <c r="W48" s="2" t="e">
        <f t="shared" si="35"/>
        <v>#DIV/0!</v>
      </c>
      <c r="Y48" s="8" t="e">
        <f t="shared" si="28"/>
        <v>#DIV/0!</v>
      </c>
      <c r="Z48" s="2" t="e">
        <f t="shared" si="36"/>
        <v>#DIV/0!</v>
      </c>
      <c r="AC48" s="8" t="e">
        <f t="shared" si="29"/>
        <v>#DIV/0!</v>
      </c>
      <c r="AD48" s="2" t="e">
        <f t="shared" si="37"/>
        <v>#DIV/0!</v>
      </c>
      <c r="AG48" s="8" t="e">
        <f t="shared" si="30"/>
        <v>#DIV/0!</v>
      </c>
      <c r="AH48" s="2" t="e">
        <f t="shared" si="38"/>
        <v>#DIV/0!</v>
      </c>
    </row>
    <row r="49" spans="1:34" x14ac:dyDescent="0.2">
      <c r="A49" s="2">
        <f t="shared" si="31"/>
        <v>1.4166666666666663</v>
      </c>
      <c r="B49" s="2">
        <f t="shared" si="32"/>
        <v>0.24252107463564879</v>
      </c>
      <c r="C49" s="8">
        <f t="shared" si="19"/>
        <v>0.24252107463564879</v>
      </c>
      <c r="E49" s="8" t="e">
        <f t="shared" si="20"/>
        <v>#DIV/0!</v>
      </c>
      <c r="G49" s="8">
        <f t="shared" si="21"/>
        <v>0.36380493347416765</v>
      </c>
      <c r="I49" s="8">
        <f t="shared" si="22"/>
        <v>0.41379310344827591</v>
      </c>
      <c r="K49" s="8">
        <f t="shared" si="23"/>
        <v>0.24252107463564876</v>
      </c>
      <c r="M49" s="8">
        <f t="shared" si="24"/>
        <v>0.36380493347416765</v>
      </c>
      <c r="P49" s="8" t="e">
        <f t="shared" si="25"/>
        <v>#DIV/0!</v>
      </c>
      <c r="Q49" s="2" t="e">
        <f t="shared" si="33"/>
        <v>#DIV/0!</v>
      </c>
      <c r="S49" s="8" t="e">
        <f t="shared" si="26"/>
        <v>#DIV/0!</v>
      </c>
      <c r="T49" s="2" t="e">
        <f t="shared" si="34"/>
        <v>#DIV/0!</v>
      </c>
      <c r="V49" s="8" t="e">
        <f t="shared" si="27"/>
        <v>#DIV/0!</v>
      </c>
      <c r="W49" s="2" t="e">
        <f t="shared" si="35"/>
        <v>#DIV/0!</v>
      </c>
      <c r="Y49" s="8" t="e">
        <f t="shared" si="28"/>
        <v>#DIV/0!</v>
      </c>
      <c r="Z49" s="2" t="e">
        <f t="shared" si="36"/>
        <v>#DIV/0!</v>
      </c>
      <c r="AC49" s="8" t="e">
        <f t="shared" si="29"/>
        <v>#DIV/0!</v>
      </c>
      <c r="AD49" s="2" t="e">
        <f t="shared" si="37"/>
        <v>#DIV/0!</v>
      </c>
      <c r="AG49" s="8" t="e">
        <f t="shared" si="30"/>
        <v>#DIV/0!</v>
      </c>
      <c r="AH49" s="2" t="e">
        <f t="shared" si="38"/>
        <v>#DIV/0!</v>
      </c>
    </row>
    <row r="50" spans="1:34" x14ac:dyDescent="0.2">
      <c r="A50" s="2">
        <f t="shared" si="31"/>
        <v>1.4999999999999996</v>
      </c>
      <c r="B50" s="2">
        <f t="shared" si="32"/>
        <v>0.22313016014842993</v>
      </c>
      <c r="C50" s="8">
        <f t="shared" si="19"/>
        <v>0.22313016014842993</v>
      </c>
      <c r="E50" s="8" t="e">
        <f t="shared" si="20"/>
        <v>#DIV/0!</v>
      </c>
      <c r="G50" s="8">
        <f t="shared" si="21"/>
        <v>0.34256783051484596</v>
      </c>
      <c r="I50" s="8">
        <f t="shared" si="22"/>
        <v>0.40000000000000013</v>
      </c>
      <c r="K50" s="8">
        <f t="shared" si="23"/>
        <v>0.2231301601484299</v>
      </c>
      <c r="M50" s="8">
        <f t="shared" si="24"/>
        <v>0.34256783051484596</v>
      </c>
      <c r="P50" s="8" t="e">
        <f t="shared" si="25"/>
        <v>#DIV/0!</v>
      </c>
      <c r="Q50" s="2" t="e">
        <f t="shared" si="33"/>
        <v>#DIV/0!</v>
      </c>
      <c r="S50" s="8" t="e">
        <f t="shared" si="26"/>
        <v>#DIV/0!</v>
      </c>
      <c r="T50" s="2" t="e">
        <f t="shared" si="34"/>
        <v>#DIV/0!</v>
      </c>
      <c r="V50" s="8" t="e">
        <f t="shared" si="27"/>
        <v>#DIV/0!</v>
      </c>
      <c r="W50" s="2" t="e">
        <f t="shared" si="35"/>
        <v>#DIV/0!</v>
      </c>
      <c r="Y50" s="8" t="e">
        <f t="shared" si="28"/>
        <v>#DIV/0!</v>
      </c>
      <c r="Z50" s="2" t="e">
        <f t="shared" si="36"/>
        <v>#DIV/0!</v>
      </c>
      <c r="AC50" s="8" t="e">
        <f t="shared" si="29"/>
        <v>#DIV/0!</v>
      </c>
      <c r="AD50" s="2" t="e">
        <f t="shared" si="37"/>
        <v>#DIV/0!</v>
      </c>
      <c r="AG50" s="8" t="e">
        <f t="shared" si="30"/>
        <v>#DIV/0!</v>
      </c>
      <c r="AH50" s="2" t="e">
        <f t="shared" si="38"/>
        <v>#DIV/0!</v>
      </c>
    </row>
    <row r="51" spans="1:34" x14ac:dyDescent="0.2">
      <c r="A51" s="2">
        <f t="shared" si="31"/>
        <v>1.5833333333333328</v>
      </c>
      <c r="B51" s="2">
        <f t="shared" si="32"/>
        <v>0.20528965757990938</v>
      </c>
      <c r="C51" s="8">
        <f t="shared" si="19"/>
        <v>0.20528965757990938</v>
      </c>
      <c r="E51" s="8" t="e">
        <f t="shared" si="20"/>
        <v>#DIV/0!</v>
      </c>
      <c r="G51" s="8">
        <f t="shared" si="21"/>
        <v>0.32292597074484819</v>
      </c>
      <c r="I51" s="8">
        <f t="shared" si="22"/>
        <v>0.38709677419354849</v>
      </c>
      <c r="K51" s="8">
        <f t="shared" si="23"/>
        <v>0.20528965757990936</v>
      </c>
      <c r="M51" s="8">
        <f t="shared" si="24"/>
        <v>0.32292597074484819</v>
      </c>
      <c r="P51" s="8" t="e">
        <f t="shared" si="25"/>
        <v>#DIV/0!</v>
      </c>
      <c r="Q51" s="2" t="e">
        <f t="shared" si="33"/>
        <v>#DIV/0!</v>
      </c>
      <c r="S51" s="8" t="e">
        <f t="shared" si="26"/>
        <v>#DIV/0!</v>
      </c>
      <c r="T51" s="2" t="e">
        <f t="shared" si="34"/>
        <v>#DIV/0!</v>
      </c>
      <c r="V51" s="8" t="e">
        <f t="shared" si="27"/>
        <v>#DIV/0!</v>
      </c>
      <c r="W51" s="2" t="e">
        <f t="shared" si="35"/>
        <v>#DIV/0!</v>
      </c>
      <c r="Y51" s="8" t="e">
        <f t="shared" si="28"/>
        <v>#DIV/0!</v>
      </c>
      <c r="Z51" s="2" t="e">
        <f t="shared" si="36"/>
        <v>#DIV/0!</v>
      </c>
      <c r="AC51" s="8" t="e">
        <f t="shared" si="29"/>
        <v>#DIV/0!</v>
      </c>
      <c r="AD51" s="2" t="e">
        <f t="shared" si="37"/>
        <v>#DIV/0!</v>
      </c>
      <c r="AG51" s="8" t="e">
        <f t="shared" si="30"/>
        <v>#DIV/0!</v>
      </c>
      <c r="AH51" s="2" t="e">
        <f t="shared" si="38"/>
        <v>#DIV/0!</v>
      </c>
    </row>
    <row r="52" spans="1:34" x14ac:dyDescent="0.2">
      <c r="A52" s="2">
        <f t="shared" si="31"/>
        <v>1.6666666666666661</v>
      </c>
      <c r="B52" s="2">
        <f t="shared" si="32"/>
        <v>0.18887560283756194</v>
      </c>
      <c r="C52" s="8">
        <f t="shared" si="19"/>
        <v>0.18887560283756194</v>
      </c>
      <c r="E52" s="8" t="e">
        <f t="shared" si="20"/>
        <v>#DIV/0!</v>
      </c>
      <c r="G52" s="8">
        <f t="shared" si="21"/>
        <v>0.30473658251023183</v>
      </c>
      <c r="I52" s="8">
        <f t="shared" si="22"/>
        <v>0.375</v>
      </c>
      <c r="K52" s="8">
        <f t="shared" si="23"/>
        <v>0.188875602837562</v>
      </c>
      <c r="M52" s="8">
        <f t="shared" si="24"/>
        <v>0.30473658251023183</v>
      </c>
      <c r="P52" s="8" t="e">
        <f t="shared" si="25"/>
        <v>#DIV/0!</v>
      </c>
      <c r="Q52" s="2" t="e">
        <f t="shared" si="33"/>
        <v>#DIV/0!</v>
      </c>
      <c r="S52" s="8" t="e">
        <f t="shared" si="26"/>
        <v>#DIV/0!</v>
      </c>
      <c r="T52" s="2" t="e">
        <f t="shared" si="34"/>
        <v>#DIV/0!</v>
      </c>
      <c r="V52" s="8" t="e">
        <f t="shared" si="27"/>
        <v>#DIV/0!</v>
      </c>
      <c r="W52" s="2" t="e">
        <f t="shared" si="35"/>
        <v>#DIV/0!</v>
      </c>
      <c r="Y52" s="8" t="e">
        <f t="shared" si="28"/>
        <v>#DIV/0!</v>
      </c>
      <c r="Z52" s="2" t="e">
        <f t="shared" si="36"/>
        <v>#DIV/0!</v>
      </c>
      <c r="AC52" s="8" t="e">
        <f t="shared" si="29"/>
        <v>#DIV/0!</v>
      </c>
      <c r="AD52" s="2" t="e">
        <f t="shared" si="37"/>
        <v>#DIV/0!</v>
      </c>
      <c r="AG52" s="8" t="e">
        <f t="shared" si="30"/>
        <v>#DIV/0!</v>
      </c>
      <c r="AH52" s="2" t="e">
        <f t="shared" si="38"/>
        <v>#DIV/0!</v>
      </c>
    </row>
    <row r="53" spans="1:34" x14ac:dyDescent="0.2">
      <c r="A53" s="2">
        <f t="shared" si="31"/>
        <v>1.7499999999999993</v>
      </c>
      <c r="B53" s="2">
        <f t="shared" si="32"/>
        <v>0.17377394345044525</v>
      </c>
      <c r="C53" s="8">
        <f t="shared" si="19"/>
        <v>0.17377394345044525</v>
      </c>
      <c r="E53" s="8" t="e">
        <f t="shared" si="20"/>
        <v>#DIV/0!</v>
      </c>
      <c r="G53" s="8">
        <f t="shared" si="21"/>
        <v>0.28787076684992507</v>
      </c>
      <c r="I53" s="8">
        <f t="shared" si="22"/>
        <v>0.36363636363636376</v>
      </c>
      <c r="K53" s="8">
        <f t="shared" si="23"/>
        <v>0.17377394345044528</v>
      </c>
      <c r="M53" s="8">
        <f t="shared" si="24"/>
        <v>0.28787076684992507</v>
      </c>
      <c r="P53" s="8" t="e">
        <f t="shared" si="25"/>
        <v>#DIV/0!</v>
      </c>
      <c r="Q53" s="2" t="e">
        <f t="shared" si="33"/>
        <v>#DIV/0!</v>
      </c>
      <c r="S53" s="8" t="e">
        <f t="shared" si="26"/>
        <v>#DIV/0!</v>
      </c>
      <c r="T53" s="2" t="e">
        <f t="shared" si="34"/>
        <v>#DIV/0!</v>
      </c>
      <c r="V53" s="8" t="e">
        <f t="shared" si="27"/>
        <v>#DIV/0!</v>
      </c>
      <c r="W53" s="2" t="e">
        <f t="shared" si="35"/>
        <v>#DIV/0!</v>
      </c>
      <c r="Y53" s="8" t="e">
        <f t="shared" si="28"/>
        <v>#DIV/0!</v>
      </c>
      <c r="Z53" s="2" t="e">
        <f t="shared" si="36"/>
        <v>#DIV/0!</v>
      </c>
      <c r="AC53" s="8" t="e">
        <f t="shared" si="29"/>
        <v>#DIV/0!</v>
      </c>
      <c r="AD53" s="2" t="e">
        <f t="shared" si="37"/>
        <v>#DIV/0!</v>
      </c>
      <c r="AG53" s="8" t="e">
        <f t="shared" si="30"/>
        <v>#DIV/0!</v>
      </c>
      <c r="AH53" s="2" t="e">
        <f t="shared" si="38"/>
        <v>#DIV/0!</v>
      </c>
    </row>
    <row r="54" spans="1:34" x14ac:dyDescent="0.2">
      <c r="A54" s="2">
        <f t="shared" si="31"/>
        <v>1.8333333333333326</v>
      </c>
      <c r="B54" s="2">
        <f t="shared" si="32"/>
        <v>0.15987974607969402</v>
      </c>
      <c r="C54" s="8">
        <f t="shared" si="19"/>
        <v>0.15987974607969402</v>
      </c>
      <c r="E54" s="8" t="e">
        <f t="shared" si="20"/>
        <v>#DIV/0!</v>
      </c>
      <c r="G54" s="8">
        <f t="shared" si="21"/>
        <v>0.27221228880193415</v>
      </c>
      <c r="I54" s="8">
        <f t="shared" si="22"/>
        <v>0.35294117647058831</v>
      </c>
      <c r="K54" s="8">
        <f t="shared" si="23"/>
        <v>0.15987974607969402</v>
      </c>
      <c r="M54" s="8">
        <f t="shared" si="24"/>
        <v>0.27221228880193415</v>
      </c>
      <c r="P54" s="8" t="e">
        <f t="shared" si="25"/>
        <v>#DIV/0!</v>
      </c>
      <c r="Q54" s="2" t="e">
        <f t="shared" si="33"/>
        <v>#DIV/0!</v>
      </c>
      <c r="S54" s="8" t="e">
        <f t="shared" si="26"/>
        <v>#DIV/0!</v>
      </c>
      <c r="T54" s="2" t="e">
        <f t="shared" si="34"/>
        <v>#DIV/0!</v>
      </c>
      <c r="V54" s="8" t="e">
        <f t="shared" si="27"/>
        <v>#DIV/0!</v>
      </c>
      <c r="W54" s="2" t="e">
        <f t="shared" si="35"/>
        <v>#DIV/0!</v>
      </c>
      <c r="Y54" s="8" t="e">
        <f t="shared" si="28"/>
        <v>#DIV/0!</v>
      </c>
      <c r="Z54" s="2" t="e">
        <f t="shared" si="36"/>
        <v>#DIV/0!</v>
      </c>
      <c r="AC54" s="8" t="e">
        <f t="shared" si="29"/>
        <v>#DIV/0!</v>
      </c>
      <c r="AD54" s="2" t="e">
        <f t="shared" si="37"/>
        <v>#DIV/0!</v>
      </c>
      <c r="AG54" s="8" t="e">
        <f t="shared" si="30"/>
        <v>#DIV/0!</v>
      </c>
      <c r="AH54" s="2" t="e">
        <f t="shared" si="38"/>
        <v>#DIV/0!</v>
      </c>
    </row>
    <row r="55" spans="1:34" x14ac:dyDescent="0.2">
      <c r="A55" s="2">
        <f t="shared" si="31"/>
        <v>1.9166666666666659</v>
      </c>
      <c r="B55" s="2">
        <f t="shared" si="32"/>
        <v>0.14709646739297694</v>
      </c>
      <c r="C55" s="8">
        <f t="shared" si="19"/>
        <v>0.14709646739297694</v>
      </c>
      <c r="E55" s="8" t="e">
        <f t="shared" si="20"/>
        <v>#DIV/0!</v>
      </c>
      <c r="G55" s="8">
        <f t="shared" si="21"/>
        <v>0.25765637942693465</v>
      </c>
      <c r="I55" s="8">
        <f t="shared" si="22"/>
        <v>0.34285714285714286</v>
      </c>
      <c r="K55" s="8">
        <f t="shared" si="23"/>
        <v>0.14709646739297688</v>
      </c>
      <c r="M55" s="8">
        <f t="shared" si="24"/>
        <v>0.25765637942693465</v>
      </c>
      <c r="P55" s="8" t="e">
        <f t="shared" si="25"/>
        <v>#DIV/0!</v>
      </c>
      <c r="Q55" s="2" t="e">
        <f t="shared" si="33"/>
        <v>#DIV/0!</v>
      </c>
      <c r="S55" s="8" t="e">
        <f t="shared" si="26"/>
        <v>#DIV/0!</v>
      </c>
      <c r="T55" s="2" t="e">
        <f t="shared" si="34"/>
        <v>#DIV/0!</v>
      </c>
      <c r="V55" s="8" t="e">
        <f t="shared" si="27"/>
        <v>#DIV/0!</v>
      </c>
      <c r="W55" s="2" t="e">
        <f t="shared" si="35"/>
        <v>#DIV/0!</v>
      </c>
      <c r="Y55" s="8" t="e">
        <f t="shared" si="28"/>
        <v>#DIV/0!</v>
      </c>
      <c r="Z55" s="2" t="e">
        <f t="shared" si="36"/>
        <v>#DIV/0!</v>
      </c>
      <c r="AC55" s="8" t="e">
        <f t="shared" si="29"/>
        <v>#DIV/0!</v>
      </c>
      <c r="AD55" s="2" t="e">
        <f t="shared" si="37"/>
        <v>#DIV/0!</v>
      </c>
      <c r="AG55" s="8" t="e">
        <f t="shared" si="30"/>
        <v>#DIV/0!</v>
      </c>
      <c r="AH55" s="2" t="e">
        <f t="shared" si="38"/>
        <v>#DIV/0!</v>
      </c>
    </row>
    <row r="56" spans="1:34" x14ac:dyDescent="0.2">
      <c r="A56" s="2">
        <f t="shared" si="31"/>
        <v>1.9999999999999991</v>
      </c>
      <c r="B56" s="2">
        <f t="shared" si="32"/>
        <v>0.13533528323661281</v>
      </c>
      <c r="C56" s="8">
        <f t="shared" si="19"/>
        <v>0.13533528323661281</v>
      </c>
      <c r="E56" s="8" t="e">
        <f t="shared" si="20"/>
        <v>#DIV/0!</v>
      </c>
      <c r="G56" s="8">
        <f t="shared" si="21"/>
        <v>0.24410859578558286</v>
      </c>
      <c r="I56" s="8">
        <f t="shared" si="22"/>
        <v>0.33333333333333348</v>
      </c>
      <c r="K56" s="8">
        <f t="shared" si="23"/>
        <v>0.13533528323661281</v>
      </c>
      <c r="M56" s="8">
        <f t="shared" si="24"/>
        <v>0.24410859578558286</v>
      </c>
      <c r="P56" s="8" t="e">
        <f t="shared" si="25"/>
        <v>#DIV/0!</v>
      </c>
      <c r="Q56" s="2" t="e">
        <f t="shared" si="33"/>
        <v>#DIV/0!</v>
      </c>
      <c r="S56" s="8" t="e">
        <f t="shared" si="26"/>
        <v>#DIV/0!</v>
      </c>
      <c r="T56" s="2" t="e">
        <f t="shared" si="34"/>
        <v>#DIV/0!</v>
      </c>
      <c r="V56" s="8" t="e">
        <f t="shared" si="27"/>
        <v>#DIV/0!</v>
      </c>
      <c r="W56" s="2" t="e">
        <f t="shared" si="35"/>
        <v>#DIV/0!</v>
      </c>
      <c r="Y56" s="8" t="e">
        <f t="shared" si="28"/>
        <v>#DIV/0!</v>
      </c>
      <c r="Z56" s="2" t="e">
        <f t="shared" si="36"/>
        <v>#DIV/0!</v>
      </c>
      <c r="AC56" s="8" t="e">
        <f t="shared" si="29"/>
        <v>#DIV/0!</v>
      </c>
      <c r="AD56" s="2" t="e">
        <f t="shared" si="37"/>
        <v>#DIV/0!</v>
      </c>
      <c r="AG56" s="8" t="e">
        <f t="shared" si="30"/>
        <v>#DIV/0!</v>
      </c>
      <c r="AH56" s="2" t="e">
        <f t="shared" si="38"/>
        <v>#DIV/0!</v>
      </c>
    </row>
    <row r="57" spans="1:34" x14ac:dyDescent="0.2">
      <c r="A57" s="2">
        <f t="shared" si="31"/>
        <v>2.0833333333333326</v>
      </c>
      <c r="B57" s="2">
        <f t="shared" si="32"/>
        <v>0.12451447144412307</v>
      </c>
      <c r="C57" s="8">
        <f t="shared" si="19"/>
        <v>0.12451447144412307</v>
      </c>
      <c r="E57" s="8" t="e">
        <f t="shared" si="20"/>
        <v>#DIV/0!</v>
      </c>
      <c r="G57" s="8">
        <f t="shared" si="21"/>
        <v>0.23148376254423575</v>
      </c>
      <c r="I57" s="8">
        <f t="shared" si="22"/>
        <v>0.32432432432432445</v>
      </c>
      <c r="K57" s="8">
        <f t="shared" si="23"/>
        <v>0.12451447144412309</v>
      </c>
      <c r="M57" s="8">
        <f t="shared" si="24"/>
        <v>0.23148376254423575</v>
      </c>
      <c r="P57" s="8" t="e">
        <f t="shared" si="25"/>
        <v>#DIV/0!</v>
      </c>
      <c r="Q57" s="2" t="e">
        <f t="shared" si="33"/>
        <v>#DIV/0!</v>
      </c>
      <c r="S57" s="8" t="e">
        <f t="shared" si="26"/>
        <v>#DIV/0!</v>
      </c>
      <c r="T57" s="2" t="e">
        <f t="shared" si="34"/>
        <v>#DIV/0!</v>
      </c>
      <c r="V57" s="8" t="e">
        <f t="shared" si="27"/>
        <v>#DIV/0!</v>
      </c>
      <c r="W57" s="2" t="e">
        <f t="shared" si="35"/>
        <v>#DIV/0!</v>
      </c>
      <c r="Y57" s="8" t="e">
        <f t="shared" si="28"/>
        <v>#DIV/0!</v>
      </c>
      <c r="Z57" s="2" t="e">
        <f t="shared" si="36"/>
        <v>#DIV/0!</v>
      </c>
      <c r="AC57" s="8" t="e">
        <f t="shared" si="29"/>
        <v>#DIV/0!</v>
      </c>
      <c r="AD57" s="2" t="e">
        <f t="shared" si="37"/>
        <v>#DIV/0!</v>
      </c>
      <c r="AG57" s="8" t="e">
        <f t="shared" si="30"/>
        <v>#DIV/0!</v>
      </c>
      <c r="AH57" s="2" t="e">
        <f t="shared" si="38"/>
        <v>#DIV/0!</v>
      </c>
    </row>
    <row r="58" spans="1:34" x14ac:dyDescent="0.2">
      <c r="A58" s="2">
        <f t="shared" si="31"/>
        <v>2.1666666666666661</v>
      </c>
      <c r="B58" s="2">
        <f t="shared" si="32"/>
        <v>0.11455884399268779</v>
      </c>
      <c r="C58" s="8">
        <f t="shared" si="19"/>
        <v>0.11455884399268779</v>
      </c>
      <c r="E58" s="8" t="e">
        <f t="shared" si="20"/>
        <v>#DIV/0!</v>
      </c>
      <c r="G58" s="8">
        <f t="shared" si="21"/>
        <v>0.21970500479146426</v>
      </c>
      <c r="I58" s="8">
        <f t="shared" si="22"/>
        <v>0.31578947368421062</v>
      </c>
      <c r="K58" s="8">
        <f t="shared" si="23"/>
        <v>0.11455884399268779</v>
      </c>
      <c r="M58" s="8">
        <f t="shared" si="24"/>
        <v>0.21970500479146426</v>
      </c>
      <c r="P58" s="8" t="e">
        <f t="shared" si="25"/>
        <v>#DIV/0!</v>
      </c>
      <c r="Q58" s="2" t="e">
        <f t="shared" si="33"/>
        <v>#DIV/0!</v>
      </c>
      <c r="S58" s="8" t="e">
        <f t="shared" si="26"/>
        <v>#DIV/0!</v>
      </c>
      <c r="T58" s="2" t="e">
        <f t="shared" si="34"/>
        <v>#DIV/0!</v>
      </c>
      <c r="V58" s="8" t="e">
        <f t="shared" si="27"/>
        <v>#DIV/0!</v>
      </c>
      <c r="W58" s="2" t="e">
        <f t="shared" si="35"/>
        <v>#DIV/0!</v>
      </c>
      <c r="Y58" s="8" t="e">
        <f t="shared" si="28"/>
        <v>#DIV/0!</v>
      </c>
      <c r="Z58" s="2" t="e">
        <f t="shared" si="36"/>
        <v>#DIV/0!</v>
      </c>
      <c r="AC58" s="8" t="e">
        <f t="shared" si="29"/>
        <v>#DIV/0!</v>
      </c>
      <c r="AD58" s="2" t="e">
        <f t="shared" si="37"/>
        <v>#DIV/0!</v>
      </c>
      <c r="AG58" s="8" t="e">
        <f t="shared" si="30"/>
        <v>#DIV/0!</v>
      </c>
      <c r="AH58" s="2" t="e">
        <f t="shared" si="38"/>
        <v>#DIV/0!</v>
      </c>
    </row>
    <row r="59" spans="1:34" x14ac:dyDescent="0.2">
      <c r="A59" s="2">
        <f t="shared" si="31"/>
        <v>2.2499999999999996</v>
      </c>
      <c r="B59" s="2">
        <f t="shared" si="32"/>
        <v>0.10539922456186439</v>
      </c>
      <c r="C59" s="8">
        <f t="shared" si="19"/>
        <v>0.10539922456186439</v>
      </c>
      <c r="E59" s="8" t="e">
        <f t="shared" si="20"/>
        <v>#DIV/0!</v>
      </c>
      <c r="G59" s="8">
        <f t="shared" si="21"/>
        <v>0.20870287338447135</v>
      </c>
      <c r="I59" s="8">
        <f t="shared" si="22"/>
        <v>0.30769230769230782</v>
      </c>
      <c r="K59" s="8">
        <f t="shared" si="23"/>
        <v>0.10539922456186435</v>
      </c>
      <c r="M59" s="8">
        <f t="shared" si="24"/>
        <v>0.20870287338447135</v>
      </c>
      <c r="P59" s="8" t="e">
        <f t="shared" si="25"/>
        <v>#DIV/0!</v>
      </c>
      <c r="Q59" s="2" t="e">
        <f t="shared" si="33"/>
        <v>#DIV/0!</v>
      </c>
      <c r="S59" s="8" t="e">
        <f t="shared" si="26"/>
        <v>#DIV/0!</v>
      </c>
      <c r="T59" s="2" t="e">
        <f t="shared" si="34"/>
        <v>#DIV/0!</v>
      </c>
      <c r="V59" s="8" t="e">
        <f t="shared" si="27"/>
        <v>#DIV/0!</v>
      </c>
      <c r="W59" s="2" t="e">
        <f t="shared" si="35"/>
        <v>#DIV/0!</v>
      </c>
      <c r="Y59" s="8" t="e">
        <f t="shared" si="28"/>
        <v>#DIV/0!</v>
      </c>
      <c r="Z59" s="2" t="e">
        <f t="shared" si="36"/>
        <v>#DIV/0!</v>
      </c>
      <c r="AC59" s="8" t="e">
        <f t="shared" si="29"/>
        <v>#DIV/0!</v>
      </c>
      <c r="AD59" s="2" t="e">
        <f t="shared" si="37"/>
        <v>#DIV/0!</v>
      </c>
      <c r="AG59" s="8" t="e">
        <f t="shared" si="30"/>
        <v>#DIV/0!</v>
      </c>
      <c r="AH59" s="2" t="e">
        <f t="shared" si="38"/>
        <v>#DIV/0!</v>
      </c>
    </row>
    <row r="60" spans="1:34" x14ac:dyDescent="0.2">
      <c r="A60" s="2">
        <f t="shared" si="31"/>
        <v>2.333333333333333</v>
      </c>
      <c r="B60" s="2">
        <f t="shared" si="32"/>
        <v>9.6971967864405095E-2</v>
      </c>
      <c r="C60" s="8">
        <f t="shared" si="19"/>
        <v>9.6971967864405095E-2</v>
      </c>
      <c r="E60" s="8" t="e">
        <f t="shared" si="20"/>
        <v>#DIV/0!</v>
      </c>
      <c r="G60" s="8">
        <f t="shared" si="21"/>
        <v>0.19841455947264197</v>
      </c>
      <c r="I60" s="8">
        <f t="shared" si="22"/>
        <v>0.30000000000000004</v>
      </c>
      <c r="K60" s="8">
        <f t="shared" si="23"/>
        <v>9.6971967864405095E-2</v>
      </c>
      <c r="M60" s="8">
        <f t="shared" si="24"/>
        <v>0.19841455947264197</v>
      </c>
      <c r="P60" s="8" t="e">
        <f t="shared" si="25"/>
        <v>#DIV/0!</v>
      </c>
      <c r="Q60" s="2" t="e">
        <f t="shared" si="33"/>
        <v>#DIV/0!</v>
      </c>
      <c r="S60" s="8" t="e">
        <f t="shared" si="26"/>
        <v>#DIV/0!</v>
      </c>
      <c r="T60" s="2" t="e">
        <f t="shared" si="34"/>
        <v>#DIV/0!</v>
      </c>
      <c r="V60" s="8" t="e">
        <f t="shared" si="27"/>
        <v>#DIV/0!</v>
      </c>
      <c r="W60" s="2" t="e">
        <f t="shared" si="35"/>
        <v>#DIV/0!</v>
      </c>
      <c r="Y60" s="8" t="e">
        <f t="shared" si="28"/>
        <v>#DIV/0!</v>
      </c>
      <c r="Z60" s="2" t="e">
        <f t="shared" si="36"/>
        <v>#DIV/0!</v>
      </c>
      <c r="AC60" s="8" t="e">
        <f t="shared" si="29"/>
        <v>#DIV/0!</v>
      </c>
      <c r="AD60" s="2" t="e">
        <f t="shared" si="37"/>
        <v>#DIV/0!</v>
      </c>
      <c r="AG60" s="8" t="e">
        <f t="shared" si="30"/>
        <v>#DIV/0!</v>
      </c>
      <c r="AH60" s="2" t="e">
        <f t="shared" si="38"/>
        <v>#DIV/0!</v>
      </c>
    </row>
    <row r="61" spans="1:34" x14ac:dyDescent="0.2">
      <c r="A61" s="2">
        <f t="shared" si="31"/>
        <v>2.4166666666666665</v>
      </c>
      <c r="B61" s="2">
        <f t="shared" si="32"/>
        <v>8.9218517409260109E-2</v>
      </c>
      <c r="C61" s="8">
        <f t="shared" si="19"/>
        <v>8.9218517409260109E-2</v>
      </c>
      <c r="E61" s="8" t="e">
        <f t="shared" si="20"/>
        <v>#DIV/0!</v>
      </c>
      <c r="G61" s="8">
        <f t="shared" si="21"/>
        <v>0.18878319237896202</v>
      </c>
      <c r="I61" s="8">
        <f t="shared" si="22"/>
        <v>0.29268292682926822</v>
      </c>
      <c r="K61" s="8">
        <f t="shared" si="23"/>
        <v>8.9218517409260123E-2</v>
      </c>
      <c r="M61" s="8">
        <f t="shared" si="24"/>
        <v>0.18878319237896202</v>
      </c>
      <c r="P61" s="8" t="e">
        <f t="shared" si="25"/>
        <v>#DIV/0!</v>
      </c>
      <c r="Q61" s="2" t="e">
        <f t="shared" si="33"/>
        <v>#DIV/0!</v>
      </c>
      <c r="S61" s="8" t="e">
        <f t="shared" si="26"/>
        <v>#DIV/0!</v>
      </c>
      <c r="T61" s="2" t="e">
        <f t="shared" si="34"/>
        <v>#DIV/0!</v>
      </c>
      <c r="V61" s="8" t="e">
        <f t="shared" si="27"/>
        <v>#DIV/0!</v>
      </c>
      <c r="W61" s="2" t="e">
        <f t="shared" si="35"/>
        <v>#DIV/0!</v>
      </c>
      <c r="Y61" s="8" t="e">
        <f t="shared" si="28"/>
        <v>#DIV/0!</v>
      </c>
      <c r="Z61" s="2" t="e">
        <f t="shared" si="36"/>
        <v>#DIV/0!</v>
      </c>
      <c r="AC61" s="8" t="e">
        <f t="shared" si="29"/>
        <v>#DIV/0!</v>
      </c>
      <c r="AD61" s="2" t="e">
        <f t="shared" si="37"/>
        <v>#DIV/0!</v>
      </c>
      <c r="AG61" s="8" t="e">
        <f t="shared" si="30"/>
        <v>#DIV/0!</v>
      </c>
      <c r="AH61" s="2" t="e">
        <f t="shared" si="38"/>
        <v>#DIV/0!</v>
      </c>
    </row>
    <row r="62" spans="1:34" x14ac:dyDescent="0.2">
      <c r="A62" s="2">
        <f t="shared" si="31"/>
        <v>2.5</v>
      </c>
      <c r="B62" s="2">
        <f t="shared" si="32"/>
        <v>8.20849986238988E-2</v>
      </c>
      <c r="C62" s="8">
        <f t="shared" si="19"/>
        <v>8.20849986238988E-2</v>
      </c>
      <c r="E62" s="8" t="e">
        <f t="shared" si="20"/>
        <v>#DIV/0!</v>
      </c>
      <c r="G62" s="8">
        <f t="shared" si="21"/>
        <v>0.17975721389578536</v>
      </c>
      <c r="I62" s="8">
        <f t="shared" si="22"/>
        <v>0.2857142857142857</v>
      </c>
      <c r="K62" s="8">
        <f t="shared" si="23"/>
        <v>8.2084998623898842E-2</v>
      </c>
      <c r="M62" s="8">
        <f t="shared" si="24"/>
        <v>0.17975721389578536</v>
      </c>
      <c r="P62" s="8" t="e">
        <f t="shared" si="25"/>
        <v>#DIV/0!</v>
      </c>
      <c r="Q62" s="2" t="e">
        <f t="shared" si="33"/>
        <v>#DIV/0!</v>
      </c>
      <c r="S62" s="8" t="e">
        <f t="shared" si="26"/>
        <v>#DIV/0!</v>
      </c>
      <c r="T62" s="2" t="e">
        <f t="shared" si="34"/>
        <v>#DIV/0!</v>
      </c>
      <c r="V62" s="8" t="e">
        <f t="shared" si="27"/>
        <v>#DIV/0!</v>
      </c>
      <c r="W62" s="2" t="e">
        <f t="shared" si="35"/>
        <v>#DIV/0!</v>
      </c>
      <c r="Y62" s="8" t="e">
        <f t="shared" si="28"/>
        <v>#DIV/0!</v>
      </c>
      <c r="Z62" s="2" t="e">
        <f t="shared" si="36"/>
        <v>#DIV/0!</v>
      </c>
      <c r="AC62" s="8" t="e">
        <f t="shared" si="29"/>
        <v>#DIV/0!</v>
      </c>
      <c r="AD62" s="2" t="e">
        <f t="shared" si="37"/>
        <v>#DIV/0!</v>
      </c>
      <c r="AG62" s="8" t="e">
        <f t="shared" si="30"/>
        <v>#DIV/0!</v>
      </c>
      <c r="AH62" s="2" t="e">
        <f t="shared" si="38"/>
        <v>#DIV/0!</v>
      </c>
    </row>
    <row r="63" spans="1:34" x14ac:dyDescent="0.2">
      <c r="A63" s="2">
        <f t="shared" si="31"/>
        <v>2.5833333333333335</v>
      </c>
      <c r="B63" s="2">
        <f t="shared" si="32"/>
        <v>7.5521844508773764E-2</v>
      </c>
      <c r="C63" s="8">
        <f t="shared" si="19"/>
        <v>7.5521844508773764E-2</v>
      </c>
      <c r="E63" s="8" t="e">
        <f t="shared" si="20"/>
        <v>#DIV/0!</v>
      </c>
      <c r="G63" s="8">
        <f t="shared" si="21"/>
        <v>0.17128982173014684</v>
      </c>
      <c r="I63" s="8">
        <f t="shared" si="22"/>
        <v>0.27906976744186052</v>
      </c>
      <c r="K63" s="8">
        <f t="shared" si="23"/>
        <v>7.552184450877375E-2</v>
      </c>
      <c r="M63" s="8">
        <f t="shared" si="24"/>
        <v>0.17128982173014684</v>
      </c>
      <c r="P63" s="8" t="e">
        <f t="shared" si="25"/>
        <v>#DIV/0!</v>
      </c>
      <c r="Q63" s="2" t="e">
        <f t="shared" si="33"/>
        <v>#DIV/0!</v>
      </c>
      <c r="S63" s="8" t="e">
        <f t="shared" si="26"/>
        <v>#DIV/0!</v>
      </c>
      <c r="T63" s="2" t="e">
        <f t="shared" si="34"/>
        <v>#DIV/0!</v>
      </c>
      <c r="V63" s="8" t="e">
        <f t="shared" si="27"/>
        <v>#DIV/0!</v>
      </c>
      <c r="W63" s="2" t="e">
        <f t="shared" si="35"/>
        <v>#DIV/0!</v>
      </c>
      <c r="Y63" s="8" t="e">
        <f t="shared" si="28"/>
        <v>#DIV/0!</v>
      </c>
      <c r="Z63" s="2" t="e">
        <f t="shared" si="36"/>
        <v>#DIV/0!</v>
      </c>
      <c r="AC63" s="8" t="e">
        <f t="shared" si="29"/>
        <v>#DIV/0!</v>
      </c>
      <c r="AD63" s="2" t="e">
        <f t="shared" si="37"/>
        <v>#DIV/0!</v>
      </c>
      <c r="AG63" s="8" t="e">
        <f t="shared" si="30"/>
        <v>#DIV/0!</v>
      </c>
      <c r="AH63" s="2" t="e">
        <f t="shared" si="38"/>
        <v>#DIV/0!</v>
      </c>
    </row>
    <row r="64" spans="1:34" x14ac:dyDescent="0.2">
      <c r="A64" s="2">
        <f t="shared" si="31"/>
        <v>2.666666666666667</v>
      </c>
      <c r="B64" s="2">
        <f t="shared" si="32"/>
        <v>6.9483451222801515E-2</v>
      </c>
      <c r="C64" s="8">
        <f t="shared" si="19"/>
        <v>6.9483451222801515E-2</v>
      </c>
      <c r="E64" s="8" t="e">
        <f t="shared" si="20"/>
        <v>#DIV/0!</v>
      </c>
      <c r="G64" s="8">
        <f t="shared" si="21"/>
        <v>0.16333847497860055</v>
      </c>
      <c r="I64" s="8">
        <f t="shared" si="22"/>
        <v>0.27272727272727271</v>
      </c>
      <c r="K64" s="8">
        <f t="shared" si="23"/>
        <v>6.9483451222801529E-2</v>
      </c>
      <c r="M64" s="8">
        <f t="shared" si="24"/>
        <v>0.16333847497860055</v>
      </c>
      <c r="P64" s="8" t="e">
        <f t="shared" si="25"/>
        <v>#DIV/0!</v>
      </c>
      <c r="Q64" s="2" t="e">
        <f t="shared" si="33"/>
        <v>#DIV/0!</v>
      </c>
      <c r="S64" s="8" t="e">
        <f t="shared" si="26"/>
        <v>#DIV/0!</v>
      </c>
      <c r="T64" s="2" t="e">
        <f t="shared" si="34"/>
        <v>#DIV/0!</v>
      </c>
      <c r="V64" s="8" t="e">
        <f t="shared" si="27"/>
        <v>#DIV/0!</v>
      </c>
      <c r="W64" s="2" t="e">
        <f t="shared" si="35"/>
        <v>#DIV/0!</v>
      </c>
      <c r="Y64" s="8" t="e">
        <f t="shared" si="28"/>
        <v>#DIV/0!</v>
      </c>
      <c r="Z64" s="2" t="e">
        <f t="shared" si="36"/>
        <v>#DIV/0!</v>
      </c>
      <c r="AC64" s="8" t="e">
        <f t="shared" si="29"/>
        <v>#DIV/0!</v>
      </c>
      <c r="AD64" s="2" t="e">
        <f t="shared" si="37"/>
        <v>#DIV/0!</v>
      </c>
      <c r="AG64" s="8" t="e">
        <f t="shared" si="30"/>
        <v>#DIV/0!</v>
      </c>
      <c r="AH64" s="2" t="e">
        <f t="shared" si="38"/>
        <v>#DIV/0!</v>
      </c>
    </row>
    <row r="65" spans="1:34" x14ac:dyDescent="0.2">
      <c r="A65" s="2">
        <f t="shared" si="31"/>
        <v>2.7500000000000004</v>
      </c>
      <c r="B65" s="2">
        <f t="shared" si="32"/>
        <v>6.3927861206707542E-2</v>
      </c>
      <c r="C65" s="8">
        <f t="shared" ref="C65:C96" si="39">EXP(-(($A65*$D$27)^$C$27))</f>
        <v>6.3927861206707542E-2</v>
      </c>
      <c r="E65" s="8" t="e">
        <f t="shared" ref="E65:E96" si="40">EXP(-(($F$27)/$E$27)*(EXP($E$27*$A65)-1))</f>
        <v>#DIV/0!</v>
      </c>
      <c r="G65" s="8">
        <f t="shared" ref="G65:G96" si="41">1-_xlfn.NORM.S.DIST((LN($A65)-$G$27)/$H$27,TRUE)</f>
        <v>0.15586445491256917</v>
      </c>
      <c r="I65" s="8">
        <f t="shared" ref="I65:I96" si="42">1-(1/(1+($A65/($J$27))^(-$I$27)))</f>
        <v>0.26666666666666661</v>
      </c>
      <c r="K65" s="8">
        <f t="shared" ref="K65:K96" si="43">1-(_xlfn.GAMMA.DIST($L$27*$A65,$K$27,1,TRUE)*EXP(GAMMALN($K$27)))/EXP(GAMMALN($K$27))</f>
        <v>6.392786120670757E-2</v>
      </c>
      <c r="M65" s="8">
        <f t="shared" ref="M65:M96" si="44">IF(ABS($O$27)&lt;0.05,
        1-_xlfn.NORM.S.DIST((LN($A65)-$M$27)/$N$27,TRUE),
        IF(0=1-
            IF($O$27&gt;0,
                    _xlfn.GAMMA.DIST(EXP($O$27*((LN($A65)-$M$27)/$N$27))*($O$27^(-2)),($O$27^(-2)),1, TRUE),
                    1-_xlfn.GAMMA.DIST(EXP($O$27*((LN($A65)-$M$27)/$N$27))*($O$27^(-2)),($O$27^(-2)),1, TRUE)),
            0,
            EXP(LN(1-
                IF($O$27&gt;0,
                    _xlfn.GAMMA.DIST(EXP($O$27*((LN($A65)-$M$27)/$N$27))*($O$27^(-2)),($O$27^(-2)),1, TRUE),
                    1-_xlfn.GAMMA.DIST(EXP($O$27*((LN($A65)-$M$27)/$N$27))*($O$27^(-2)),($O$27^(-2)),1, TRUE))))))</f>
        <v>0.15586445491256917</v>
      </c>
      <c r="P65" s="8" t="e">
        <f t="shared" ref="P65:P96" si="45">P$27+
Q$27*LN($A65)+
R$27*(MAX(LN($A65)-Q$9,0)^3-R$29*MAX(LN($A65)-P$9,0)^3-(1-R$29)*MAX(LN($A65)-R$9,0)^3)</f>
        <v>#DIV/0!</v>
      </c>
      <c r="Q65" s="2" t="e">
        <f t="shared" si="33"/>
        <v>#DIV/0!</v>
      </c>
      <c r="S65" s="8" t="e">
        <f t="shared" ref="S65:S96" si="46">S$27+
T$27*LN($A65)+
U$27*(MAX(LN($A65)-T$9,0)^3-U$29*MAX(LN($A65)-S$9,0)^3-(1-U$29)*MAX(LN($A65)-U$9,0)^3)</f>
        <v>#DIV/0!</v>
      </c>
      <c r="T65" s="2" t="e">
        <f t="shared" si="34"/>
        <v>#DIV/0!</v>
      </c>
      <c r="V65" s="8" t="e">
        <f t="shared" ref="V65:V96" si="47">V$27+
W$27*LN($A65)+
X$27*(MAX(LN($A65)-W$9,0)^3-X$29*MAX(LN($A65)-V$9,0)^3-(1-X$29)*MAX(LN($A65)-X$9,0)^3)</f>
        <v>#DIV/0!</v>
      </c>
      <c r="W65" s="2" t="e">
        <f t="shared" si="35"/>
        <v>#DIV/0!</v>
      </c>
      <c r="Y65" s="8" t="e">
        <f t="shared" ref="Y65:Y96" si="48">Y$27+
Z$27*LN($A65)+
AA$27*(MAX(LN($A65)-Z$9,0)^3-AA$29*MAX(LN($A65)-Y$9,0)^3-(1-AA$29)*MAX(LN($A65)-AB$9,0)^3)+
AB$27*(MAX(LN($A65)-AA$9,0)^3-AB$29*MAX(LN($A65)-Y$9,0)^3-(1-AB$29)*MAX(LN($A65)-AB$9,0)^3)</f>
        <v>#DIV/0!</v>
      </c>
      <c r="Z65" s="2" t="e">
        <f t="shared" si="36"/>
        <v>#DIV/0!</v>
      </c>
      <c r="AC65" s="8" t="e">
        <f t="shared" ref="AC65:AC96" si="49">AC$27+
AD$27*LN($A65)+
AE$27*(MAX(LN($A65)-AD$9,0)^3-AE$29*MAX(LN($A65)-AC$9,0)^3-(1-AE$29)*MAX(LN($A65)-AF$9,0)^3)+
AF$27*(MAX(LN($A65)-AE$9,0)^3-AF$29*MAX(LN($A65)-AC$9,0)^3-(1-AF$29)*MAX(LN($A65)-AF$9,0)^3)</f>
        <v>#DIV/0!</v>
      </c>
      <c r="AD65" s="2" t="e">
        <f t="shared" si="37"/>
        <v>#DIV/0!</v>
      </c>
      <c r="AG65" s="8" t="e">
        <f t="shared" ref="AG65:AG96" si="50">AG$27+
AH$27*LN($A65)+
AI$27*(MAX(LN($A65)-AH$9,0)^3-AI$29*MAX(LN($A65)-AG$9,0)^3-(1-AI$29)*MAX(LN($A65)-AJ$9,0)^3)+
AJ$27*(MAX(LN($A65)-AI$9,0)^3-AJ$29*MAX(LN($A65)-AG$9,0)^3-(1-AJ$29)*MAX(LN($A65)-AJ$9,0)^3)</f>
        <v>#DIV/0!</v>
      </c>
      <c r="AH65" s="2" t="e">
        <f t="shared" si="38"/>
        <v>#DIV/0!</v>
      </c>
    </row>
    <row r="66" spans="1:34" x14ac:dyDescent="0.2">
      <c r="A66" s="2">
        <f t="shared" si="31"/>
        <v>2.8333333333333339</v>
      </c>
      <c r="B66" s="2">
        <f t="shared" si="32"/>
        <v>5.8816471642429854E-2</v>
      </c>
      <c r="C66" s="8">
        <f t="shared" si="39"/>
        <v>5.8816471642429854E-2</v>
      </c>
      <c r="E66" s="8" t="e">
        <f t="shared" si="40"/>
        <v>#DIV/0!</v>
      </c>
      <c r="G66" s="8">
        <f t="shared" si="41"/>
        <v>0.14883247488282902</v>
      </c>
      <c r="I66" s="8">
        <f t="shared" si="42"/>
        <v>0.26086956521739124</v>
      </c>
      <c r="K66" s="8">
        <f t="shared" si="43"/>
        <v>5.8816471642429868E-2</v>
      </c>
      <c r="M66" s="8">
        <f t="shared" si="44"/>
        <v>0.14883247488282902</v>
      </c>
      <c r="P66" s="8" t="e">
        <f t="shared" si="45"/>
        <v>#DIV/0!</v>
      </c>
      <c r="Q66" s="2" t="e">
        <f t="shared" si="33"/>
        <v>#DIV/0!</v>
      </c>
      <c r="S66" s="8" t="e">
        <f t="shared" si="46"/>
        <v>#DIV/0!</v>
      </c>
      <c r="T66" s="2" t="e">
        <f t="shared" si="34"/>
        <v>#DIV/0!</v>
      </c>
      <c r="V66" s="8" t="e">
        <f t="shared" si="47"/>
        <v>#DIV/0!</v>
      </c>
      <c r="W66" s="2" t="e">
        <f t="shared" si="35"/>
        <v>#DIV/0!</v>
      </c>
      <c r="Y66" s="8" t="e">
        <f t="shared" si="48"/>
        <v>#DIV/0!</v>
      </c>
      <c r="Z66" s="2" t="e">
        <f t="shared" si="36"/>
        <v>#DIV/0!</v>
      </c>
      <c r="AC66" s="8" t="e">
        <f t="shared" si="49"/>
        <v>#DIV/0!</v>
      </c>
      <c r="AD66" s="2" t="e">
        <f t="shared" si="37"/>
        <v>#DIV/0!</v>
      </c>
      <c r="AG66" s="8" t="e">
        <f t="shared" si="50"/>
        <v>#DIV/0!</v>
      </c>
      <c r="AH66" s="2" t="e">
        <f t="shared" si="38"/>
        <v>#DIV/0!</v>
      </c>
    </row>
    <row r="67" spans="1:34" x14ac:dyDescent="0.2">
      <c r="A67" s="2">
        <f t="shared" si="31"/>
        <v>2.9166666666666674</v>
      </c>
      <c r="B67" s="2">
        <f t="shared" si="32"/>
        <v>5.411376622282156E-2</v>
      </c>
      <c r="C67" s="8">
        <f t="shared" si="39"/>
        <v>5.411376622282156E-2</v>
      </c>
      <c r="E67" s="8" t="e">
        <f t="shared" si="40"/>
        <v>#DIV/0!</v>
      </c>
      <c r="G67" s="8">
        <f t="shared" si="41"/>
        <v>0.14221033372714587</v>
      </c>
      <c r="I67" s="8">
        <f t="shared" si="42"/>
        <v>0.25531914893617014</v>
      </c>
      <c r="K67" s="8">
        <f t="shared" si="43"/>
        <v>5.4113766222821602E-2</v>
      </c>
      <c r="M67" s="8">
        <f t="shared" si="44"/>
        <v>0.14221033372714587</v>
      </c>
      <c r="P67" s="8" t="e">
        <f t="shared" si="45"/>
        <v>#DIV/0!</v>
      </c>
      <c r="Q67" s="2" t="e">
        <f t="shared" si="33"/>
        <v>#DIV/0!</v>
      </c>
      <c r="S67" s="8" t="e">
        <f t="shared" si="46"/>
        <v>#DIV/0!</v>
      </c>
      <c r="T67" s="2" t="e">
        <f t="shared" si="34"/>
        <v>#DIV/0!</v>
      </c>
      <c r="V67" s="8" t="e">
        <f t="shared" si="47"/>
        <v>#DIV/0!</v>
      </c>
      <c r="W67" s="2" t="e">
        <f t="shared" si="35"/>
        <v>#DIV/0!</v>
      </c>
      <c r="Y67" s="8" t="e">
        <f t="shared" si="48"/>
        <v>#DIV/0!</v>
      </c>
      <c r="Z67" s="2" t="e">
        <f t="shared" si="36"/>
        <v>#DIV/0!</v>
      </c>
      <c r="AC67" s="8" t="e">
        <f t="shared" si="49"/>
        <v>#DIV/0!</v>
      </c>
      <c r="AD67" s="2" t="e">
        <f t="shared" si="37"/>
        <v>#DIV/0!</v>
      </c>
      <c r="AG67" s="8" t="e">
        <f t="shared" si="50"/>
        <v>#DIV/0!</v>
      </c>
      <c r="AH67" s="2" t="e">
        <f t="shared" si="38"/>
        <v>#DIV/0!</v>
      </c>
    </row>
    <row r="68" spans="1:34" x14ac:dyDescent="0.2">
      <c r="A68" s="2">
        <f t="shared" si="31"/>
        <v>3.0000000000000009</v>
      </c>
      <c r="B68" s="2">
        <f t="shared" si="32"/>
        <v>4.9787068367863896E-2</v>
      </c>
      <c r="C68" s="8">
        <f t="shared" si="39"/>
        <v>4.9787068367863896E-2</v>
      </c>
      <c r="E68" s="8" t="e">
        <f t="shared" si="40"/>
        <v>#DIV/0!</v>
      </c>
      <c r="G68" s="8">
        <f t="shared" si="41"/>
        <v>0.13596860764142438</v>
      </c>
      <c r="I68" s="8">
        <f t="shared" si="42"/>
        <v>0.25</v>
      </c>
      <c r="K68" s="8">
        <f t="shared" si="43"/>
        <v>4.978706836786384E-2</v>
      </c>
      <c r="M68" s="8">
        <f t="shared" si="44"/>
        <v>0.13596860764142438</v>
      </c>
      <c r="P68" s="8" t="e">
        <f t="shared" si="45"/>
        <v>#DIV/0!</v>
      </c>
      <c r="Q68" s="2" t="e">
        <f t="shared" si="33"/>
        <v>#DIV/0!</v>
      </c>
      <c r="S68" s="8" t="e">
        <f t="shared" si="46"/>
        <v>#DIV/0!</v>
      </c>
      <c r="T68" s="2" t="e">
        <f t="shared" si="34"/>
        <v>#DIV/0!</v>
      </c>
      <c r="V68" s="8" t="e">
        <f t="shared" si="47"/>
        <v>#DIV/0!</v>
      </c>
      <c r="W68" s="2" t="e">
        <f t="shared" si="35"/>
        <v>#DIV/0!</v>
      </c>
      <c r="Y68" s="8" t="e">
        <f t="shared" si="48"/>
        <v>#DIV/0!</v>
      </c>
      <c r="Z68" s="2" t="e">
        <f t="shared" si="36"/>
        <v>#DIV/0!</v>
      </c>
      <c r="AC68" s="8" t="e">
        <f t="shared" si="49"/>
        <v>#DIV/0!</v>
      </c>
      <c r="AD68" s="2" t="e">
        <f t="shared" si="37"/>
        <v>#DIV/0!</v>
      </c>
      <c r="AG68" s="8" t="e">
        <f t="shared" si="50"/>
        <v>#DIV/0!</v>
      </c>
      <c r="AH68" s="2" t="e">
        <f t="shared" si="38"/>
        <v>#DIV/0!</v>
      </c>
    </row>
    <row r="69" spans="1:34" x14ac:dyDescent="0.2">
      <c r="A69" s="2">
        <f t="shared" si="31"/>
        <v>3.0833333333333344</v>
      </c>
      <c r="B69" s="2">
        <f t="shared" si="32"/>
        <v>4.5806314172621432E-2</v>
      </c>
      <c r="C69" s="8">
        <f t="shared" si="39"/>
        <v>4.5806314172621432E-2</v>
      </c>
      <c r="E69" s="8" t="e">
        <f t="shared" si="40"/>
        <v>#DIV/0!</v>
      </c>
      <c r="G69" s="8">
        <f t="shared" si="41"/>
        <v>0.13008037602547573</v>
      </c>
      <c r="I69" s="8">
        <f t="shared" si="42"/>
        <v>0.24489795918367341</v>
      </c>
      <c r="K69" s="8">
        <f t="shared" si="43"/>
        <v>4.5806314172621487E-2</v>
      </c>
      <c r="M69" s="8">
        <f t="shared" si="44"/>
        <v>0.13008037602547573</v>
      </c>
      <c r="P69" s="8" t="e">
        <f t="shared" si="45"/>
        <v>#DIV/0!</v>
      </c>
      <c r="Q69" s="2" t="e">
        <f t="shared" si="33"/>
        <v>#DIV/0!</v>
      </c>
      <c r="S69" s="8" t="e">
        <f t="shared" si="46"/>
        <v>#DIV/0!</v>
      </c>
      <c r="T69" s="2" t="e">
        <f t="shared" si="34"/>
        <v>#DIV/0!</v>
      </c>
      <c r="V69" s="8" t="e">
        <f t="shared" si="47"/>
        <v>#DIV/0!</v>
      </c>
      <c r="W69" s="2" t="e">
        <f t="shared" si="35"/>
        <v>#DIV/0!</v>
      </c>
      <c r="Y69" s="8" t="e">
        <f t="shared" si="48"/>
        <v>#DIV/0!</v>
      </c>
      <c r="Z69" s="2" t="e">
        <f t="shared" si="36"/>
        <v>#DIV/0!</v>
      </c>
      <c r="AC69" s="8" t="e">
        <f t="shared" si="49"/>
        <v>#DIV/0!</v>
      </c>
      <c r="AD69" s="2" t="e">
        <f t="shared" si="37"/>
        <v>#DIV/0!</v>
      </c>
      <c r="AG69" s="8" t="e">
        <f t="shared" si="50"/>
        <v>#DIV/0!</v>
      </c>
      <c r="AH69" s="2" t="e">
        <f t="shared" si="38"/>
        <v>#DIV/0!</v>
      </c>
    </row>
    <row r="70" spans="1:34" x14ac:dyDescent="0.2">
      <c r="A70" s="2">
        <f t="shared" si="31"/>
        <v>3.1666666666666679</v>
      </c>
      <c r="B70" s="2">
        <f t="shared" si="32"/>
        <v>4.2143843509276351E-2</v>
      </c>
      <c r="C70" s="8">
        <f t="shared" si="39"/>
        <v>4.2143843509276351E-2</v>
      </c>
      <c r="E70" s="8" t="e">
        <f t="shared" si="40"/>
        <v>#DIV/0!</v>
      </c>
      <c r="G70" s="8">
        <f t="shared" si="41"/>
        <v>0.12452097732570455</v>
      </c>
      <c r="I70" s="8">
        <f t="shared" si="42"/>
        <v>0.23999999999999988</v>
      </c>
      <c r="K70" s="8">
        <f t="shared" si="43"/>
        <v>4.2143843509276357E-2</v>
      </c>
      <c r="M70" s="8">
        <f t="shared" si="44"/>
        <v>0.12452097732570455</v>
      </c>
      <c r="P70" s="8" t="e">
        <f t="shared" si="45"/>
        <v>#DIV/0!</v>
      </c>
      <c r="Q70" s="2" t="e">
        <f t="shared" si="33"/>
        <v>#DIV/0!</v>
      </c>
      <c r="S70" s="8" t="e">
        <f t="shared" si="46"/>
        <v>#DIV/0!</v>
      </c>
      <c r="T70" s="2" t="e">
        <f t="shared" si="34"/>
        <v>#DIV/0!</v>
      </c>
      <c r="V70" s="8" t="e">
        <f t="shared" si="47"/>
        <v>#DIV/0!</v>
      </c>
      <c r="W70" s="2" t="e">
        <f t="shared" si="35"/>
        <v>#DIV/0!</v>
      </c>
      <c r="Y70" s="8" t="e">
        <f t="shared" si="48"/>
        <v>#DIV/0!</v>
      </c>
      <c r="Z70" s="2" t="e">
        <f t="shared" si="36"/>
        <v>#DIV/0!</v>
      </c>
      <c r="AC70" s="8" t="e">
        <f t="shared" si="49"/>
        <v>#DIV/0!</v>
      </c>
      <c r="AD70" s="2" t="e">
        <f t="shared" si="37"/>
        <v>#DIV/0!</v>
      </c>
      <c r="AG70" s="8" t="e">
        <f t="shared" si="50"/>
        <v>#DIV/0!</v>
      </c>
      <c r="AH70" s="2" t="e">
        <f t="shared" si="38"/>
        <v>#DIV/0!</v>
      </c>
    </row>
    <row r="71" spans="1:34" x14ac:dyDescent="0.2">
      <c r="A71" s="2">
        <f t="shared" si="31"/>
        <v>3.2500000000000013</v>
      </c>
      <c r="B71" s="2">
        <f t="shared" si="32"/>
        <v>3.877420783172196E-2</v>
      </c>
      <c r="C71" s="8">
        <f t="shared" si="39"/>
        <v>3.877420783172196E-2</v>
      </c>
      <c r="E71" s="8" t="e">
        <f t="shared" si="40"/>
        <v>#DIV/0!</v>
      </c>
      <c r="G71" s="8">
        <f t="shared" si="41"/>
        <v>0.11926779136256527</v>
      </c>
      <c r="I71" s="8">
        <f t="shared" si="42"/>
        <v>0.23529411764705865</v>
      </c>
      <c r="K71" s="8">
        <f t="shared" si="43"/>
        <v>3.8774207831721919E-2</v>
      </c>
      <c r="M71" s="8">
        <f t="shared" si="44"/>
        <v>0.11926779136256527</v>
      </c>
      <c r="P71" s="8" t="e">
        <f t="shared" si="45"/>
        <v>#DIV/0!</v>
      </c>
      <c r="Q71" s="2" t="e">
        <f t="shared" si="33"/>
        <v>#DIV/0!</v>
      </c>
      <c r="S71" s="8" t="e">
        <f t="shared" si="46"/>
        <v>#DIV/0!</v>
      </c>
      <c r="T71" s="2" t="e">
        <f t="shared" si="34"/>
        <v>#DIV/0!</v>
      </c>
      <c r="V71" s="8" t="e">
        <f t="shared" si="47"/>
        <v>#DIV/0!</v>
      </c>
      <c r="W71" s="2" t="e">
        <f t="shared" si="35"/>
        <v>#DIV/0!</v>
      </c>
      <c r="Y71" s="8" t="e">
        <f t="shared" si="48"/>
        <v>#DIV/0!</v>
      </c>
      <c r="Z71" s="2" t="e">
        <f t="shared" si="36"/>
        <v>#DIV/0!</v>
      </c>
      <c r="AC71" s="8" t="e">
        <f t="shared" si="49"/>
        <v>#DIV/0!</v>
      </c>
      <c r="AD71" s="2" t="e">
        <f t="shared" si="37"/>
        <v>#DIV/0!</v>
      </c>
      <c r="AG71" s="8" t="e">
        <f t="shared" si="50"/>
        <v>#DIV/0!</v>
      </c>
      <c r="AH71" s="2" t="e">
        <f t="shared" si="38"/>
        <v>#DIV/0!</v>
      </c>
    </row>
    <row r="72" spans="1:34" x14ac:dyDescent="0.2">
      <c r="A72" s="2">
        <f t="shared" si="31"/>
        <v>3.3333333333333348</v>
      </c>
      <c r="B72" s="2">
        <f t="shared" si="32"/>
        <v>3.5673993347252346E-2</v>
      </c>
      <c r="C72" s="8">
        <f t="shared" si="39"/>
        <v>3.5673993347252346E-2</v>
      </c>
      <c r="E72" s="8" t="e">
        <f t="shared" si="40"/>
        <v>#DIV/0!</v>
      </c>
      <c r="G72" s="8">
        <f t="shared" si="41"/>
        <v>0.11430004504915148</v>
      </c>
      <c r="I72" s="8">
        <f t="shared" si="42"/>
        <v>0.23076923076923062</v>
      </c>
      <c r="K72" s="8">
        <f t="shared" si="43"/>
        <v>3.5673993347252297E-2</v>
      </c>
      <c r="M72" s="8">
        <f t="shared" si="44"/>
        <v>0.11430004504915148</v>
      </c>
      <c r="P72" s="8" t="e">
        <f t="shared" si="45"/>
        <v>#DIV/0!</v>
      </c>
      <c r="Q72" s="2" t="e">
        <f t="shared" si="33"/>
        <v>#DIV/0!</v>
      </c>
      <c r="S72" s="8" t="e">
        <f t="shared" si="46"/>
        <v>#DIV/0!</v>
      </c>
      <c r="T72" s="2" t="e">
        <f t="shared" si="34"/>
        <v>#DIV/0!</v>
      </c>
      <c r="V72" s="8" t="e">
        <f t="shared" si="47"/>
        <v>#DIV/0!</v>
      </c>
      <c r="W72" s="2" t="e">
        <f t="shared" si="35"/>
        <v>#DIV/0!</v>
      </c>
      <c r="Y72" s="8" t="e">
        <f t="shared" si="48"/>
        <v>#DIV/0!</v>
      </c>
      <c r="Z72" s="2" t="e">
        <f t="shared" si="36"/>
        <v>#DIV/0!</v>
      </c>
      <c r="AC72" s="8" t="e">
        <f t="shared" si="49"/>
        <v>#DIV/0!</v>
      </c>
      <c r="AD72" s="2" t="e">
        <f t="shared" si="37"/>
        <v>#DIV/0!</v>
      </c>
      <c r="AG72" s="8" t="e">
        <f t="shared" si="50"/>
        <v>#DIV/0!</v>
      </c>
      <c r="AH72" s="2" t="e">
        <f t="shared" si="38"/>
        <v>#DIV/0!</v>
      </c>
    </row>
    <row r="73" spans="1:34" x14ac:dyDescent="0.2">
      <c r="A73" s="2">
        <f t="shared" si="31"/>
        <v>3.4166666666666683</v>
      </c>
      <c r="B73" s="2">
        <f t="shared" si="32"/>
        <v>3.2821658326663151E-2</v>
      </c>
      <c r="C73" s="8">
        <f t="shared" si="39"/>
        <v>3.2821658326663151E-2</v>
      </c>
      <c r="E73" s="8" t="e">
        <f t="shared" si="40"/>
        <v>#DIV/0!</v>
      </c>
      <c r="G73" s="8">
        <f t="shared" si="41"/>
        <v>0.10959863878011067</v>
      </c>
      <c r="I73" s="8">
        <f t="shared" si="42"/>
        <v>0.22641509433962248</v>
      </c>
      <c r="K73" s="8">
        <f t="shared" si="43"/>
        <v>3.2821658326663172E-2</v>
      </c>
      <c r="M73" s="8">
        <f t="shared" si="44"/>
        <v>0.10959863878011067</v>
      </c>
      <c r="P73" s="8" t="e">
        <f t="shared" si="45"/>
        <v>#DIV/0!</v>
      </c>
      <c r="Q73" s="2" t="e">
        <f t="shared" si="33"/>
        <v>#DIV/0!</v>
      </c>
      <c r="S73" s="8" t="e">
        <f t="shared" si="46"/>
        <v>#DIV/0!</v>
      </c>
      <c r="T73" s="2" t="e">
        <f t="shared" si="34"/>
        <v>#DIV/0!</v>
      </c>
      <c r="V73" s="8" t="e">
        <f t="shared" si="47"/>
        <v>#DIV/0!</v>
      </c>
      <c r="W73" s="2" t="e">
        <f t="shared" si="35"/>
        <v>#DIV/0!</v>
      </c>
      <c r="Y73" s="8" t="e">
        <f t="shared" si="48"/>
        <v>#DIV/0!</v>
      </c>
      <c r="Z73" s="2" t="e">
        <f t="shared" si="36"/>
        <v>#DIV/0!</v>
      </c>
      <c r="AC73" s="8" t="e">
        <f t="shared" si="49"/>
        <v>#DIV/0!</v>
      </c>
      <c r="AD73" s="2" t="e">
        <f t="shared" si="37"/>
        <v>#DIV/0!</v>
      </c>
      <c r="AG73" s="8" t="e">
        <f t="shared" si="50"/>
        <v>#DIV/0!</v>
      </c>
      <c r="AH73" s="2" t="e">
        <f t="shared" si="38"/>
        <v>#DIV/0!</v>
      </c>
    </row>
    <row r="74" spans="1:34" x14ac:dyDescent="0.2">
      <c r="A74" s="2">
        <f t="shared" si="31"/>
        <v>3.5000000000000018</v>
      </c>
      <c r="B74" s="2">
        <f t="shared" si="32"/>
        <v>3.0197383422318449E-2</v>
      </c>
      <c r="C74" s="8">
        <f t="shared" si="39"/>
        <v>3.0197383422318449E-2</v>
      </c>
      <c r="E74" s="8" t="e">
        <f t="shared" si="40"/>
        <v>#DIV/0!</v>
      </c>
      <c r="G74" s="8">
        <f t="shared" si="41"/>
        <v>0.10514599110011469</v>
      </c>
      <c r="I74" s="8">
        <f t="shared" si="42"/>
        <v>0.2222222222222221</v>
      </c>
      <c r="K74" s="8">
        <f t="shared" si="43"/>
        <v>3.019738342231848E-2</v>
      </c>
      <c r="M74" s="8">
        <f t="shared" si="44"/>
        <v>0.10514599110011469</v>
      </c>
      <c r="P74" s="8" t="e">
        <f t="shared" si="45"/>
        <v>#DIV/0!</v>
      </c>
      <c r="Q74" s="2" t="e">
        <f t="shared" si="33"/>
        <v>#DIV/0!</v>
      </c>
      <c r="S74" s="8" t="e">
        <f t="shared" si="46"/>
        <v>#DIV/0!</v>
      </c>
      <c r="T74" s="2" t="e">
        <f t="shared" si="34"/>
        <v>#DIV/0!</v>
      </c>
      <c r="V74" s="8" t="e">
        <f t="shared" si="47"/>
        <v>#DIV/0!</v>
      </c>
      <c r="W74" s="2" t="e">
        <f t="shared" si="35"/>
        <v>#DIV/0!</v>
      </c>
      <c r="Y74" s="8" t="e">
        <f t="shared" si="48"/>
        <v>#DIV/0!</v>
      </c>
      <c r="Z74" s="2" t="e">
        <f t="shared" si="36"/>
        <v>#DIV/0!</v>
      </c>
      <c r="AC74" s="8" t="e">
        <f t="shared" si="49"/>
        <v>#DIV/0!</v>
      </c>
      <c r="AD74" s="2" t="e">
        <f t="shared" si="37"/>
        <v>#DIV/0!</v>
      </c>
      <c r="AG74" s="8" t="e">
        <f t="shared" si="50"/>
        <v>#DIV/0!</v>
      </c>
      <c r="AH74" s="2" t="e">
        <f t="shared" si="38"/>
        <v>#DIV/0!</v>
      </c>
    </row>
    <row r="75" spans="1:34" x14ac:dyDescent="0.2">
      <c r="A75" s="2">
        <f t="shared" si="31"/>
        <v>3.5833333333333353</v>
      </c>
      <c r="B75" s="2">
        <f t="shared" si="32"/>
        <v>2.7782933954124202E-2</v>
      </c>
      <c r="C75" s="8">
        <f t="shared" si="39"/>
        <v>2.7782933954124202E-2</v>
      </c>
      <c r="E75" s="8" t="e">
        <f t="shared" si="40"/>
        <v>#DIV/0!</v>
      </c>
      <c r="G75" s="8">
        <f t="shared" si="41"/>
        <v>0.10092589955193287</v>
      </c>
      <c r="I75" s="8">
        <f t="shared" si="42"/>
        <v>0.21818181818181803</v>
      </c>
      <c r="K75" s="8">
        <f t="shared" si="43"/>
        <v>2.7782933954124234E-2</v>
      </c>
      <c r="M75" s="8">
        <f t="shared" si="44"/>
        <v>0.10092589955193287</v>
      </c>
      <c r="P75" s="8" t="e">
        <f t="shared" si="45"/>
        <v>#DIV/0!</v>
      </c>
      <c r="Q75" s="2" t="e">
        <f t="shared" si="33"/>
        <v>#DIV/0!</v>
      </c>
      <c r="S75" s="8" t="e">
        <f t="shared" si="46"/>
        <v>#DIV/0!</v>
      </c>
      <c r="T75" s="2" t="e">
        <f t="shared" si="34"/>
        <v>#DIV/0!</v>
      </c>
      <c r="V75" s="8" t="e">
        <f t="shared" si="47"/>
        <v>#DIV/0!</v>
      </c>
      <c r="W75" s="2" t="e">
        <f t="shared" si="35"/>
        <v>#DIV/0!</v>
      </c>
      <c r="Y75" s="8" t="e">
        <f t="shared" si="48"/>
        <v>#DIV/0!</v>
      </c>
      <c r="Z75" s="2" t="e">
        <f t="shared" si="36"/>
        <v>#DIV/0!</v>
      </c>
      <c r="AC75" s="8" t="e">
        <f t="shared" si="49"/>
        <v>#DIV/0!</v>
      </c>
      <c r="AD75" s="2" t="e">
        <f t="shared" si="37"/>
        <v>#DIV/0!</v>
      </c>
      <c r="AG75" s="8" t="e">
        <f t="shared" si="50"/>
        <v>#DIV/0!</v>
      </c>
      <c r="AH75" s="2" t="e">
        <f t="shared" si="38"/>
        <v>#DIV/0!</v>
      </c>
    </row>
    <row r="76" spans="1:34" x14ac:dyDescent="0.2">
      <c r="A76" s="2">
        <f t="shared" si="31"/>
        <v>3.6666666666666687</v>
      </c>
      <c r="B76" s="2">
        <f t="shared" si="32"/>
        <v>2.5561533206507347E-2</v>
      </c>
      <c r="C76" s="8">
        <f t="shared" si="39"/>
        <v>2.5561533206507347E-2</v>
      </c>
      <c r="E76" s="8" t="e">
        <f t="shared" si="40"/>
        <v>#DIV/0!</v>
      </c>
      <c r="G76" s="8">
        <f t="shared" si="41"/>
        <v>9.6923415859640039E-2</v>
      </c>
      <c r="I76" s="8">
        <f t="shared" si="42"/>
        <v>0.21428571428571419</v>
      </c>
      <c r="K76" s="8">
        <f t="shared" si="43"/>
        <v>2.5561533206507336E-2</v>
      </c>
      <c r="M76" s="8">
        <f t="shared" si="44"/>
        <v>9.6923415859640039E-2</v>
      </c>
      <c r="P76" s="8" t="e">
        <f t="shared" si="45"/>
        <v>#DIV/0!</v>
      </c>
      <c r="Q76" s="2" t="e">
        <f t="shared" si="33"/>
        <v>#DIV/0!</v>
      </c>
      <c r="S76" s="8" t="e">
        <f t="shared" si="46"/>
        <v>#DIV/0!</v>
      </c>
      <c r="T76" s="2" t="e">
        <f t="shared" si="34"/>
        <v>#DIV/0!</v>
      </c>
      <c r="V76" s="8" t="e">
        <f t="shared" si="47"/>
        <v>#DIV/0!</v>
      </c>
      <c r="W76" s="2" t="e">
        <f t="shared" si="35"/>
        <v>#DIV/0!</v>
      </c>
      <c r="Y76" s="8" t="e">
        <f t="shared" si="48"/>
        <v>#DIV/0!</v>
      </c>
      <c r="Z76" s="2" t="e">
        <f t="shared" si="36"/>
        <v>#DIV/0!</v>
      </c>
      <c r="AC76" s="8" t="e">
        <f t="shared" si="49"/>
        <v>#DIV/0!</v>
      </c>
      <c r="AD76" s="2" t="e">
        <f t="shared" si="37"/>
        <v>#DIV/0!</v>
      </c>
      <c r="AG76" s="8" t="e">
        <f t="shared" si="50"/>
        <v>#DIV/0!</v>
      </c>
      <c r="AH76" s="2" t="e">
        <f t="shared" si="38"/>
        <v>#DIV/0!</v>
      </c>
    </row>
    <row r="77" spans="1:34" x14ac:dyDescent="0.2">
      <c r="A77" s="2">
        <f t="shared" si="31"/>
        <v>3.7500000000000022</v>
      </c>
      <c r="B77" s="2">
        <f t="shared" si="32"/>
        <v>2.3517745856009055E-2</v>
      </c>
      <c r="C77" s="8">
        <f t="shared" si="39"/>
        <v>2.3517745856009055E-2</v>
      </c>
      <c r="E77" s="8" t="e">
        <f t="shared" si="40"/>
        <v>#DIV/0!</v>
      </c>
      <c r="G77" s="8">
        <f t="shared" si="41"/>
        <v>9.3124733826422279E-2</v>
      </c>
      <c r="I77" s="8">
        <f t="shared" si="42"/>
        <v>0.21052631578947367</v>
      </c>
      <c r="K77" s="8">
        <f t="shared" si="43"/>
        <v>2.3517745856009076E-2</v>
      </c>
      <c r="M77" s="8">
        <f t="shared" si="44"/>
        <v>9.3124733826422279E-2</v>
      </c>
      <c r="P77" s="8" t="e">
        <f t="shared" si="45"/>
        <v>#DIV/0!</v>
      </c>
      <c r="Q77" s="2" t="e">
        <f t="shared" si="33"/>
        <v>#DIV/0!</v>
      </c>
      <c r="S77" s="8" t="e">
        <f t="shared" si="46"/>
        <v>#DIV/0!</v>
      </c>
      <c r="T77" s="2" t="e">
        <f t="shared" si="34"/>
        <v>#DIV/0!</v>
      </c>
      <c r="V77" s="8" t="e">
        <f t="shared" si="47"/>
        <v>#DIV/0!</v>
      </c>
      <c r="W77" s="2" t="e">
        <f t="shared" si="35"/>
        <v>#DIV/0!</v>
      </c>
      <c r="Y77" s="8" t="e">
        <f t="shared" si="48"/>
        <v>#DIV/0!</v>
      </c>
      <c r="Z77" s="2" t="e">
        <f t="shared" si="36"/>
        <v>#DIV/0!</v>
      </c>
      <c r="AC77" s="8" t="e">
        <f t="shared" si="49"/>
        <v>#DIV/0!</v>
      </c>
      <c r="AD77" s="2" t="e">
        <f t="shared" si="37"/>
        <v>#DIV/0!</v>
      </c>
      <c r="AG77" s="8" t="e">
        <f t="shared" si="50"/>
        <v>#DIV/0!</v>
      </c>
      <c r="AH77" s="2" t="e">
        <f t="shared" si="38"/>
        <v>#DIV/0!</v>
      </c>
    </row>
    <row r="78" spans="1:34" x14ac:dyDescent="0.2">
      <c r="A78" s="2">
        <f t="shared" si="31"/>
        <v>3.8333333333333357</v>
      </c>
      <c r="B78" s="2">
        <f t="shared" si="32"/>
        <v>2.1637370719493041E-2</v>
      </c>
      <c r="C78" s="8">
        <f t="shared" si="39"/>
        <v>2.1637370719493041E-2</v>
      </c>
      <c r="E78" s="8" t="e">
        <f t="shared" si="40"/>
        <v>#DIV/0!</v>
      </c>
      <c r="G78" s="8">
        <f t="shared" si="41"/>
        <v>8.9517088522474531E-2</v>
      </c>
      <c r="I78" s="8">
        <f t="shared" si="42"/>
        <v>0.20689655172413779</v>
      </c>
      <c r="K78" s="8">
        <f t="shared" si="43"/>
        <v>2.163737071949301E-2</v>
      </c>
      <c r="M78" s="8">
        <f t="shared" si="44"/>
        <v>8.9517088522474531E-2</v>
      </c>
      <c r="P78" s="8" t="e">
        <f t="shared" si="45"/>
        <v>#DIV/0!</v>
      </c>
      <c r="Q78" s="2" t="e">
        <f t="shared" si="33"/>
        <v>#DIV/0!</v>
      </c>
      <c r="S78" s="8" t="e">
        <f t="shared" si="46"/>
        <v>#DIV/0!</v>
      </c>
      <c r="T78" s="2" t="e">
        <f t="shared" si="34"/>
        <v>#DIV/0!</v>
      </c>
      <c r="V78" s="8" t="e">
        <f t="shared" si="47"/>
        <v>#DIV/0!</v>
      </c>
      <c r="W78" s="2" t="e">
        <f t="shared" si="35"/>
        <v>#DIV/0!</v>
      </c>
      <c r="Y78" s="8" t="e">
        <f t="shared" si="48"/>
        <v>#DIV/0!</v>
      </c>
      <c r="Z78" s="2" t="e">
        <f t="shared" si="36"/>
        <v>#DIV/0!</v>
      </c>
      <c r="AC78" s="8" t="e">
        <f t="shared" si="49"/>
        <v>#DIV/0!</v>
      </c>
      <c r="AD78" s="2" t="e">
        <f t="shared" si="37"/>
        <v>#DIV/0!</v>
      </c>
      <c r="AG78" s="8" t="e">
        <f t="shared" si="50"/>
        <v>#DIV/0!</v>
      </c>
      <c r="AH78" s="2" t="e">
        <f t="shared" si="38"/>
        <v>#DIV/0!</v>
      </c>
    </row>
    <row r="79" spans="1:34" x14ac:dyDescent="0.2">
      <c r="A79" s="2">
        <f t="shared" si="31"/>
        <v>3.9166666666666692</v>
      </c>
      <c r="B79" s="2">
        <f t="shared" si="32"/>
        <v>1.990734207773363E-2</v>
      </c>
      <c r="C79" s="8">
        <f t="shared" si="39"/>
        <v>1.990734207773363E-2</v>
      </c>
      <c r="E79" s="8" t="e">
        <f t="shared" si="40"/>
        <v>#DIV/0!</v>
      </c>
      <c r="G79" s="8">
        <f t="shared" si="41"/>
        <v>8.6088665509933771E-2</v>
      </c>
      <c r="I79" s="8">
        <f t="shared" si="42"/>
        <v>0.20338983050847448</v>
      </c>
      <c r="K79" s="8">
        <f t="shared" si="43"/>
        <v>1.9907342077733592E-2</v>
      </c>
      <c r="M79" s="8">
        <f t="shared" si="44"/>
        <v>8.6088665509933771E-2</v>
      </c>
      <c r="P79" s="8" t="e">
        <f t="shared" si="45"/>
        <v>#DIV/0!</v>
      </c>
      <c r="Q79" s="2" t="e">
        <f t="shared" si="33"/>
        <v>#DIV/0!</v>
      </c>
      <c r="S79" s="8" t="e">
        <f t="shared" si="46"/>
        <v>#DIV/0!</v>
      </c>
      <c r="T79" s="2" t="e">
        <f t="shared" si="34"/>
        <v>#DIV/0!</v>
      </c>
      <c r="V79" s="8" t="e">
        <f t="shared" si="47"/>
        <v>#DIV/0!</v>
      </c>
      <c r="W79" s="2" t="e">
        <f t="shared" si="35"/>
        <v>#DIV/0!</v>
      </c>
      <c r="Y79" s="8" t="e">
        <f t="shared" si="48"/>
        <v>#DIV/0!</v>
      </c>
      <c r="Z79" s="2" t="e">
        <f t="shared" si="36"/>
        <v>#DIV/0!</v>
      </c>
      <c r="AC79" s="8" t="e">
        <f t="shared" si="49"/>
        <v>#DIV/0!</v>
      </c>
      <c r="AD79" s="2" t="e">
        <f t="shared" si="37"/>
        <v>#DIV/0!</v>
      </c>
      <c r="AG79" s="8" t="e">
        <f t="shared" si="50"/>
        <v>#DIV/0!</v>
      </c>
      <c r="AH79" s="2" t="e">
        <f t="shared" si="38"/>
        <v>#DIV/0!</v>
      </c>
    </row>
    <row r="80" spans="1:34" x14ac:dyDescent="0.2">
      <c r="A80" s="2">
        <f t="shared" si="31"/>
        <v>4.0000000000000027</v>
      </c>
      <c r="B80" s="2">
        <f t="shared" si="32"/>
        <v>1.831563888873413E-2</v>
      </c>
      <c r="C80" s="8">
        <f t="shared" si="39"/>
        <v>1.831563888873413E-2</v>
      </c>
      <c r="E80" s="8" t="e">
        <f t="shared" si="40"/>
        <v>#DIV/0!</v>
      </c>
      <c r="G80" s="8">
        <f t="shared" si="41"/>
        <v>8.2828519001698409E-2</v>
      </c>
      <c r="I80" s="8">
        <f t="shared" si="42"/>
        <v>0.19999999999999984</v>
      </c>
      <c r="K80" s="8">
        <f t="shared" si="43"/>
        <v>1.8315638888734109E-2</v>
      </c>
      <c r="M80" s="8">
        <f t="shared" si="44"/>
        <v>8.2828519001698409E-2</v>
      </c>
      <c r="P80" s="8" t="e">
        <f t="shared" si="45"/>
        <v>#DIV/0!</v>
      </c>
      <c r="Q80" s="2" t="e">
        <f t="shared" si="33"/>
        <v>#DIV/0!</v>
      </c>
      <c r="S80" s="8" t="e">
        <f t="shared" si="46"/>
        <v>#DIV/0!</v>
      </c>
      <c r="T80" s="2" t="e">
        <f t="shared" si="34"/>
        <v>#DIV/0!</v>
      </c>
      <c r="V80" s="8" t="e">
        <f t="shared" si="47"/>
        <v>#DIV/0!</v>
      </c>
      <c r="W80" s="2" t="e">
        <f t="shared" si="35"/>
        <v>#DIV/0!</v>
      </c>
      <c r="Y80" s="8" t="e">
        <f t="shared" si="48"/>
        <v>#DIV/0!</v>
      </c>
      <c r="Z80" s="2" t="e">
        <f t="shared" si="36"/>
        <v>#DIV/0!</v>
      </c>
      <c r="AC80" s="8" t="e">
        <f t="shared" si="49"/>
        <v>#DIV/0!</v>
      </c>
      <c r="AD80" s="2" t="e">
        <f t="shared" si="37"/>
        <v>#DIV/0!</v>
      </c>
      <c r="AG80" s="8" t="e">
        <f t="shared" si="50"/>
        <v>#DIV/0!</v>
      </c>
      <c r="AH80" s="2" t="e">
        <f t="shared" si="38"/>
        <v>#DIV/0!</v>
      </c>
    </row>
    <row r="81" spans="1:34" x14ac:dyDescent="0.2">
      <c r="A81" s="2">
        <f t="shared" si="31"/>
        <v>4.0833333333333357</v>
      </c>
      <c r="B81" s="2">
        <f t="shared" si="32"/>
        <v>1.6851201259947466E-2</v>
      </c>
      <c r="C81" s="8">
        <f t="shared" si="39"/>
        <v>1.6851201259947466E-2</v>
      </c>
      <c r="E81" s="8" t="e">
        <f t="shared" si="40"/>
        <v>#DIV/0!</v>
      </c>
      <c r="G81" s="8">
        <f t="shared" si="41"/>
        <v>7.9726497982045785E-2</v>
      </c>
      <c r="I81" s="8">
        <f t="shared" si="42"/>
        <v>0.19672131147540972</v>
      </c>
      <c r="K81" s="8">
        <f t="shared" si="43"/>
        <v>1.6851201259947435E-2</v>
      </c>
      <c r="M81" s="8">
        <f t="shared" si="44"/>
        <v>7.9726497982045785E-2</v>
      </c>
      <c r="P81" s="8" t="e">
        <f t="shared" si="45"/>
        <v>#DIV/0!</v>
      </c>
      <c r="Q81" s="2" t="e">
        <f t="shared" si="33"/>
        <v>#DIV/0!</v>
      </c>
      <c r="S81" s="8" t="e">
        <f t="shared" si="46"/>
        <v>#DIV/0!</v>
      </c>
      <c r="T81" s="2" t="e">
        <f t="shared" si="34"/>
        <v>#DIV/0!</v>
      </c>
      <c r="V81" s="8" t="e">
        <f t="shared" si="47"/>
        <v>#DIV/0!</v>
      </c>
      <c r="W81" s="2" t="e">
        <f t="shared" si="35"/>
        <v>#DIV/0!</v>
      </c>
      <c r="Y81" s="8" t="e">
        <f t="shared" si="48"/>
        <v>#DIV/0!</v>
      </c>
      <c r="Z81" s="2" t="e">
        <f t="shared" si="36"/>
        <v>#DIV/0!</v>
      </c>
      <c r="AC81" s="8" t="e">
        <f t="shared" si="49"/>
        <v>#DIV/0!</v>
      </c>
      <c r="AD81" s="2" t="e">
        <f t="shared" si="37"/>
        <v>#DIV/0!</v>
      </c>
      <c r="AG81" s="8" t="e">
        <f t="shared" si="50"/>
        <v>#DIV/0!</v>
      </c>
      <c r="AH81" s="2" t="e">
        <f t="shared" si="38"/>
        <v>#DIV/0!</v>
      </c>
    </row>
    <row r="82" spans="1:34" x14ac:dyDescent="0.2">
      <c r="A82" s="2">
        <f t="shared" si="31"/>
        <v>4.1666666666666687</v>
      </c>
      <c r="B82" s="2">
        <f t="shared" si="32"/>
        <v>1.5503853599009286E-2</v>
      </c>
      <c r="C82" s="8">
        <f t="shared" si="39"/>
        <v>1.5503853599009286E-2</v>
      </c>
      <c r="E82" s="8" t="e">
        <f t="shared" si="40"/>
        <v>#DIV/0!</v>
      </c>
      <c r="G82" s="8">
        <f t="shared" si="41"/>
        <v>7.677317943158557E-2</v>
      </c>
      <c r="I82" s="8">
        <f t="shared" si="42"/>
        <v>0.19354838709677402</v>
      </c>
      <c r="K82" s="8">
        <f t="shared" si="43"/>
        <v>1.5503853599009298E-2</v>
      </c>
      <c r="M82" s="8">
        <f t="shared" si="44"/>
        <v>7.677317943158557E-2</v>
      </c>
      <c r="P82" s="8" t="e">
        <f t="shared" si="45"/>
        <v>#DIV/0!</v>
      </c>
      <c r="Q82" s="2" t="e">
        <f t="shared" si="33"/>
        <v>#DIV/0!</v>
      </c>
      <c r="S82" s="8" t="e">
        <f t="shared" si="46"/>
        <v>#DIV/0!</v>
      </c>
      <c r="T82" s="2" t="e">
        <f t="shared" si="34"/>
        <v>#DIV/0!</v>
      </c>
      <c r="V82" s="8" t="e">
        <f t="shared" si="47"/>
        <v>#DIV/0!</v>
      </c>
      <c r="W82" s="2" t="e">
        <f t="shared" si="35"/>
        <v>#DIV/0!</v>
      </c>
      <c r="Y82" s="8" t="e">
        <f t="shared" si="48"/>
        <v>#DIV/0!</v>
      </c>
      <c r="Z82" s="2" t="e">
        <f t="shared" si="36"/>
        <v>#DIV/0!</v>
      </c>
      <c r="AC82" s="8" t="e">
        <f t="shared" si="49"/>
        <v>#DIV/0!</v>
      </c>
      <c r="AD82" s="2" t="e">
        <f t="shared" si="37"/>
        <v>#DIV/0!</v>
      </c>
      <c r="AG82" s="8" t="e">
        <f t="shared" si="50"/>
        <v>#DIV/0!</v>
      </c>
      <c r="AH82" s="2" t="e">
        <f t="shared" si="38"/>
        <v>#DIV/0!</v>
      </c>
    </row>
    <row r="83" spans="1:34" x14ac:dyDescent="0.2">
      <c r="A83" s="2">
        <f t="shared" si="31"/>
        <v>4.2500000000000018</v>
      </c>
      <c r="B83" s="2">
        <f t="shared" si="32"/>
        <v>1.4264233908999229E-2</v>
      </c>
      <c r="C83" s="8">
        <f t="shared" si="39"/>
        <v>1.4264233908999229E-2</v>
      </c>
      <c r="E83" s="8" t="e">
        <f t="shared" si="40"/>
        <v>#DIV/0!</v>
      </c>
      <c r="G83" s="8">
        <f t="shared" si="41"/>
        <v>7.3959807899369845E-2</v>
      </c>
      <c r="I83" s="8">
        <f t="shared" si="42"/>
        <v>0.19047619047619035</v>
      </c>
      <c r="K83" s="8">
        <f t="shared" si="43"/>
        <v>1.4264233908999224E-2</v>
      </c>
      <c r="M83" s="8">
        <f t="shared" si="44"/>
        <v>7.3959807899369845E-2</v>
      </c>
      <c r="P83" s="8" t="e">
        <f t="shared" si="45"/>
        <v>#DIV/0!</v>
      </c>
      <c r="Q83" s="2" t="e">
        <f t="shared" si="33"/>
        <v>#DIV/0!</v>
      </c>
      <c r="S83" s="8" t="e">
        <f t="shared" si="46"/>
        <v>#DIV/0!</v>
      </c>
      <c r="T83" s="2" t="e">
        <f t="shared" si="34"/>
        <v>#DIV/0!</v>
      </c>
      <c r="V83" s="8" t="e">
        <f t="shared" si="47"/>
        <v>#DIV/0!</v>
      </c>
      <c r="W83" s="2" t="e">
        <f t="shared" si="35"/>
        <v>#DIV/0!</v>
      </c>
      <c r="Y83" s="8" t="e">
        <f t="shared" si="48"/>
        <v>#DIV/0!</v>
      </c>
      <c r="Z83" s="2" t="e">
        <f t="shared" si="36"/>
        <v>#DIV/0!</v>
      </c>
      <c r="AC83" s="8" t="e">
        <f t="shared" si="49"/>
        <v>#DIV/0!</v>
      </c>
      <c r="AD83" s="2" t="e">
        <f t="shared" si="37"/>
        <v>#DIV/0!</v>
      </c>
      <c r="AG83" s="8" t="e">
        <f t="shared" si="50"/>
        <v>#DIV/0!</v>
      </c>
      <c r="AH83" s="2" t="e">
        <f t="shared" si="38"/>
        <v>#DIV/0!</v>
      </c>
    </row>
    <row r="84" spans="1:34" x14ac:dyDescent="0.2">
      <c r="A84" s="2">
        <f t="shared" si="31"/>
        <v>4.3333333333333348</v>
      </c>
      <c r="B84" s="2">
        <f t="shared" si="32"/>
        <v>1.3123728736940943E-2</v>
      </c>
      <c r="C84" s="8">
        <f t="shared" si="39"/>
        <v>1.3123728736940943E-2</v>
      </c>
      <c r="E84" s="8" t="e">
        <f t="shared" si="40"/>
        <v>#DIV/0!</v>
      </c>
      <c r="G84" s="8">
        <f t="shared" si="41"/>
        <v>7.1278240752786548E-2</v>
      </c>
      <c r="I84" s="8">
        <f t="shared" si="42"/>
        <v>0.18749999999999989</v>
      </c>
      <c r="K84" s="8">
        <f t="shared" si="43"/>
        <v>1.3123728736940898E-2</v>
      </c>
      <c r="M84" s="8">
        <f t="shared" si="44"/>
        <v>7.1278240752786548E-2</v>
      </c>
      <c r="P84" s="8" t="e">
        <f t="shared" si="45"/>
        <v>#DIV/0!</v>
      </c>
      <c r="Q84" s="2" t="e">
        <f t="shared" si="33"/>
        <v>#DIV/0!</v>
      </c>
      <c r="S84" s="8" t="e">
        <f t="shared" si="46"/>
        <v>#DIV/0!</v>
      </c>
      <c r="T84" s="2" t="e">
        <f t="shared" si="34"/>
        <v>#DIV/0!</v>
      </c>
      <c r="V84" s="8" t="e">
        <f t="shared" si="47"/>
        <v>#DIV/0!</v>
      </c>
      <c r="W84" s="2" t="e">
        <f t="shared" si="35"/>
        <v>#DIV/0!</v>
      </c>
      <c r="Y84" s="8" t="e">
        <f t="shared" si="48"/>
        <v>#DIV/0!</v>
      </c>
      <c r="Z84" s="2" t="e">
        <f t="shared" si="36"/>
        <v>#DIV/0!</v>
      </c>
      <c r="AC84" s="8" t="e">
        <f t="shared" si="49"/>
        <v>#DIV/0!</v>
      </c>
      <c r="AD84" s="2" t="e">
        <f t="shared" si="37"/>
        <v>#DIV/0!</v>
      </c>
      <c r="AG84" s="8" t="e">
        <f t="shared" si="50"/>
        <v>#DIV/0!</v>
      </c>
      <c r="AH84" s="2" t="e">
        <f t="shared" si="38"/>
        <v>#DIV/0!</v>
      </c>
    </row>
    <row r="85" spans="1:34" x14ac:dyDescent="0.2">
      <c r="A85" s="2">
        <f t="shared" si="31"/>
        <v>4.4166666666666679</v>
      </c>
      <c r="B85" s="2">
        <f t="shared" si="32"/>
        <v>1.2074413323532861E-2</v>
      </c>
      <c r="C85" s="8">
        <f t="shared" si="39"/>
        <v>1.2074413323532861E-2</v>
      </c>
      <c r="E85" s="8" t="e">
        <f t="shared" si="40"/>
        <v>#DIV/0!</v>
      </c>
      <c r="G85" s="8">
        <f t="shared" si="41"/>
        <v>6.8720898512798168E-2</v>
      </c>
      <c r="I85" s="8">
        <f t="shared" si="42"/>
        <v>0.18461538461538463</v>
      </c>
      <c r="K85" s="8">
        <f t="shared" si="43"/>
        <v>1.2074413323532873E-2</v>
      </c>
      <c r="M85" s="8">
        <f t="shared" si="44"/>
        <v>6.8720898512798168E-2</v>
      </c>
      <c r="P85" s="8" t="e">
        <f t="shared" si="45"/>
        <v>#DIV/0!</v>
      </c>
      <c r="Q85" s="2" t="e">
        <f t="shared" si="33"/>
        <v>#DIV/0!</v>
      </c>
      <c r="S85" s="8" t="e">
        <f t="shared" si="46"/>
        <v>#DIV/0!</v>
      </c>
      <c r="T85" s="2" t="e">
        <f t="shared" si="34"/>
        <v>#DIV/0!</v>
      </c>
      <c r="V85" s="8" t="e">
        <f t="shared" si="47"/>
        <v>#DIV/0!</v>
      </c>
      <c r="W85" s="2" t="e">
        <f t="shared" si="35"/>
        <v>#DIV/0!</v>
      </c>
      <c r="Y85" s="8" t="e">
        <f t="shared" si="48"/>
        <v>#DIV/0!</v>
      </c>
      <c r="Z85" s="2" t="e">
        <f t="shared" si="36"/>
        <v>#DIV/0!</v>
      </c>
      <c r="AC85" s="8" t="e">
        <f t="shared" si="49"/>
        <v>#DIV/0!</v>
      </c>
      <c r="AD85" s="2" t="e">
        <f t="shared" si="37"/>
        <v>#DIV/0!</v>
      </c>
      <c r="AG85" s="8" t="e">
        <f t="shared" si="50"/>
        <v>#DIV/0!</v>
      </c>
      <c r="AH85" s="2" t="e">
        <f t="shared" si="38"/>
        <v>#DIV/0!</v>
      </c>
    </row>
    <row r="86" spans="1:34" x14ac:dyDescent="0.2">
      <c r="A86" s="2">
        <f t="shared" si="31"/>
        <v>4.5000000000000009</v>
      </c>
      <c r="B86" s="2">
        <f t="shared" si="32"/>
        <v>1.1108996538242297E-2</v>
      </c>
      <c r="C86" s="8">
        <f t="shared" si="39"/>
        <v>1.1108996538242297E-2</v>
      </c>
      <c r="E86" s="8" t="e">
        <f t="shared" si="40"/>
        <v>#DIV/0!</v>
      </c>
      <c r="G86" s="8">
        <f t="shared" si="41"/>
        <v>6.6280719749549299E-2</v>
      </c>
      <c r="I86" s="8">
        <f t="shared" si="42"/>
        <v>0.18181818181818177</v>
      </c>
      <c r="K86" s="8">
        <f t="shared" si="43"/>
        <v>1.1108996538242266E-2</v>
      </c>
      <c r="M86" s="8">
        <f t="shared" si="44"/>
        <v>6.6280719749549299E-2</v>
      </c>
      <c r="P86" s="8" t="e">
        <f t="shared" si="45"/>
        <v>#DIV/0!</v>
      </c>
      <c r="Q86" s="2" t="e">
        <f t="shared" si="33"/>
        <v>#DIV/0!</v>
      </c>
      <c r="S86" s="8" t="e">
        <f t="shared" si="46"/>
        <v>#DIV/0!</v>
      </c>
      <c r="T86" s="2" t="e">
        <f t="shared" si="34"/>
        <v>#DIV/0!</v>
      </c>
      <c r="V86" s="8" t="e">
        <f t="shared" si="47"/>
        <v>#DIV/0!</v>
      </c>
      <c r="W86" s="2" t="e">
        <f t="shared" si="35"/>
        <v>#DIV/0!</v>
      </c>
      <c r="Y86" s="8" t="e">
        <f t="shared" si="48"/>
        <v>#DIV/0!</v>
      </c>
      <c r="Z86" s="2" t="e">
        <f t="shared" si="36"/>
        <v>#DIV/0!</v>
      </c>
      <c r="AC86" s="8" t="e">
        <f t="shared" si="49"/>
        <v>#DIV/0!</v>
      </c>
      <c r="AD86" s="2" t="e">
        <f t="shared" si="37"/>
        <v>#DIV/0!</v>
      </c>
      <c r="AG86" s="8" t="e">
        <f t="shared" si="50"/>
        <v>#DIV/0!</v>
      </c>
      <c r="AH86" s="2" t="e">
        <f t="shared" si="38"/>
        <v>#DIV/0!</v>
      </c>
    </row>
    <row r="87" spans="1:34" x14ac:dyDescent="0.2">
      <c r="A87" s="2">
        <f t="shared" si="31"/>
        <v>4.5833333333333339</v>
      </c>
      <c r="B87" s="2">
        <f t="shared" si="32"/>
        <v>1.0220770217146315E-2</v>
      </c>
      <c r="C87" s="8">
        <f t="shared" si="39"/>
        <v>1.0220770217146315E-2</v>
      </c>
      <c r="E87" s="8" t="e">
        <f t="shared" si="40"/>
        <v>#DIV/0!</v>
      </c>
      <c r="G87" s="8">
        <f t="shared" si="41"/>
        <v>6.3951120072597178E-2</v>
      </c>
      <c r="I87" s="8">
        <f t="shared" si="42"/>
        <v>0.17910447761194037</v>
      </c>
      <c r="K87" s="8">
        <f t="shared" si="43"/>
        <v>1.0220770217146291E-2</v>
      </c>
      <c r="M87" s="8">
        <f t="shared" si="44"/>
        <v>6.3951120072597178E-2</v>
      </c>
      <c r="P87" s="8" t="e">
        <f t="shared" si="45"/>
        <v>#DIV/0!</v>
      </c>
      <c r="Q87" s="2" t="e">
        <f t="shared" si="33"/>
        <v>#DIV/0!</v>
      </c>
      <c r="S87" s="8" t="e">
        <f t="shared" si="46"/>
        <v>#DIV/0!</v>
      </c>
      <c r="T87" s="2" t="e">
        <f t="shared" si="34"/>
        <v>#DIV/0!</v>
      </c>
      <c r="V87" s="8" t="e">
        <f t="shared" si="47"/>
        <v>#DIV/0!</v>
      </c>
      <c r="W87" s="2" t="e">
        <f t="shared" si="35"/>
        <v>#DIV/0!</v>
      </c>
      <c r="Y87" s="8" t="e">
        <f t="shared" si="48"/>
        <v>#DIV/0!</v>
      </c>
      <c r="Z87" s="2" t="e">
        <f t="shared" si="36"/>
        <v>#DIV/0!</v>
      </c>
      <c r="AC87" s="8" t="e">
        <f t="shared" si="49"/>
        <v>#DIV/0!</v>
      </c>
      <c r="AD87" s="2" t="e">
        <f t="shared" si="37"/>
        <v>#DIV/0!</v>
      </c>
      <c r="AG87" s="8" t="e">
        <f t="shared" si="50"/>
        <v>#DIV/0!</v>
      </c>
      <c r="AH87" s="2" t="e">
        <f t="shared" si="38"/>
        <v>#DIV/0!</v>
      </c>
    </row>
    <row r="88" spans="1:34" x14ac:dyDescent="0.2">
      <c r="A88" s="2">
        <f t="shared" si="31"/>
        <v>4.666666666666667</v>
      </c>
      <c r="B88" s="2">
        <f t="shared" si="32"/>
        <v>9.4035625514952061E-3</v>
      </c>
      <c r="C88" s="8">
        <f t="shared" si="39"/>
        <v>9.4035625514952061E-3</v>
      </c>
      <c r="E88" s="8" t="e">
        <f t="shared" si="40"/>
        <v>#DIV/0!</v>
      </c>
      <c r="G88" s="8">
        <f t="shared" si="41"/>
        <v>6.1725954802054339E-2</v>
      </c>
      <c r="I88" s="8">
        <f t="shared" si="42"/>
        <v>0.17647058823529405</v>
      </c>
      <c r="K88" s="8">
        <f t="shared" si="43"/>
        <v>9.4035625514952148E-3</v>
      </c>
      <c r="M88" s="8">
        <f t="shared" si="44"/>
        <v>6.1725954802054339E-2</v>
      </c>
      <c r="P88" s="8" t="e">
        <f t="shared" si="45"/>
        <v>#DIV/0!</v>
      </c>
      <c r="Q88" s="2" t="e">
        <f t="shared" si="33"/>
        <v>#DIV/0!</v>
      </c>
      <c r="S88" s="8" t="e">
        <f t="shared" si="46"/>
        <v>#DIV/0!</v>
      </c>
      <c r="T88" s="2" t="e">
        <f t="shared" si="34"/>
        <v>#DIV/0!</v>
      </c>
      <c r="V88" s="8" t="e">
        <f t="shared" si="47"/>
        <v>#DIV/0!</v>
      </c>
      <c r="W88" s="2" t="e">
        <f t="shared" si="35"/>
        <v>#DIV/0!</v>
      </c>
      <c r="Y88" s="8" t="e">
        <f t="shared" si="48"/>
        <v>#DIV/0!</v>
      </c>
      <c r="Z88" s="2" t="e">
        <f t="shared" si="36"/>
        <v>#DIV/0!</v>
      </c>
      <c r="AC88" s="8" t="e">
        <f t="shared" si="49"/>
        <v>#DIV/0!</v>
      </c>
      <c r="AD88" s="2" t="e">
        <f t="shared" si="37"/>
        <v>#DIV/0!</v>
      </c>
      <c r="AG88" s="8" t="e">
        <f t="shared" si="50"/>
        <v>#DIV/0!</v>
      </c>
      <c r="AH88" s="2" t="e">
        <f t="shared" si="38"/>
        <v>#DIV/0!</v>
      </c>
    </row>
    <row r="89" spans="1:34" x14ac:dyDescent="0.2">
      <c r="A89" s="2">
        <f t="shared" si="31"/>
        <v>4.75</v>
      </c>
      <c r="B89" s="2">
        <f t="shared" si="32"/>
        <v>8.6516952031206341E-3</v>
      </c>
      <c r="C89" s="8">
        <f t="shared" si="39"/>
        <v>8.6516952031206341E-3</v>
      </c>
      <c r="E89" s="8" t="e">
        <f t="shared" si="40"/>
        <v>#DIV/0!</v>
      </c>
      <c r="G89" s="8">
        <f t="shared" si="41"/>
        <v>5.9599484952713833E-2</v>
      </c>
      <c r="I89" s="8">
        <f t="shared" si="42"/>
        <v>0.17391304347826086</v>
      </c>
      <c r="K89" s="8">
        <f t="shared" si="43"/>
        <v>8.6516952031205907E-3</v>
      </c>
      <c r="M89" s="8">
        <f t="shared" si="44"/>
        <v>5.9599484952713833E-2</v>
      </c>
      <c r="P89" s="8" t="e">
        <f t="shared" si="45"/>
        <v>#DIV/0!</v>
      </c>
      <c r="Q89" s="2" t="e">
        <f t="shared" si="33"/>
        <v>#DIV/0!</v>
      </c>
      <c r="S89" s="8" t="e">
        <f t="shared" si="46"/>
        <v>#DIV/0!</v>
      </c>
      <c r="T89" s="2" t="e">
        <f t="shared" si="34"/>
        <v>#DIV/0!</v>
      </c>
      <c r="V89" s="8" t="e">
        <f t="shared" si="47"/>
        <v>#DIV/0!</v>
      </c>
      <c r="W89" s="2" t="e">
        <f t="shared" si="35"/>
        <v>#DIV/0!</v>
      </c>
      <c r="Y89" s="8" t="e">
        <f t="shared" si="48"/>
        <v>#DIV/0!</v>
      </c>
      <c r="Z89" s="2" t="e">
        <f t="shared" si="36"/>
        <v>#DIV/0!</v>
      </c>
      <c r="AC89" s="8" t="e">
        <f t="shared" si="49"/>
        <v>#DIV/0!</v>
      </c>
      <c r="AD89" s="2" t="e">
        <f t="shared" si="37"/>
        <v>#DIV/0!</v>
      </c>
      <c r="AG89" s="8" t="e">
        <f t="shared" si="50"/>
        <v>#DIV/0!</v>
      </c>
      <c r="AH89" s="2" t="e">
        <f t="shared" si="38"/>
        <v>#DIV/0!</v>
      </c>
    </row>
    <row r="90" spans="1:34" x14ac:dyDescent="0.2">
      <c r="A90" s="2">
        <f t="shared" si="31"/>
        <v>4.833333333333333</v>
      </c>
      <c r="B90" s="2">
        <f t="shared" si="32"/>
        <v>7.9599438487064494E-3</v>
      </c>
      <c r="C90" s="8">
        <f t="shared" si="39"/>
        <v>7.9599438487064494E-3</v>
      </c>
      <c r="E90" s="8" t="e">
        <f t="shared" si="40"/>
        <v>#DIV/0!</v>
      </c>
      <c r="G90" s="8">
        <f t="shared" si="41"/>
        <v>5.7566346203538954E-2</v>
      </c>
      <c r="I90" s="8">
        <f t="shared" si="42"/>
        <v>0.17142857142857137</v>
      </c>
      <c r="K90" s="8">
        <f t="shared" si="43"/>
        <v>7.9599438487064633E-3</v>
      </c>
      <c r="M90" s="8">
        <f t="shared" si="44"/>
        <v>5.7566346203538954E-2</v>
      </c>
      <c r="P90" s="8" t="e">
        <f t="shared" si="45"/>
        <v>#DIV/0!</v>
      </c>
      <c r="Q90" s="2" t="e">
        <f t="shared" si="33"/>
        <v>#DIV/0!</v>
      </c>
      <c r="S90" s="8" t="e">
        <f t="shared" si="46"/>
        <v>#DIV/0!</v>
      </c>
      <c r="T90" s="2" t="e">
        <f t="shared" si="34"/>
        <v>#DIV/0!</v>
      </c>
      <c r="V90" s="8" t="e">
        <f t="shared" si="47"/>
        <v>#DIV/0!</v>
      </c>
      <c r="W90" s="2" t="e">
        <f t="shared" si="35"/>
        <v>#DIV/0!</v>
      </c>
      <c r="Y90" s="8" t="e">
        <f t="shared" si="48"/>
        <v>#DIV/0!</v>
      </c>
      <c r="Z90" s="2" t="e">
        <f t="shared" si="36"/>
        <v>#DIV/0!</v>
      </c>
      <c r="AC90" s="8" t="e">
        <f t="shared" si="49"/>
        <v>#DIV/0!</v>
      </c>
      <c r="AD90" s="2" t="e">
        <f t="shared" si="37"/>
        <v>#DIV/0!</v>
      </c>
      <c r="AG90" s="8" t="e">
        <f t="shared" si="50"/>
        <v>#DIV/0!</v>
      </c>
      <c r="AH90" s="2" t="e">
        <f t="shared" si="38"/>
        <v>#DIV/0!</v>
      </c>
    </row>
    <row r="91" spans="1:34" x14ac:dyDescent="0.2">
      <c r="A91" s="2">
        <f t="shared" si="31"/>
        <v>4.9166666666666661</v>
      </c>
      <c r="B91" s="2">
        <f t="shared" si="32"/>
        <v>7.3235018787654108E-3</v>
      </c>
      <c r="C91" s="8">
        <f t="shared" si="39"/>
        <v>7.3235018787654108E-3</v>
      </c>
      <c r="E91" s="8" t="e">
        <f t="shared" si="40"/>
        <v>#DIV/0!</v>
      </c>
      <c r="G91" s="8">
        <f t="shared" si="41"/>
        <v>5.5621520560444115E-2</v>
      </c>
      <c r="I91" s="8">
        <f t="shared" si="42"/>
        <v>0.16901408450704214</v>
      </c>
      <c r="K91" s="8">
        <f t="shared" si="43"/>
        <v>7.3235018787654038E-3</v>
      </c>
      <c r="M91" s="8">
        <f t="shared" si="44"/>
        <v>5.5621520560444115E-2</v>
      </c>
      <c r="P91" s="8" t="e">
        <f t="shared" si="45"/>
        <v>#DIV/0!</v>
      </c>
      <c r="Q91" s="2" t="e">
        <f t="shared" si="33"/>
        <v>#DIV/0!</v>
      </c>
      <c r="S91" s="8" t="e">
        <f t="shared" si="46"/>
        <v>#DIV/0!</v>
      </c>
      <c r="T91" s="2" t="e">
        <f t="shared" si="34"/>
        <v>#DIV/0!</v>
      </c>
      <c r="V91" s="8" t="e">
        <f t="shared" si="47"/>
        <v>#DIV/0!</v>
      </c>
      <c r="W91" s="2" t="e">
        <f t="shared" si="35"/>
        <v>#DIV/0!</v>
      </c>
      <c r="Y91" s="8" t="e">
        <f t="shared" si="48"/>
        <v>#DIV/0!</v>
      </c>
      <c r="Z91" s="2" t="e">
        <f t="shared" si="36"/>
        <v>#DIV/0!</v>
      </c>
      <c r="AC91" s="8" t="e">
        <f t="shared" si="49"/>
        <v>#DIV/0!</v>
      </c>
      <c r="AD91" s="2" t="e">
        <f t="shared" si="37"/>
        <v>#DIV/0!</v>
      </c>
      <c r="AG91" s="8" t="e">
        <f t="shared" si="50"/>
        <v>#DIV/0!</v>
      </c>
      <c r="AH91" s="2" t="e">
        <f t="shared" si="38"/>
        <v>#DIV/0!</v>
      </c>
    </row>
    <row r="92" spans="1:34" x14ac:dyDescent="0.2">
      <c r="A92" s="2">
        <f t="shared" si="31"/>
        <v>4.9999999999999991</v>
      </c>
      <c r="B92" s="2">
        <f t="shared" si="32"/>
        <v>6.7379469990854731E-3</v>
      </c>
      <c r="C92" s="8">
        <f t="shared" si="39"/>
        <v>6.7379469990854731E-3</v>
      </c>
      <c r="E92" s="8" t="e">
        <f t="shared" si="40"/>
        <v>#DIV/0!</v>
      </c>
      <c r="G92" s="8">
        <f t="shared" si="41"/>
        <v>5.3760310451663185E-2</v>
      </c>
      <c r="I92" s="8">
        <f t="shared" si="42"/>
        <v>0.16666666666666663</v>
      </c>
      <c r="K92" s="8">
        <f t="shared" si="43"/>
        <v>6.7379469990854757E-3</v>
      </c>
      <c r="M92" s="8">
        <f t="shared" si="44"/>
        <v>5.3760310451663185E-2</v>
      </c>
      <c r="P92" s="8" t="e">
        <f t="shared" si="45"/>
        <v>#DIV/0!</v>
      </c>
      <c r="Q92" s="2" t="e">
        <f t="shared" si="33"/>
        <v>#DIV/0!</v>
      </c>
      <c r="S92" s="8" t="e">
        <f t="shared" si="46"/>
        <v>#DIV/0!</v>
      </c>
      <c r="T92" s="2" t="e">
        <f t="shared" si="34"/>
        <v>#DIV/0!</v>
      </c>
      <c r="V92" s="8" t="e">
        <f t="shared" si="47"/>
        <v>#DIV/0!</v>
      </c>
      <c r="W92" s="2" t="e">
        <f t="shared" si="35"/>
        <v>#DIV/0!</v>
      </c>
      <c r="Y92" s="8" t="e">
        <f t="shared" si="48"/>
        <v>#DIV/0!</v>
      </c>
      <c r="Z92" s="2" t="e">
        <f t="shared" si="36"/>
        <v>#DIV/0!</v>
      </c>
      <c r="AC92" s="8" t="e">
        <f t="shared" si="49"/>
        <v>#DIV/0!</v>
      </c>
      <c r="AD92" s="2" t="e">
        <f t="shared" si="37"/>
        <v>#DIV/0!</v>
      </c>
      <c r="AG92" s="8" t="e">
        <f t="shared" si="50"/>
        <v>#DIV/0!</v>
      </c>
      <c r="AH92" s="2" t="e">
        <f t="shared" si="38"/>
        <v>#DIV/0!</v>
      </c>
    </row>
    <row r="93" spans="1:34" x14ac:dyDescent="0.2">
      <c r="A93" s="2">
        <f t="shared" si="31"/>
        <v>5.0833333333333321</v>
      </c>
      <c r="B93" s="2">
        <f t="shared" si="32"/>
        <v>6.199210502577001E-3</v>
      </c>
      <c r="C93" s="8">
        <f t="shared" si="39"/>
        <v>6.199210502577001E-3</v>
      </c>
      <c r="E93" s="8" t="e">
        <f t="shared" si="40"/>
        <v>#DIV/0!</v>
      </c>
      <c r="G93" s="8">
        <f t="shared" si="41"/>
        <v>5.1978315022725319E-2</v>
      </c>
      <c r="I93" s="8">
        <f t="shared" si="42"/>
        <v>0.16438356164383561</v>
      </c>
      <c r="K93" s="8">
        <f t="shared" si="43"/>
        <v>6.1992105025769906E-3</v>
      </c>
      <c r="M93" s="8">
        <f t="shared" si="44"/>
        <v>5.1978315022725319E-2</v>
      </c>
      <c r="P93" s="8" t="e">
        <f t="shared" si="45"/>
        <v>#DIV/0!</v>
      </c>
      <c r="Q93" s="2" t="e">
        <f t="shared" si="33"/>
        <v>#DIV/0!</v>
      </c>
      <c r="S93" s="8" t="e">
        <f t="shared" si="46"/>
        <v>#DIV/0!</v>
      </c>
      <c r="T93" s="2" t="e">
        <f t="shared" si="34"/>
        <v>#DIV/0!</v>
      </c>
      <c r="V93" s="8" t="e">
        <f t="shared" si="47"/>
        <v>#DIV/0!</v>
      </c>
      <c r="W93" s="2" t="e">
        <f t="shared" si="35"/>
        <v>#DIV/0!</v>
      </c>
      <c r="Y93" s="8" t="e">
        <f t="shared" si="48"/>
        <v>#DIV/0!</v>
      </c>
      <c r="Z93" s="2" t="e">
        <f t="shared" si="36"/>
        <v>#DIV/0!</v>
      </c>
      <c r="AC93" s="8" t="e">
        <f t="shared" si="49"/>
        <v>#DIV/0!</v>
      </c>
      <c r="AD93" s="2" t="e">
        <f t="shared" si="37"/>
        <v>#DIV/0!</v>
      </c>
      <c r="AG93" s="8" t="e">
        <f t="shared" si="50"/>
        <v>#DIV/0!</v>
      </c>
      <c r="AH93" s="2" t="e">
        <f t="shared" si="38"/>
        <v>#DIV/0!</v>
      </c>
    </row>
    <row r="94" spans="1:34" x14ac:dyDescent="0.2">
      <c r="A94" s="2">
        <f t="shared" si="31"/>
        <v>5.1666666666666652</v>
      </c>
      <c r="B94" s="2">
        <f t="shared" si="32"/>
        <v>5.7035489980074112E-3</v>
      </c>
      <c r="C94" s="8">
        <f t="shared" si="39"/>
        <v>5.7035489980074112E-3</v>
      </c>
      <c r="E94" s="8" t="e">
        <f t="shared" si="40"/>
        <v>#DIV/0!</v>
      </c>
      <c r="G94" s="8">
        <f t="shared" si="41"/>
        <v>5.0271408422590702E-2</v>
      </c>
      <c r="I94" s="8">
        <f t="shared" si="42"/>
        <v>0.16216216216216217</v>
      </c>
      <c r="K94" s="8">
        <f t="shared" si="43"/>
        <v>5.7035489980074017E-3</v>
      </c>
      <c r="M94" s="8">
        <f t="shared" si="44"/>
        <v>5.0271408422590702E-2</v>
      </c>
      <c r="P94" s="8" t="e">
        <f t="shared" si="45"/>
        <v>#DIV/0!</v>
      </c>
      <c r="Q94" s="2" t="e">
        <f t="shared" si="33"/>
        <v>#DIV/0!</v>
      </c>
      <c r="S94" s="8" t="e">
        <f t="shared" si="46"/>
        <v>#DIV/0!</v>
      </c>
      <c r="T94" s="2" t="e">
        <f t="shared" si="34"/>
        <v>#DIV/0!</v>
      </c>
      <c r="V94" s="8" t="e">
        <f t="shared" si="47"/>
        <v>#DIV/0!</v>
      </c>
      <c r="W94" s="2" t="e">
        <f t="shared" si="35"/>
        <v>#DIV/0!</v>
      </c>
      <c r="Y94" s="8" t="e">
        <f t="shared" si="48"/>
        <v>#DIV/0!</v>
      </c>
      <c r="Z94" s="2" t="e">
        <f t="shared" si="36"/>
        <v>#DIV/0!</v>
      </c>
      <c r="AC94" s="8" t="e">
        <f t="shared" si="49"/>
        <v>#DIV/0!</v>
      </c>
      <c r="AD94" s="2" t="e">
        <f t="shared" si="37"/>
        <v>#DIV/0!</v>
      </c>
      <c r="AG94" s="8" t="e">
        <f t="shared" si="50"/>
        <v>#DIV/0!</v>
      </c>
      <c r="AH94" s="2" t="e">
        <f t="shared" si="38"/>
        <v>#DIV/0!</v>
      </c>
    </row>
    <row r="95" spans="1:34" x14ac:dyDescent="0.2">
      <c r="A95" s="2">
        <f t="shared" si="31"/>
        <v>5.2499999999999982</v>
      </c>
      <c r="B95" s="2">
        <f t="shared" si="32"/>
        <v>5.2475183991813933E-3</v>
      </c>
      <c r="C95" s="8">
        <f t="shared" si="39"/>
        <v>5.2475183991813933E-3</v>
      </c>
      <c r="E95" s="8" t="e">
        <f t="shared" si="40"/>
        <v>#DIV/0!</v>
      </c>
      <c r="G95" s="8">
        <f t="shared" si="41"/>
        <v>4.8635719894219109E-2</v>
      </c>
      <c r="I95" s="8">
        <f t="shared" si="42"/>
        <v>0.16000000000000003</v>
      </c>
      <c r="K95" s="8">
        <f t="shared" si="43"/>
        <v>5.2475183991813612E-3</v>
      </c>
      <c r="M95" s="8">
        <f t="shared" si="44"/>
        <v>4.8635719894219109E-2</v>
      </c>
      <c r="P95" s="8" t="e">
        <f t="shared" si="45"/>
        <v>#DIV/0!</v>
      </c>
      <c r="Q95" s="2" t="e">
        <f t="shared" si="33"/>
        <v>#DIV/0!</v>
      </c>
      <c r="S95" s="8" t="e">
        <f t="shared" si="46"/>
        <v>#DIV/0!</v>
      </c>
      <c r="T95" s="2" t="e">
        <f t="shared" si="34"/>
        <v>#DIV/0!</v>
      </c>
      <c r="V95" s="8" t="e">
        <f t="shared" si="47"/>
        <v>#DIV/0!</v>
      </c>
      <c r="W95" s="2" t="e">
        <f t="shared" si="35"/>
        <v>#DIV/0!</v>
      </c>
      <c r="Y95" s="8" t="e">
        <f t="shared" si="48"/>
        <v>#DIV/0!</v>
      </c>
      <c r="Z95" s="2" t="e">
        <f t="shared" si="36"/>
        <v>#DIV/0!</v>
      </c>
      <c r="AC95" s="8" t="e">
        <f t="shared" si="49"/>
        <v>#DIV/0!</v>
      </c>
      <c r="AD95" s="2" t="e">
        <f t="shared" si="37"/>
        <v>#DIV/0!</v>
      </c>
      <c r="AG95" s="8" t="e">
        <f t="shared" si="50"/>
        <v>#DIV/0!</v>
      </c>
      <c r="AH95" s="2" t="e">
        <f t="shared" si="38"/>
        <v>#DIV/0!</v>
      </c>
    </row>
    <row r="96" spans="1:34" x14ac:dyDescent="0.2">
      <c r="A96" s="2">
        <f t="shared" si="31"/>
        <v>5.3333333333333313</v>
      </c>
      <c r="B96" s="2">
        <f t="shared" si="32"/>
        <v>4.8279499938314501E-3</v>
      </c>
      <c r="C96" s="8">
        <f t="shared" si="39"/>
        <v>4.8279499938314501E-3</v>
      </c>
      <c r="E96" s="8" t="e">
        <f t="shared" si="40"/>
        <v>#DIV/0!</v>
      </c>
      <c r="G96" s="8">
        <f t="shared" si="41"/>
        <v>4.7067615502118132E-2</v>
      </c>
      <c r="I96" s="8">
        <f t="shared" si="42"/>
        <v>0.15789473684210531</v>
      </c>
      <c r="K96" s="8">
        <f t="shared" si="43"/>
        <v>4.8279499938314041E-3</v>
      </c>
      <c r="M96" s="8">
        <f t="shared" si="44"/>
        <v>4.7067615502118132E-2</v>
      </c>
      <c r="P96" s="8" t="e">
        <f t="shared" si="45"/>
        <v>#DIV/0!</v>
      </c>
      <c r="Q96" s="2" t="e">
        <f t="shared" si="33"/>
        <v>#DIV/0!</v>
      </c>
      <c r="S96" s="8" t="e">
        <f t="shared" si="46"/>
        <v>#DIV/0!</v>
      </c>
      <c r="T96" s="2" t="e">
        <f t="shared" si="34"/>
        <v>#DIV/0!</v>
      </c>
      <c r="V96" s="8" t="e">
        <f t="shared" si="47"/>
        <v>#DIV/0!</v>
      </c>
      <c r="W96" s="2" t="e">
        <f t="shared" si="35"/>
        <v>#DIV/0!</v>
      </c>
      <c r="Y96" s="8" t="e">
        <f t="shared" si="48"/>
        <v>#DIV/0!</v>
      </c>
      <c r="Z96" s="2" t="e">
        <f t="shared" si="36"/>
        <v>#DIV/0!</v>
      </c>
      <c r="AC96" s="8" t="e">
        <f t="shared" si="49"/>
        <v>#DIV/0!</v>
      </c>
      <c r="AD96" s="2" t="e">
        <f t="shared" si="37"/>
        <v>#DIV/0!</v>
      </c>
      <c r="AG96" s="8" t="e">
        <f t="shared" si="50"/>
        <v>#DIV/0!</v>
      </c>
      <c r="AH96" s="2" t="e">
        <f t="shared" si="38"/>
        <v>#DIV/0!</v>
      </c>
    </row>
    <row r="97" spans="1:34" x14ac:dyDescent="0.2">
      <c r="A97" s="2">
        <f t="shared" si="31"/>
        <v>5.4166666666666643</v>
      </c>
      <c r="B97" s="2">
        <f t="shared" si="32"/>
        <v>4.441928425934303E-3</v>
      </c>
      <c r="C97" s="8">
        <f t="shared" ref="C97:C128" si="51">EXP(-(($A97*$D$27)^$C$27))</f>
        <v>4.441928425934303E-3</v>
      </c>
      <c r="E97" s="8" t="e">
        <f t="shared" ref="E97:E128" si="52">EXP(-(($F$27)/$E$27)*(EXP($E$27*$A97)-1))</f>
        <v>#DIV/0!</v>
      </c>
      <c r="G97" s="8">
        <f t="shared" ref="G97:G128" si="53">1-_xlfn.NORM.S.DIST((LN($A97)-$G$27)/$H$27,TRUE)</f>
        <v>4.5563681346523777E-2</v>
      </c>
      <c r="I97" s="8">
        <f t="shared" ref="I97:I128" si="54">1-(1/(1+($A97/($J$27))^(-$I$27)))</f>
        <v>0.1558441558441559</v>
      </c>
      <c r="K97" s="8">
        <f t="shared" ref="K97:K128" si="55">1-(_xlfn.GAMMA.DIST($L$27*$A97,$K$27,1,TRUE)*EXP(GAMMALN($K$27)))/EXP(GAMMALN($K$27))</f>
        <v>4.4419284259342717E-3</v>
      </c>
      <c r="M97" s="8">
        <f t="shared" ref="M97:M128" si="56">IF(ABS($O$27)&lt;0.05,
        1-_xlfn.NORM.S.DIST((LN($A97)-$M$27)/$N$27,TRUE),
        IF(0=1-
            IF($O$27&gt;0,
                    _xlfn.GAMMA.DIST(EXP($O$27*((LN($A97)-$M$27)/$N$27))*($O$27^(-2)),($O$27^(-2)),1, TRUE),
                    1-_xlfn.GAMMA.DIST(EXP($O$27*((LN($A97)-$M$27)/$N$27))*($O$27^(-2)),($O$27^(-2)),1, TRUE)),
            0,
            EXP(LN(1-
                IF($O$27&gt;0,
                    _xlfn.GAMMA.DIST(EXP($O$27*((LN($A97)-$M$27)/$N$27))*($O$27^(-2)),($O$27^(-2)),1, TRUE),
                    1-_xlfn.GAMMA.DIST(EXP($O$27*((LN($A97)-$M$27)/$N$27))*($O$27^(-2)),($O$27^(-2)),1, TRUE))))))</f>
        <v>4.5563681346523777E-2</v>
      </c>
      <c r="P97" s="8" t="e">
        <f t="shared" ref="P97:P128" si="57">P$27+
Q$27*LN($A97)+
R$27*(MAX(LN($A97)-Q$9,0)^3-R$29*MAX(LN($A97)-P$9,0)^3-(1-R$29)*MAX(LN($A97)-R$9,0)^3)</f>
        <v>#DIV/0!</v>
      </c>
      <c r="Q97" s="2" t="e">
        <f t="shared" si="33"/>
        <v>#DIV/0!</v>
      </c>
      <c r="S97" s="8" t="e">
        <f t="shared" ref="S97:S128" si="58">S$27+
T$27*LN($A97)+
U$27*(MAX(LN($A97)-T$9,0)^3-U$29*MAX(LN($A97)-S$9,0)^3-(1-U$29)*MAX(LN($A97)-U$9,0)^3)</f>
        <v>#DIV/0!</v>
      </c>
      <c r="T97" s="2" t="e">
        <f t="shared" si="34"/>
        <v>#DIV/0!</v>
      </c>
      <c r="V97" s="8" t="e">
        <f t="shared" ref="V97:V128" si="59">V$27+
W$27*LN($A97)+
X$27*(MAX(LN($A97)-W$9,0)^3-X$29*MAX(LN($A97)-V$9,0)^3-(1-X$29)*MAX(LN($A97)-X$9,0)^3)</f>
        <v>#DIV/0!</v>
      </c>
      <c r="W97" s="2" t="e">
        <f t="shared" si="35"/>
        <v>#DIV/0!</v>
      </c>
      <c r="Y97" s="8" t="e">
        <f t="shared" ref="Y97:Y128" si="60">Y$27+
Z$27*LN($A97)+
AA$27*(MAX(LN($A97)-Z$9,0)^3-AA$29*MAX(LN($A97)-Y$9,0)^3-(1-AA$29)*MAX(LN($A97)-AB$9,0)^3)+
AB$27*(MAX(LN($A97)-AA$9,0)^3-AB$29*MAX(LN($A97)-Y$9,0)^3-(1-AB$29)*MAX(LN($A97)-AB$9,0)^3)</f>
        <v>#DIV/0!</v>
      </c>
      <c r="Z97" s="2" t="e">
        <f t="shared" si="36"/>
        <v>#DIV/0!</v>
      </c>
      <c r="AC97" s="8" t="e">
        <f t="shared" ref="AC97:AC128" si="61">AC$27+
AD$27*LN($A97)+
AE$27*(MAX(LN($A97)-AD$9,0)^3-AE$29*MAX(LN($A97)-AC$9,0)^3-(1-AE$29)*MAX(LN($A97)-AF$9,0)^3)+
AF$27*(MAX(LN($A97)-AE$9,0)^3-AF$29*MAX(LN($A97)-AC$9,0)^3-(1-AF$29)*MAX(LN($A97)-AF$9,0)^3)</f>
        <v>#DIV/0!</v>
      </c>
      <c r="AD97" s="2" t="e">
        <f t="shared" si="37"/>
        <v>#DIV/0!</v>
      </c>
      <c r="AG97" s="8" t="e">
        <f t="shared" ref="AG97:AG128" si="62">AG$27+
AH$27*LN($A97)+
AI$27*(MAX(LN($A97)-AH$9,0)^3-AI$29*MAX(LN($A97)-AG$9,0)^3-(1-AI$29)*MAX(LN($A97)-AJ$9,0)^3)+
AJ$27*(MAX(LN($A97)-AI$9,0)^3-AJ$29*MAX(LN($A97)-AG$9,0)^3-(1-AJ$29)*MAX(LN($A97)-AJ$9,0)^3)</f>
        <v>#DIV/0!</v>
      </c>
      <c r="AH97" s="2" t="e">
        <f t="shared" si="38"/>
        <v>#DIV/0!</v>
      </c>
    </row>
    <row r="98" spans="1:34" x14ac:dyDescent="0.2">
      <c r="A98" s="2">
        <f t="shared" ref="A98:A152" si="63">A97+$A$31</f>
        <v>5.4999999999999973</v>
      </c>
      <c r="B98" s="2">
        <f t="shared" ref="B98:B152" si="64">EXP(-$A98*$B$27)</f>
        <v>4.0867714384640779E-3</v>
      </c>
      <c r="C98" s="8">
        <f t="shared" si="51"/>
        <v>4.0867714384640779E-3</v>
      </c>
      <c r="E98" s="8" t="e">
        <f t="shared" si="52"/>
        <v>#DIV/0!</v>
      </c>
      <c r="G98" s="8">
        <f t="shared" si="53"/>
        <v>4.4120708129076203E-2</v>
      </c>
      <c r="I98" s="8">
        <f t="shared" si="54"/>
        <v>0.15384615384615385</v>
      </c>
      <c r="K98" s="8">
        <f t="shared" si="55"/>
        <v>4.0867714384640319E-3</v>
      </c>
      <c r="M98" s="8">
        <f t="shared" si="56"/>
        <v>4.4120708129076203E-2</v>
      </c>
      <c r="P98" s="8" t="e">
        <f t="shared" si="57"/>
        <v>#DIV/0!</v>
      </c>
      <c r="Q98" s="2" t="e">
        <f t="shared" ref="Q98:Q152" si="65">EXP(-EXP($P98))</f>
        <v>#DIV/0!</v>
      </c>
      <c r="S98" s="8" t="e">
        <f t="shared" si="58"/>
        <v>#DIV/0!</v>
      </c>
      <c r="T98" s="2" t="e">
        <f t="shared" ref="T98:T152" si="66">1-(EXP($S98)/(1 + EXP($S98)))</f>
        <v>#DIV/0!</v>
      </c>
      <c r="V98" s="8" t="e">
        <f t="shared" si="59"/>
        <v>#DIV/0!</v>
      </c>
      <c r="W98" s="2" t="e">
        <f t="shared" ref="W98:W152" si="67">1-NORMSDIST($V98)</f>
        <v>#DIV/0!</v>
      </c>
      <c r="Y98" s="8" t="e">
        <f t="shared" si="60"/>
        <v>#DIV/0!</v>
      </c>
      <c r="Z98" s="2" t="e">
        <f t="shared" ref="Z98:Z152" si="68">EXP(-EXP($Y98))</f>
        <v>#DIV/0!</v>
      </c>
      <c r="AC98" s="8" t="e">
        <f t="shared" si="61"/>
        <v>#DIV/0!</v>
      </c>
      <c r="AD98" s="2" t="e">
        <f t="shared" ref="AD98:AD152" si="69">1-(EXP($AC98)/(1 + EXP($AC98)))</f>
        <v>#DIV/0!</v>
      </c>
      <c r="AG98" s="8" t="e">
        <f t="shared" si="62"/>
        <v>#DIV/0!</v>
      </c>
      <c r="AH98" s="2" t="e">
        <f t="shared" ref="AH98:AH152" si="70">1-NORMSDIST($AG98)</f>
        <v>#DIV/0!</v>
      </c>
    </row>
    <row r="99" spans="1:34" x14ac:dyDescent="0.2">
      <c r="A99" s="2">
        <f t="shared" si="63"/>
        <v>5.5833333333333304</v>
      </c>
      <c r="B99" s="2">
        <f t="shared" si="64"/>
        <v>3.7600112358255212E-3</v>
      </c>
      <c r="C99" s="8">
        <f t="shared" si="51"/>
        <v>3.7600112358255212E-3</v>
      </c>
      <c r="E99" s="8" t="e">
        <f t="shared" si="52"/>
        <v>#DIV/0!</v>
      </c>
      <c r="G99" s="8">
        <f t="shared" si="53"/>
        <v>4.2735676948384538E-2</v>
      </c>
      <c r="I99" s="8">
        <f t="shared" si="54"/>
        <v>0.15189873417721522</v>
      </c>
      <c r="K99" s="8">
        <f t="shared" si="55"/>
        <v>3.7600112358254778E-3</v>
      </c>
      <c r="M99" s="8">
        <f t="shared" si="56"/>
        <v>4.2735676948384538E-2</v>
      </c>
      <c r="P99" s="8" t="e">
        <f t="shared" si="57"/>
        <v>#DIV/0!</v>
      </c>
      <c r="Q99" s="2" t="e">
        <f t="shared" si="65"/>
        <v>#DIV/0!</v>
      </c>
      <c r="S99" s="8" t="e">
        <f t="shared" si="58"/>
        <v>#DIV/0!</v>
      </c>
      <c r="T99" s="2" t="e">
        <f t="shared" si="66"/>
        <v>#DIV/0!</v>
      </c>
      <c r="V99" s="8" t="e">
        <f t="shared" si="59"/>
        <v>#DIV/0!</v>
      </c>
      <c r="W99" s="2" t="e">
        <f t="shared" si="67"/>
        <v>#DIV/0!</v>
      </c>
      <c r="Y99" s="8" t="e">
        <f t="shared" si="60"/>
        <v>#DIV/0!</v>
      </c>
      <c r="Z99" s="2" t="e">
        <f t="shared" si="68"/>
        <v>#DIV/0!</v>
      </c>
      <c r="AC99" s="8" t="e">
        <f t="shared" si="61"/>
        <v>#DIV/0!</v>
      </c>
      <c r="AD99" s="2" t="e">
        <f t="shared" si="69"/>
        <v>#DIV/0!</v>
      </c>
      <c r="AG99" s="8" t="e">
        <f t="shared" si="62"/>
        <v>#DIV/0!</v>
      </c>
      <c r="AH99" s="2" t="e">
        <f t="shared" si="70"/>
        <v>#DIV/0!</v>
      </c>
    </row>
    <row r="100" spans="1:34" x14ac:dyDescent="0.2">
      <c r="A100" s="2">
        <f t="shared" si="63"/>
        <v>5.6666666666666634</v>
      </c>
      <c r="B100" s="2">
        <f t="shared" si="64"/>
        <v>3.4593773364647706E-3</v>
      </c>
      <c r="C100" s="8">
        <f t="shared" si="51"/>
        <v>3.4593773364647706E-3</v>
      </c>
      <c r="E100" s="8" t="e">
        <f t="shared" si="52"/>
        <v>#DIV/0!</v>
      </c>
      <c r="G100" s="8">
        <f t="shared" si="53"/>
        <v>4.1405746215938177E-2</v>
      </c>
      <c r="I100" s="8">
        <f t="shared" si="54"/>
        <v>0.15000000000000002</v>
      </c>
      <c r="K100" s="8">
        <f t="shared" si="55"/>
        <v>3.4593773364647307E-3</v>
      </c>
      <c r="M100" s="8">
        <f t="shared" si="56"/>
        <v>4.1405746215938177E-2</v>
      </c>
      <c r="P100" s="8" t="e">
        <f t="shared" si="57"/>
        <v>#DIV/0!</v>
      </c>
      <c r="Q100" s="2" t="e">
        <f t="shared" si="65"/>
        <v>#DIV/0!</v>
      </c>
      <c r="S100" s="8" t="e">
        <f t="shared" si="58"/>
        <v>#DIV/0!</v>
      </c>
      <c r="T100" s="2" t="e">
        <f t="shared" si="66"/>
        <v>#DIV/0!</v>
      </c>
      <c r="V100" s="8" t="e">
        <f t="shared" si="59"/>
        <v>#DIV/0!</v>
      </c>
      <c r="W100" s="2" t="e">
        <f t="shared" si="67"/>
        <v>#DIV/0!</v>
      </c>
      <c r="Y100" s="8" t="e">
        <f t="shared" si="60"/>
        <v>#DIV/0!</v>
      </c>
      <c r="Z100" s="2" t="e">
        <f t="shared" si="68"/>
        <v>#DIV/0!</v>
      </c>
      <c r="AC100" s="8" t="e">
        <f t="shared" si="61"/>
        <v>#DIV/0!</v>
      </c>
      <c r="AD100" s="2" t="e">
        <f t="shared" si="69"/>
        <v>#DIV/0!</v>
      </c>
      <c r="AG100" s="8" t="e">
        <f t="shared" si="62"/>
        <v>#DIV/0!</v>
      </c>
      <c r="AH100" s="2" t="e">
        <f t="shared" si="70"/>
        <v>#DIV/0!</v>
      </c>
    </row>
    <row r="101" spans="1:34" x14ac:dyDescent="0.2">
      <c r="A101" s="2">
        <f t="shared" si="63"/>
        <v>5.7499999999999964</v>
      </c>
      <c r="B101" s="2">
        <f t="shared" si="64"/>
        <v>3.1827807965096782E-3</v>
      </c>
      <c r="C101" s="8">
        <f t="shared" si="51"/>
        <v>3.1827807965096782E-3</v>
      </c>
      <c r="E101" s="8" t="e">
        <f t="shared" si="52"/>
        <v>#DIV/0!</v>
      </c>
      <c r="G101" s="8">
        <f t="shared" si="53"/>
        <v>4.012823959357692E-2</v>
      </c>
      <c r="I101" s="8">
        <f t="shared" si="54"/>
        <v>0.14814814814814825</v>
      </c>
      <c r="K101" s="8">
        <f t="shared" si="55"/>
        <v>3.1827807965096877E-3</v>
      </c>
      <c r="M101" s="8">
        <f t="shared" si="56"/>
        <v>4.012823959357692E-2</v>
      </c>
      <c r="P101" s="8" t="e">
        <f t="shared" si="57"/>
        <v>#DIV/0!</v>
      </c>
      <c r="Q101" s="2" t="e">
        <f t="shared" si="65"/>
        <v>#DIV/0!</v>
      </c>
      <c r="S101" s="8" t="e">
        <f t="shared" si="58"/>
        <v>#DIV/0!</v>
      </c>
      <c r="T101" s="2" t="e">
        <f t="shared" si="66"/>
        <v>#DIV/0!</v>
      </c>
      <c r="V101" s="8" t="e">
        <f t="shared" si="59"/>
        <v>#DIV/0!</v>
      </c>
      <c r="W101" s="2" t="e">
        <f t="shared" si="67"/>
        <v>#DIV/0!</v>
      </c>
      <c r="Y101" s="8" t="e">
        <f t="shared" si="60"/>
        <v>#DIV/0!</v>
      </c>
      <c r="Z101" s="2" t="e">
        <f t="shared" si="68"/>
        <v>#DIV/0!</v>
      </c>
      <c r="AC101" s="8" t="e">
        <f t="shared" si="61"/>
        <v>#DIV/0!</v>
      </c>
      <c r="AD101" s="2" t="e">
        <f t="shared" si="69"/>
        <v>#DIV/0!</v>
      </c>
      <c r="AG101" s="8" t="e">
        <f t="shared" si="62"/>
        <v>#DIV/0!</v>
      </c>
      <c r="AH101" s="2" t="e">
        <f t="shared" si="70"/>
        <v>#DIV/0!</v>
      </c>
    </row>
    <row r="102" spans="1:34" x14ac:dyDescent="0.2">
      <c r="A102" s="2">
        <f t="shared" si="63"/>
        <v>5.8333333333333295</v>
      </c>
      <c r="B102" s="2">
        <f t="shared" si="64"/>
        <v>2.9282996948181992E-3</v>
      </c>
      <c r="C102" s="8">
        <f t="shared" si="51"/>
        <v>2.9282996948181992E-3</v>
      </c>
      <c r="E102" s="8" t="e">
        <f t="shared" si="52"/>
        <v>#DIV/0!</v>
      </c>
      <c r="G102" s="8">
        <f t="shared" si="53"/>
        <v>3.8900634863338279E-2</v>
      </c>
      <c r="I102" s="8">
        <f t="shared" si="54"/>
        <v>0.14634146341463417</v>
      </c>
      <c r="K102" s="8">
        <f t="shared" si="55"/>
        <v>2.9282996948182261E-3</v>
      </c>
      <c r="M102" s="8">
        <f t="shared" si="56"/>
        <v>3.8900634863338279E-2</v>
      </c>
      <c r="P102" s="8" t="e">
        <f t="shared" si="57"/>
        <v>#DIV/0!</v>
      </c>
      <c r="Q102" s="2" t="e">
        <f t="shared" si="65"/>
        <v>#DIV/0!</v>
      </c>
      <c r="S102" s="8" t="e">
        <f t="shared" si="58"/>
        <v>#DIV/0!</v>
      </c>
      <c r="T102" s="2" t="e">
        <f t="shared" si="66"/>
        <v>#DIV/0!</v>
      </c>
      <c r="V102" s="8" t="e">
        <f t="shared" si="59"/>
        <v>#DIV/0!</v>
      </c>
      <c r="W102" s="2" t="e">
        <f t="shared" si="67"/>
        <v>#DIV/0!</v>
      </c>
      <c r="Y102" s="8" t="e">
        <f t="shared" si="60"/>
        <v>#DIV/0!</v>
      </c>
      <c r="Z102" s="2" t="e">
        <f t="shared" si="68"/>
        <v>#DIV/0!</v>
      </c>
      <c r="AC102" s="8" t="e">
        <f t="shared" si="61"/>
        <v>#DIV/0!</v>
      </c>
      <c r="AD102" s="2" t="e">
        <f t="shared" si="69"/>
        <v>#DIV/0!</v>
      </c>
      <c r="AG102" s="8" t="e">
        <f t="shared" si="62"/>
        <v>#DIV/0!</v>
      </c>
      <c r="AH102" s="2" t="e">
        <f t="shared" si="70"/>
        <v>#DIV/0!</v>
      </c>
    </row>
    <row r="103" spans="1:34" x14ac:dyDescent="0.2">
      <c r="A103" s="2">
        <f t="shared" si="63"/>
        <v>5.9166666666666625</v>
      </c>
      <c r="B103" s="2">
        <f t="shared" si="64"/>
        <v>2.6941657785782367E-3</v>
      </c>
      <c r="C103" s="8">
        <f t="shared" si="51"/>
        <v>2.6941657785782367E-3</v>
      </c>
      <c r="E103" s="8" t="e">
        <f t="shared" si="52"/>
        <v>#DIV/0!</v>
      </c>
      <c r="G103" s="8">
        <f t="shared" si="53"/>
        <v>3.7720553649090549E-2</v>
      </c>
      <c r="I103" s="8">
        <f t="shared" si="54"/>
        <v>0.14457831325301218</v>
      </c>
      <c r="K103" s="8">
        <f t="shared" si="55"/>
        <v>2.6941657785782835E-3</v>
      </c>
      <c r="M103" s="8">
        <f t="shared" si="56"/>
        <v>3.7720553649090549E-2</v>
      </c>
      <c r="P103" s="8" t="e">
        <f t="shared" si="57"/>
        <v>#DIV/0!</v>
      </c>
      <c r="Q103" s="2" t="e">
        <f t="shared" si="65"/>
        <v>#DIV/0!</v>
      </c>
      <c r="S103" s="8" t="e">
        <f t="shared" si="58"/>
        <v>#DIV/0!</v>
      </c>
      <c r="T103" s="2" t="e">
        <f t="shared" si="66"/>
        <v>#DIV/0!</v>
      </c>
      <c r="V103" s="8" t="e">
        <f t="shared" si="59"/>
        <v>#DIV/0!</v>
      </c>
      <c r="W103" s="2" t="e">
        <f t="shared" si="67"/>
        <v>#DIV/0!</v>
      </c>
      <c r="Y103" s="8" t="e">
        <f t="shared" si="60"/>
        <v>#DIV/0!</v>
      </c>
      <c r="Z103" s="2" t="e">
        <f t="shared" si="68"/>
        <v>#DIV/0!</v>
      </c>
      <c r="AC103" s="8" t="e">
        <f t="shared" si="61"/>
        <v>#DIV/0!</v>
      </c>
      <c r="AD103" s="2" t="e">
        <f t="shared" si="69"/>
        <v>#DIV/0!</v>
      </c>
      <c r="AG103" s="8" t="e">
        <f t="shared" si="62"/>
        <v>#DIV/0!</v>
      </c>
      <c r="AH103" s="2" t="e">
        <f t="shared" si="70"/>
        <v>#DIV/0!</v>
      </c>
    </row>
    <row r="104" spans="1:34" x14ac:dyDescent="0.2">
      <c r="A104" s="2">
        <f t="shared" si="63"/>
        <v>5.9999999999999956</v>
      </c>
      <c r="B104" s="2">
        <f t="shared" si="64"/>
        <v>2.4787521766663693E-3</v>
      </c>
      <c r="C104" s="8">
        <f t="shared" si="51"/>
        <v>2.4787521766663693E-3</v>
      </c>
      <c r="E104" s="8" t="e">
        <f t="shared" si="52"/>
        <v>#DIV/0!</v>
      </c>
      <c r="G104" s="8">
        <f t="shared" si="53"/>
        <v>3.6585751917042941E-2</v>
      </c>
      <c r="I104" s="8">
        <f t="shared" si="54"/>
        <v>0.1428571428571429</v>
      </c>
      <c r="K104" s="8">
        <f t="shared" si="55"/>
        <v>2.4787521766663767E-3</v>
      </c>
      <c r="M104" s="8">
        <f t="shared" si="56"/>
        <v>3.6585751917042941E-2</v>
      </c>
      <c r="P104" s="8" t="e">
        <f t="shared" si="57"/>
        <v>#DIV/0!</v>
      </c>
      <c r="Q104" s="2" t="e">
        <f t="shared" si="65"/>
        <v>#DIV/0!</v>
      </c>
      <c r="S104" s="8" t="e">
        <f t="shared" si="58"/>
        <v>#DIV/0!</v>
      </c>
      <c r="T104" s="2" t="e">
        <f t="shared" si="66"/>
        <v>#DIV/0!</v>
      </c>
      <c r="V104" s="8" t="e">
        <f t="shared" si="59"/>
        <v>#DIV/0!</v>
      </c>
      <c r="W104" s="2" t="e">
        <f t="shared" si="67"/>
        <v>#DIV/0!</v>
      </c>
      <c r="Y104" s="8" t="e">
        <f t="shared" si="60"/>
        <v>#DIV/0!</v>
      </c>
      <c r="Z104" s="2" t="e">
        <f t="shared" si="68"/>
        <v>#DIV/0!</v>
      </c>
      <c r="AC104" s="8" t="e">
        <f t="shared" si="61"/>
        <v>#DIV/0!</v>
      </c>
      <c r="AD104" s="2" t="e">
        <f t="shared" si="69"/>
        <v>#DIV/0!</v>
      </c>
      <c r="AG104" s="8" t="e">
        <f t="shared" si="62"/>
        <v>#DIV/0!</v>
      </c>
      <c r="AH104" s="2" t="e">
        <f t="shared" si="70"/>
        <v>#DIV/0!</v>
      </c>
    </row>
    <row r="105" spans="1:34" x14ac:dyDescent="0.2">
      <c r="A105" s="2">
        <f t="shared" si="63"/>
        <v>6.0833333333333286</v>
      </c>
      <c r="B105" s="2">
        <f t="shared" si="64"/>
        <v>2.2805620953921715E-3</v>
      </c>
      <c r="C105" s="8">
        <f t="shared" si="51"/>
        <v>2.2805620953921715E-3</v>
      </c>
      <c r="E105" s="8" t="e">
        <f t="shared" si="52"/>
        <v>#DIV/0!</v>
      </c>
      <c r="G105" s="8">
        <f t="shared" si="53"/>
        <v>3.5494111189116828E-2</v>
      </c>
      <c r="I105" s="8">
        <f t="shared" si="54"/>
        <v>0.14117647058823546</v>
      </c>
      <c r="K105" s="8">
        <f t="shared" si="55"/>
        <v>2.2805620953921801E-3</v>
      </c>
      <c r="M105" s="8">
        <f t="shared" si="56"/>
        <v>3.5494111189116828E-2</v>
      </c>
      <c r="P105" s="8" t="e">
        <f t="shared" si="57"/>
        <v>#DIV/0!</v>
      </c>
      <c r="Q105" s="2" t="e">
        <f t="shared" si="65"/>
        <v>#DIV/0!</v>
      </c>
      <c r="S105" s="8" t="e">
        <f t="shared" si="58"/>
        <v>#DIV/0!</v>
      </c>
      <c r="T105" s="2" t="e">
        <f t="shared" si="66"/>
        <v>#DIV/0!</v>
      </c>
      <c r="V105" s="8" t="e">
        <f t="shared" si="59"/>
        <v>#DIV/0!</v>
      </c>
      <c r="W105" s="2" t="e">
        <f t="shared" si="67"/>
        <v>#DIV/0!</v>
      </c>
      <c r="Y105" s="8" t="e">
        <f t="shared" si="60"/>
        <v>#DIV/0!</v>
      </c>
      <c r="Z105" s="2" t="e">
        <f t="shared" si="68"/>
        <v>#DIV/0!</v>
      </c>
      <c r="AC105" s="8" t="e">
        <f t="shared" si="61"/>
        <v>#DIV/0!</v>
      </c>
      <c r="AD105" s="2" t="e">
        <f t="shared" si="69"/>
        <v>#DIV/0!</v>
      </c>
      <c r="AG105" s="8" t="e">
        <f t="shared" si="62"/>
        <v>#DIV/0!</v>
      </c>
      <c r="AH105" s="2" t="e">
        <f t="shared" si="70"/>
        <v>#DIV/0!</v>
      </c>
    </row>
    <row r="106" spans="1:34" x14ac:dyDescent="0.2">
      <c r="A106" s="2">
        <f t="shared" si="63"/>
        <v>6.1666666666666616</v>
      </c>
      <c r="B106" s="2">
        <f t="shared" si="64"/>
        <v>2.0982184180809139E-3</v>
      </c>
      <c r="C106" s="8">
        <f t="shared" si="51"/>
        <v>2.0982184180809139E-3</v>
      </c>
      <c r="E106" s="8" t="e">
        <f t="shared" si="52"/>
        <v>#DIV/0!</v>
      </c>
      <c r="G106" s="8">
        <f t="shared" si="53"/>
        <v>3.4443630409332404E-2</v>
      </c>
      <c r="I106" s="8">
        <f t="shared" si="54"/>
        <v>0.13953488372093037</v>
      </c>
      <c r="K106" s="8">
        <f t="shared" si="55"/>
        <v>2.0982184180808883E-3</v>
      </c>
      <c r="M106" s="8">
        <f t="shared" si="56"/>
        <v>3.4443630409332404E-2</v>
      </c>
      <c r="P106" s="8" t="e">
        <f t="shared" si="57"/>
        <v>#DIV/0!</v>
      </c>
      <c r="Q106" s="2" t="e">
        <f t="shared" si="65"/>
        <v>#DIV/0!</v>
      </c>
      <c r="S106" s="8" t="e">
        <f t="shared" si="58"/>
        <v>#DIV/0!</v>
      </c>
      <c r="T106" s="2" t="e">
        <f t="shared" si="66"/>
        <v>#DIV/0!</v>
      </c>
      <c r="V106" s="8" t="e">
        <f t="shared" si="59"/>
        <v>#DIV/0!</v>
      </c>
      <c r="W106" s="2" t="e">
        <f t="shared" si="67"/>
        <v>#DIV/0!</v>
      </c>
      <c r="Y106" s="8" t="e">
        <f t="shared" si="60"/>
        <v>#DIV/0!</v>
      </c>
      <c r="Z106" s="2" t="e">
        <f t="shared" si="68"/>
        <v>#DIV/0!</v>
      </c>
      <c r="AC106" s="8" t="e">
        <f t="shared" si="61"/>
        <v>#DIV/0!</v>
      </c>
      <c r="AD106" s="2" t="e">
        <f t="shared" si="69"/>
        <v>#DIV/0!</v>
      </c>
      <c r="AG106" s="8" t="e">
        <f t="shared" si="62"/>
        <v>#DIV/0!</v>
      </c>
      <c r="AH106" s="2" t="e">
        <f t="shared" si="70"/>
        <v>#DIV/0!</v>
      </c>
    </row>
    <row r="107" spans="1:34" x14ac:dyDescent="0.2">
      <c r="A107" s="2">
        <f t="shared" si="63"/>
        <v>6.2499999999999947</v>
      </c>
      <c r="B107" s="2">
        <f t="shared" si="64"/>
        <v>1.9304541362277195E-3</v>
      </c>
      <c r="C107" s="8">
        <f t="shared" si="51"/>
        <v>1.9304541362277195E-3</v>
      </c>
      <c r="E107" s="8" t="e">
        <f t="shared" si="52"/>
        <v>#DIV/0!</v>
      </c>
      <c r="G107" s="8">
        <f t="shared" si="53"/>
        <v>3.3432418408916975E-2</v>
      </c>
      <c r="I107" s="8">
        <f t="shared" si="54"/>
        <v>0.13793103448275867</v>
      </c>
      <c r="K107" s="8">
        <f t="shared" si="55"/>
        <v>1.9304541362277217E-3</v>
      </c>
      <c r="M107" s="8">
        <f t="shared" si="56"/>
        <v>3.3432418408916975E-2</v>
      </c>
      <c r="P107" s="8" t="e">
        <f t="shared" si="57"/>
        <v>#DIV/0!</v>
      </c>
      <c r="Q107" s="2" t="e">
        <f t="shared" si="65"/>
        <v>#DIV/0!</v>
      </c>
      <c r="S107" s="8" t="e">
        <f t="shared" si="58"/>
        <v>#DIV/0!</v>
      </c>
      <c r="T107" s="2" t="e">
        <f t="shared" si="66"/>
        <v>#DIV/0!</v>
      </c>
      <c r="V107" s="8" t="e">
        <f t="shared" si="59"/>
        <v>#DIV/0!</v>
      </c>
      <c r="W107" s="2" t="e">
        <f t="shared" si="67"/>
        <v>#DIV/0!</v>
      </c>
      <c r="Y107" s="8" t="e">
        <f t="shared" si="60"/>
        <v>#DIV/0!</v>
      </c>
      <c r="Z107" s="2" t="e">
        <f t="shared" si="68"/>
        <v>#DIV/0!</v>
      </c>
      <c r="AC107" s="8" t="e">
        <f t="shared" si="61"/>
        <v>#DIV/0!</v>
      </c>
      <c r="AD107" s="2" t="e">
        <f t="shared" si="69"/>
        <v>#DIV/0!</v>
      </c>
      <c r="AG107" s="8" t="e">
        <f t="shared" si="62"/>
        <v>#DIV/0!</v>
      </c>
      <c r="AH107" s="2" t="e">
        <f t="shared" si="70"/>
        <v>#DIV/0!</v>
      </c>
    </row>
    <row r="108" spans="1:34" x14ac:dyDescent="0.2">
      <c r="A108" s="2">
        <f t="shared" si="63"/>
        <v>6.3333333333333277</v>
      </c>
      <c r="B108" s="2">
        <f t="shared" si="64"/>
        <v>1.7761035457343887E-3</v>
      </c>
      <c r="C108" s="8">
        <f t="shared" si="51"/>
        <v>1.7761035457343887E-3</v>
      </c>
      <c r="E108" s="8" t="e">
        <f t="shared" si="52"/>
        <v>#DIV/0!</v>
      </c>
      <c r="G108" s="8">
        <f t="shared" si="53"/>
        <v>3.2458686920822988E-2</v>
      </c>
      <c r="I108" s="8">
        <f t="shared" si="54"/>
        <v>0.13636363636363635</v>
      </c>
      <c r="K108" s="8">
        <f t="shared" si="55"/>
        <v>1.776103545734431E-3</v>
      </c>
      <c r="M108" s="8">
        <f t="shared" si="56"/>
        <v>3.2458686920822988E-2</v>
      </c>
      <c r="P108" s="8" t="e">
        <f t="shared" si="57"/>
        <v>#DIV/0!</v>
      </c>
      <c r="Q108" s="2" t="e">
        <f t="shared" si="65"/>
        <v>#DIV/0!</v>
      </c>
      <c r="S108" s="8" t="e">
        <f t="shared" si="58"/>
        <v>#DIV/0!</v>
      </c>
      <c r="T108" s="2" t="e">
        <f t="shared" si="66"/>
        <v>#DIV/0!</v>
      </c>
      <c r="V108" s="8" t="e">
        <f t="shared" si="59"/>
        <v>#DIV/0!</v>
      </c>
      <c r="W108" s="2" t="e">
        <f t="shared" si="67"/>
        <v>#DIV/0!</v>
      </c>
      <c r="Y108" s="8" t="e">
        <f t="shared" si="60"/>
        <v>#DIV/0!</v>
      </c>
      <c r="Z108" s="2" t="e">
        <f t="shared" si="68"/>
        <v>#DIV/0!</v>
      </c>
      <c r="AC108" s="8" t="e">
        <f t="shared" si="61"/>
        <v>#DIV/0!</v>
      </c>
      <c r="AD108" s="2" t="e">
        <f t="shared" si="69"/>
        <v>#DIV/0!</v>
      </c>
      <c r="AG108" s="8" t="e">
        <f t="shared" si="62"/>
        <v>#DIV/0!</v>
      </c>
      <c r="AH108" s="2" t="e">
        <f t="shared" si="70"/>
        <v>#DIV/0!</v>
      </c>
    </row>
    <row r="109" spans="1:34" x14ac:dyDescent="0.2">
      <c r="A109" s="2">
        <f t="shared" si="63"/>
        <v>6.4166666666666607</v>
      </c>
      <c r="B109" s="2">
        <f t="shared" si="64"/>
        <v>1.6340941470562615E-3</v>
      </c>
      <c r="C109" s="8">
        <f t="shared" si="51"/>
        <v>1.6340941470562615E-3</v>
      </c>
      <c r="E109" s="8" t="e">
        <f t="shared" si="52"/>
        <v>#DIV/0!</v>
      </c>
      <c r="G109" s="8">
        <f t="shared" si="53"/>
        <v>3.1520744098831543E-2</v>
      </c>
      <c r="I109" s="8">
        <f t="shared" si="54"/>
        <v>0.1348314606741573</v>
      </c>
      <c r="K109" s="8">
        <f t="shared" si="55"/>
        <v>1.6340941470562864E-3</v>
      </c>
      <c r="M109" s="8">
        <f t="shared" si="56"/>
        <v>3.1520744098831543E-2</v>
      </c>
      <c r="P109" s="8" t="e">
        <f t="shared" si="57"/>
        <v>#DIV/0!</v>
      </c>
      <c r="Q109" s="2" t="e">
        <f t="shared" si="65"/>
        <v>#DIV/0!</v>
      </c>
      <c r="S109" s="8" t="e">
        <f t="shared" si="58"/>
        <v>#DIV/0!</v>
      </c>
      <c r="T109" s="2" t="e">
        <f t="shared" si="66"/>
        <v>#DIV/0!</v>
      </c>
      <c r="V109" s="8" t="e">
        <f t="shared" si="59"/>
        <v>#DIV/0!</v>
      </c>
      <c r="W109" s="2" t="e">
        <f t="shared" si="67"/>
        <v>#DIV/0!</v>
      </c>
      <c r="Y109" s="8" t="e">
        <f t="shared" si="60"/>
        <v>#DIV/0!</v>
      </c>
      <c r="Z109" s="2" t="e">
        <f t="shared" si="68"/>
        <v>#DIV/0!</v>
      </c>
      <c r="AC109" s="8" t="e">
        <f t="shared" si="61"/>
        <v>#DIV/0!</v>
      </c>
      <c r="AD109" s="2" t="e">
        <f t="shared" si="69"/>
        <v>#DIV/0!</v>
      </c>
      <c r="AG109" s="8" t="e">
        <f t="shared" si="62"/>
        <v>#DIV/0!</v>
      </c>
      <c r="AH109" s="2" t="e">
        <f t="shared" si="70"/>
        <v>#DIV/0!</v>
      </c>
    </row>
    <row r="110" spans="1:34" x14ac:dyDescent="0.2">
      <c r="A110" s="2">
        <f t="shared" si="63"/>
        <v>6.4999999999999938</v>
      </c>
      <c r="B110" s="2">
        <f t="shared" si="64"/>
        <v>1.5034391929775817E-3</v>
      </c>
      <c r="C110" s="8">
        <f t="shared" si="51"/>
        <v>1.5034391929775817E-3</v>
      </c>
      <c r="E110" s="8" t="e">
        <f t="shared" si="52"/>
        <v>#DIV/0!</v>
      </c>
      <c r="G110" s="8">
        <f t="shared" si="53"/>
        <v>3.0616988500454356E-2</v>
      </c>
      <c r="I110" s="8">
        <f t="shared" si="54"/>
        <v>0.13333333333333341</v>
      </c>
      <c r="K110" s="8">
        <f t="shared" si="55"/>
        <v>1.5034391929775737E-3</v>
      </c>
      <c r="M110" s="8">
        <f t="shared" si="56"/>
        <v>3.0616988500454356E-2</v>
      </c>
      <c r="P110" s="8" t="e">
        <f t="shared" si="57"/>
        <v>#DIV/0!</v>
      </c>
      <c r="Q110" s="2" t="e">
        <f t="shared" si="65"/>
        <v>#DIV/0!</v>
      </c>
      <c r="S110" s="8" t="e">
        <f t="shared" si="58"/>
        <v>#DIV/0!</v>
      </c>
      <c r="T110" s="2" t="e">
        <f t="shared" si="66"/>
        <v>#DIV/0!</v>
      </c>
      <c r="V110" s="8" t="e">
        <f t="shared" si="59"/>
        <v>#DIV/0!</v>
      </c>
      <c r="W110" s="2" t="e">
        <f t="shared" si="67"/>
        <v>#DIV/0!</v>
      </c>
      <c r="Y110" s="8" t="e">
        <f t="shared" si="60"/>
        <v>#DIV/0!</v>
      </c>
      <c r="Z110" s="2" t="e">
        <f t="shared" si="68"/>
        <v>#DIV/0!</v>
      </c>
      <c r="AC110" s="8" t="e">
        <f t="shared" si="61"/>
        <v>#DIV/0!</v>
      </c>
      <c r="AD110" s="2" t="e">
        <f t="shared" si="69"/>
        <v>#DIV/0!</v>
      </c>
      <c r="AG110" s="8" t="e">
        <f t="shared" si="62"/>
        <v>#DIV/0!</v>
      </c>
      <c r="AH110" s="2" t="e">
        <f t="shared" si="70"/>
        <v>#DIV/0!</v>
      </c>
    </row>
    <row r="111" spans="1:34" x14ac:dyDescent="0.2">
      <c r="A111" s="2">
        <f t="shared" si="63"/>
        <v>6.5833333333333268</v>
      </c>
      <c r="B111" s="2">
        <f t="shared" si="64"/>
        <v>1.3832308322338418E-3</v>
      </c>
      <c r="C111" s="8">
        <f t="shared" si="51"/>
        <v>1.3832308322338418E-3</v>
      </c>
      <c r="E111" s="8" t="e">
        <f t="shared" si="52"/>
        <v>#DIV/0!</v>
      </c>
      <c r="G111" s="8">
        <f t="shared" si="53"/>
        <v>2.9745903496491088E-2</v>
      </c>
      <c r="I111" s="8">
        <f t="shared" si="54"/>
        <v>0.13186813186813195</v>
      </c>
      <c r="K111" s="8">
        <f t="shared" si="55"/>
        <v>1.3832308322337949E-3</v>
      </c>
      <c r="M111" s="8">
        <f t="shared" si="56"/>
        <v>2.9745903496491088E-2</v>
      </c>
      <c r="P111" s="8" t="e">
        <f t="shared" si="57"/>
        <v>#DIV/0!</v>
      </c>
      <c r="Q111" s="2" t="e">
        <f t="shared" si="65"/>
        <v>#DIV/0!</v>
      </c>
      <c r="S111" s="8" t="e">
        <f t="shared" si="58"/>
        <v>#DIV/0!</v>
      </c>
      <c r="T111" s="2" t="e">
        <f t="shared" si="66"/>
        <v>#DIV/0!</v>
      </c>
      <c r="V111" s="8" t="e">
        <f t="shared" si="59"/>
        <v>#DIV/0!</v>
      </c>
      <c r="W111" s="2" t="e">
        <f t="shared" si="67"/>
        <v>#DIV/0!</v>
      </c>
      <c r="Y111" s="8" t="e">
        <f t="shared" si="60"/>
        <v>#DIV/0!</v>
      </c>
      <c r="Z111" s="2" t="e">
        <f t="shared" si="68"/>
        <v>#DIV/0!</v>
      </c>
      <c r="AC111" s="8" t="e">
        <f t="shared" si="61"/>
        <v>#DIV/0!</v>
      </c>
      <c r="AD111" s="2" t="e">
        <f t="shared" si="69"/>
        <v>#DIV/0!</v>
      </c>
      <c r="AG111" s="8" t="e">
        <f t="shared" si="62"/>
        <v>#DIV/0!</v>
      </c>
      <c r="AH111" s="2" t="e">
        <f t="shared" si="70"/>
        <v>#DIV/0!</v>
      </c>
    </row>
    <row r="112" spans="1:34" x14ac:dyDescent="0.2">
      <c r="A112" s="2">
        <f t="shared" si="63"/>
        <v>6.6666666666666599</v>
      </c>
      <c r="B112" s="2">
        <f t="shared" si="64"/>
        <v>1.272633801339817E-3</v>
      </c>
      <c r="C112" s="8">
        <f t="shared" si="51"/>
        <v>1.272633801339817E-3</v>
      </c>
      <c r="E112" s="8" t="e">
        <f t="shared" si="52"/>
        <v>#DIV/0!</v>
      </c>
      <c r="G112" s="8">
        <f t="shared" si="53"/>
        <v>2.8906052073385036E-2</v>
      </c>
      <c r="I112" s="8">
        <f t="shared" si="54"/>
        <v>0.13043478260869579</v>
      </c>
      <c r="K112" s="8">
        <f t="shared" si="55"/>
        <v>1.2726338013397953E-3</v>
      </c>
      <c r="M112" s="8">
        <f t="shared" si="56"/>
        <v>2.8906052073385036E-2</v>
      </c>
      <c r="P112" s="8" t="e">
        <f t="shared" si="57"/>
        <v>#DIV/0!</v>
      </c>
      <c r="Q112" s="2" t="e">
        <f t="shared" si="65"/>
        <v>#DIV/0!</v>
      </c>
      <c r="S112" s="8" t="e">
        <f t="shared" si="58"/>
        <v>#DIV/0!</v>
      </c>
      <c r="T112" s="2" t="e">
        <f t="shared" si="66"/>
        <v>#DIV/0!</v>
      </c>
      <c r="V112" s="8" t="e">
        <f t="shared" si="59"/>
        <v>#DIV/0!</v>
      </c>
      <c r="W112" s="2" t="e">
        <f t="shared" si="67"/>
        <v>#DIV/0!</v>
      </c>
      <c r="Y112" s="8" t="e">
        <f t="shared" si="60"/>
        <v>#DIV/0!</v>
      </c>
      <c r="Z112" s="2" t="e">
        <f t="shared" si="68"/>
        <v>#DIV/0!</v>
      </c>
      <c r="AC112" s="8" t="e">
        <f t="shared" si="61"/>
        <v>#DIV/0!</v>
      </c>
      <c r="AD112" s="2" t="e">
        <f t="shared" si="69"/>
        <v>#DIV/0!</v>
      </c>
      <c r="AG112" s="8" t="e">
        <f t="shared" si="62"/>
        <v>#DIV/0!</v>
      </c>
      <c r="AH112" s="2" t="e">
        <f t="shared" si="70"/>
        <v>#DIV/0!</v>
      </c>
    </row>
    <row r="113" spans="1:34" x14ac:dyDescent="0.2">
      <c r="A113" s="2">
        <f t="shared" si="63"/>
        <v>6.7499999999999929</v>
      </c>
      <c r="B113" s="2">
        <f t="shared" si="64"/>
        <v>1.1708796207911827E-3</v>
      </c>
      <c r="C113" s="8">
        <f t="shared" si="51"/>
        <v>1.1708796207911827E-3</v>
      </c>
      <c r="E113" s="8" t="e">
        <f t="shared" si="52"/>
        <v>#DIV/0!</v>
      </c>
      <c r="G113" s="8">
        <f t="shared" si="53"/>
        <v>2.8096071997489203E-2</v>
      </c>
      <c r="I113" s="8">
        <f t="shared" si="54"/>
        <v>0.12903225806451624</v>
      </c>
      <c r="K113" s="8">
        <f t="shared" si="55"/>
        <v>1.1708796207912098E-3</v>
      </c>
      <c r="M113" s="8">
        <f t="shared" si="56"/>
        <v>2.8096071997489203E-2</v>
      </c>
      <c r="P113" s="8" t="e">
        <f t="shared" si="57"/>
        <v>#DIV/0!</v>
      </c>
      <c r="Q113" s="2" t="e">
        <f t="shared" si="65"/>
        <v>#DIV/0!</v>
      </c>
      <c r="S113" s="8" t="e">
        <f t="shared" si="58"/>
        <v>#DIV/0!</v>
      </c>
      <c r="T113" s="2" t="e">
        <f t="shared" si="66"/>
        <v>#DIV/0!</v>
      </c>
      <c r="V113" s="8" t="e">
        <f t="shared" si="59"/>
        <v>#DIV/0!</v>
      </c>
      <c r="W113" s="2" t="e">
        <f t="shared" si="67"/>
        <v>#DIV/0!</v>
      </c>
      <c r="Y113" s="8" t="e">
        <f t="shared" si="60"/>
        <v>#DIV/0!</v>
      </c>
      <c r="Z113" s="2" t="e">
        <f t="shared" si="68"/>
        <v>#DIV/0!</v>
      </c>
      <c r="AC113" s="8" t="e">
        <f t="shared" si="61"/>
        <v>#DIV/0!</v>
      </c>
      <c r="AD113" s="2" t="e">
        <f t="shared" si="69"/>
        <v>#DIV/0!</v>
      </c>
      <c r="AG113" s="8" t="e">
        <f t="shared" si="62"/>
        <v>#DIV/0!</v>
      </c>
      <c r="AH113" s="2" t="e">
        <f t="shared" si="70"/>
        <v>#DIV/0!</v>
      </c>
    </row>
    <row r="114" spans="1:34" x14ac:dyDescent="0.2">
      <c r="A114" s="2">
        <f t="shared" si="63"/>
        <v>6.8333333333333259</v>
      </c>
      <c r="B114" s="2">
        <f t="shared" si="64"/>
        <v>1.0772612553122281E-3</v>
      </c>
      <c r="C114" s="8">
        <f t="shared" si="51"/>
        <v>1.0772612553122281E-3</v>
      </c>
      <c r="E114" s="8" t="e">
        <f t="shared" si="52"/>
        <v>#DIV/0!</v>
      </c>
      <c r="G114" s="8">
        <f t="shared" si="53"/>
        <v>2.7314671313038219E-2</v>
      </c>
      <c r="I114" s="8">
        <f t="shared" si="54"/>
        <v>0.12765957446808518</v>
      </c>
      <c r="K114" s="8">
        <f t="shared" si="55"/>
        <v>1.0772612553122674E-3</v>
      </c>
      <c r="M114" s="8">
        <f t="shared" si="56"/>
        <v>2.7314671313038219E-2</v>
      </c>
      <c r="P114" s="8" t="e">
        <f t="shared" si="57"/>
        <v>#DIV/0!</v>
      </c>
      <c r="Q114" s="2" t="e">
        <f t="shared" si="65"/>
        <v>#DIV/0!</v>
      </c>
      <c r="S114" s="8" t="e">
        <f t="shared" si="58"/>
        <v>#DIV/0!</v>
      </c>
      <c r="T114" s="2" t="e">
        <f t="shared" si="66"/>
        <v>#DIV/0!</v>
      </c>
      <c r="V114" s="8" t="e">
        <f t="shared" si="59"/>
        <v>#DIV/0!</v>
      </c>
      <c r="W114" s="2" t="e">
        <f t="shared" si="67"/>
        <v>#DIV/0!</v>
      </c>
      <c r="Y114" s="8" t="e">
        <f t="shared" si="60"/>
        <v>#DIV/0!</v>
      </c>
      <c r="Z114" s="2" t="e">
        <f t="shared" si="68"/>
        <v>#DIV/0!</v>
      </c>
      <c r="AC114" s="8" t="e">
        <f t="shared" si="61"/>
        <v>#DIV/0!</v>
      </c>
      <c r="AD114" s="2" t="e">
        <f t="shared" si="69"/>
        <v>#DIV/0!</v>
      </c>
      <c r="AG114" s="8" t="e">
        <f t="shared" si="62"/>
        <v>#DIV/0!</v>
      </c>
      <c r="AH114" s="2" t="e">
        <f t="shared" si="70"/>
        <v>#DIV/0!</v>
      </c>
    </row>
    <row r="115" spans="1:34" x14ac:dyDescent="0.2">
      <c r="A115" s="2">
        <f t="shared" si="63"/>
        <v>6.916666666666659</v>
      </c>
      <c r="B115" s="2">
        <f t="shared" si="64"/>
        <v>9.9112820104658907E-4</v>
      </c>
      <c r="C115" s="8">
        <f t="shared" si="51"/>
        <v>9.9112820104658907E-4</v>
      </c>
      <c r="E115" s="8" t="e">
        <f t="shared" si="52"/>
        <v>#DIV/0!</v>
      </c>
      <c r="G115" s="8">
        <f t="shared" si="53"/>
        <v>2.6560624148051049E-2</v>
      </c>
      <c r="I115" s="8">
        <f t="shared" si="54"/>
        <v>0.12631578947368438</v>
      </c>
      <c r="K115" s="8">
        <f t="shared" si="55"/>
        <v>9.9112820104663157E-4</v>
      </c>
      <c r="M115" s="8">
        <f t="shared" si="56"/>
        <v>2.6560624148051049E-2</v>
      </c>
      <c r="P115" s="8" t="e">
        <f t="shared" si="57"/>
        <v>#DIV/0!</v>
      </c>
      <c r="Q115" s="2" t="e">
        <f t="shared" si="65"/>
        <v>#DIV/0!</v>
      </c>
      <c r="S115" s="8" t="e">
        <f t="shared" si="58"/>
        <v>#DIV/0!</v>
      </c>
      <c r="T115" s="2" t="e">
        <f t="shared" si="66"/>
        <v>#DIV/0!</v>
      </c>
      <c r="V115" s="8" t="e">
        <f t="shared" si="59"/>
        <v>#DIV/0!</v>
      </c>
      <c r="W115" s="2" t="e">
        <f t="shared" si="67"/>
        <v>#DIV/0!</v>
      </c>
      <c r="Y115" s="8" t="e">
        <f t="shared" si="60"/>
        <v>#DIV/0!</v>
      </c>
      <c r="Z115" s="2" t="e">
        <f t="shared" si="68"/>
        <v>#DIV/0!</v>
      </c>
      <c r="AC115" s="8" t="e">
        <f t="shared" si="61"/>
        <v>#DIV/0!</v>
      </c>
      <c r="AD115" s="2" t="e">
        <f t="shared" si="69"/>
        <v>#DIV/0!</v>
      </c>
      <c r="AG115" s="8" t="e">
        <f t="shared" si="62"/>
        <v>#DIV/0!</v>
      </c>
      <c r="AH115" s="2" t="e">
        <f t="shared" si="70"/>
        <v>#DIV/0!</v>
      </c>
    </row>
    <row r="116" spans="1:34" x14ac:dyDescent="0.2">
      <c r="A116" s="2">
        <f t="shared" si="63"/>
        <v>6.999999999999992</v>
      </c>
      <c r="B116" s="2">
        <f t="shared" si="64"/>
        <v>9.1188196555452351E-4</v>
      </c>
      <c r="C116" s="8">
        <f t="shared" si="51"/>
        <v>9.1188196555452351E-4</v>
      </c>
      <c r="E116" s="8" t="e">
        <f t="shared" si="52"/>
        <v>#DIV/0!</v>
      </c>
      <c r="G116" s="8">
        <f t="shared" si="53"/>
        <v>2.5832766804592233E-2</v>
      </c>
      <c r="I116" s="8">
        <f t="shared" si="54"/>
        <v>0.12500000000000011</v>
      </c>
      <c r="K116" s="8">
        <f t="shared" si="55"/>
        <v>9.1188196555447298E-4</v>
      </c>
      <c r="M116" s="8">
        <f t="shared" si="56"/>
        <v>2.5832766804592233E-2</v>
      </c>
      <c r="P116" s="8" t="e">
        <f t="shared" si="57"/>
        <v>#DIV/0!</v>
      </c>
      <c r="Q116" s="2" t="e">
        <f t="shared" si="65"/>
        <v>#DIV/0!</v>
      </c>
      <c r="S116" s="8" t="e">
        <f t="shared" si="58"/>
        <v>#DIV/0!</v>
      </c>
      <c r="T116" s="2" t="e">
        <f t="shared" si="66"/>
        <v>#DIV/0!</v>
      </c>
      <c r="V116" s="8" t="e">
        <f t="shared" si="59"/>
        <v>#DIV/0!</v>
      </c>
      <c r="W116" s="2" t="e">
        <f t="shared" si="67"/>
        <v>#DIV/0!</v>
      </c>
      <c r="Y116" s="8" t="e">
        <f t="shared" si="60"/>
        <v>#DIV/0!</v>
      </c>
      <c r="Z116" s="2" t="e">
        <f t="shared" si="68"/>
        <v>#DIV/0!</v>
      </c>
      <c r="AC116" s="8" t="e">
        <f t="shared" si="61"/>
        <v>#DIV/0!</v>
      </c>
      <c r="AD116" s="2" t="e">
        <f t="shared" si="69"/>
        <v>#DIV/0!</v>
      </c>
      <c r="AG116" s="8" t="e">
        <f t="shared" si="62"/>
        <v>#DIV/0!</v>
      </c>
      <c r="AH116" s="2" t="e">
        <f t="shared" si="70"/>
        <v>#DIV/0!</v>
      </c>
    </row>
    <row r="117" spans="1:34" x14ac:dyDescent="0.2">
      <c r="A117" s="2">
        <f t="shared" si="63"/>
        <v>7.083333333333325</v>
      </c>
      <c r="B117" s="2">
        <f t="shared" si="64"/>
        <v>8.3897190920964853E-4</v>
      </c>
      <c r="C117" s="8">
        <f t="shared" si="51"/>
        <v>8.3897190920964853E-4</v>
      </c>
      <c r="E117" s="8" t="e">
        <f t="shared" si="52"/>
        <v>#DIV/0!</v>
      </c>
      <c r="G117" s="8">
        <f t="shared" si="53"/>
        <v>2.5129994111808607E-2</v>
      </c>
      <c r="I117" s="8">
        <f t="shared" si="54"/>
        <v>0.12371134020618568</v>
      </c>
      <c r="K117" s="8">
        <f t="shared" si="55"/>
        <v>8.3897190920967368E-4</v>
      </c>
      <c r="M117" s="8">
        <f t="shared" si="56"/>
        <v>2.5129994111808607E-2</v>
      </c>
      <c r="P117" s="8" t="e">
        <f t="shared" si="57"/>
        <v>#DIV/0!</v>
      </c>
      <c r="Q117" s="2" t="e">
        <f t="shared" si="65"/>
        <v>#DIV/0!</v>
      </c>
      <c r="S117" s="8" t="e">
        <f t="shared" si="58"/>
        <v>#DIV/0!</v>
      </c>
      <c r="T117" s="2" t="e">
        <f t="shared" si="66"/>
        <v>#DIV/0!</v>
      </c>
      <c r="V117" s="8" t="e">
        <f t="shared" si="59"/>
        <v>#DIV/0!</v>
      </c>
      <c r="W117" s="2" t="e">
        <f t="shared" si="67"/>
        <v>#DIV/0!</v>
      </c>
      <c r="Y117" s="8" t="e">
        <f t="shared" si="60"/>
        <v>#DIV/0!</v>
      </c>
      <c r="Z117" s="2" t="e">
        <f t="shared" si="68"/>
        <v>#DIV/0!</v>
      </c>
      <c r="AC117" s="8" t="e">
        <f t="shared" si="61"/>
        <v>#DIV/0!</v>
      </c>
      <c r="AD117" s="2" t="e">
        <f t="shared" si="69"/>
        <v>#DIV/0!</v>
      </c>
      <c r="AG117" s="8" t="e">
        <f t="shared" si="62"/>
        <v>#DIV/0!</v>
      </c>
      <c r="AH117" s="2" t="e">
        <f t="shared" si="70"/>
        <v>#DIV/0!</v>
      </c>
    </row>
    <row r="118" spans="1:34" x14ac:dyDescent="0.2">
      <c r="A118" s="2">
        <f t="shared" si="63"/>
        <v>7.1666666666666581</v>
      </c>
      <c r="B118" s="2">
        <f t="shared" si="64"/>
        <v>7.71891419099237E-4</v>
      </c>
      <c r="C118" s="8">
        <f t="shared" si="51"/>
        <v>7.71891419099237E-4</v>
      </c>
      <c r="E118" s="8" t="e">
        <f t="shared" si="52"/>
        <v>#DIV/0!</v>
      </c>
      <c r="G118" s="8">
        <f t="shared" si="53"/>
        <v>2.4451256021976842E-2</v>
      </c>
      <c r="I118" s="8">
        <f t="shared" si="54"/>
        <v>0.12244897959183687</v>
      </c>
      <c r="K118" s="8">
        <f t="shared" si="55"/>
        <v>7.7189141909927983E-4</v>
      </c>
      <c r="M118" s="8">
        <f t="shared" si="56"/>
        <v>2.4451256021976842E-2</v>
      </c>
      <c r="P118" s="8" t="e">
        <f t="shared" si="57"/>
        <v>#DIV/0!</v>
      </c>
      <c r="Q118" s="2" t="e">
        <f t="shared" si="65"/>
        <v>#DIV/0!</v>
      </c>
      <c r="S118" s="8" t="e">
        <f t="shared" si="58"/>
        <v>#DIV/0!</v>
      </c>
      <c r="T118" s="2" t="e">
        <f t="shared" si="66"/>
        <v>#DIV/0!</v>
      </c>
      <c r="V118" s="8" t="e">
        <f t="shared" si="59"/>
        <v>#DIV/0!</v>
      </c>
      <c r="W118" s="2" t="e">
        <f t="shared" si="67"/>
        <v>#DIV/0!</v>
      </c>
      <c r="Y118" s="8" t="e">
        <f t="shared" si="60"/>
        <v>#DIV/0!</v>
      </c>
      <c r="Z118" s="2" t="e">
        <f t="shared" si="68"/>
        <v>#DIV/0!</v>
      </c>
      <c r="AC118" s="8" t="e">
        <f t="shared" si="61"/>
        <v>#DIV/0!</v>
      </c>
      <c r="AD118" s="2" t="e">
        <f t="shared" si="69"/>
        <v>#DIV/0!</v>
      </c>
      <c r="AG118" s="8" t="e">
        <f t="shared" si="62"/>
        <v>#DIV/0!</v>
      </c>
      <c r="AH118" s="2" t="e">
        <f t="shared" si="70"/>
        <v>#DIV/0!</v>
      </c>
    </row>
    <row r="119" spans="1:34" x14ac:dyDescent="0.2">
      <c r="A119" s="2">
        <f t="shared" si="63"/>
        <v>7.2499999999999911</v>
      </c>
      <c r="B119" s="2">
        <f t="shared" si="64"/>
        <v>7.1017438884255542E-4</v>
      </c>
      <c r="C119" s="8">
        <f t="shared" si="51"/>
        <v>7.1017438884255542E-4</v>
      </c>
      <c r="E119" s="8" t="e">
        <f t="shared" si="52"/>
        <v>#DIV/0!</v>
      </c>
      <c r="G119" s="8">
        <f t="shared" si="53"/>
        <v>2.3795554431433441E-2</v>
      </c>
      <c r="I119" s="8">
        <f t="shared" si="54"/>
        <v>0.12121212121212144</v>
      </c>
      <c r="K119" s="8">
        <f t="shared" si="55"/>
        <v>7.1017438884257711E-4</v>
      </c>
      <c r="M119" s="8">
        <f t="shared" si="56"/>
        <v>2.3795554431433441E-2</v>
      </c>
      <c r="P119" s="8" t="e">
        <f t="shared" si="57"/>
        <v>#DIV/0!</v>
      </c>
      <c r="Q119" s="2" t="e">
        <f t="shared" si="65"/>
        <v>#DIV/0!</v>
      </c>
      <c r="S119" s="8" t="e">
        <f t="shared" si="58"/>
        <v>#DIV/0!</v>
      </c>
      <c r="T119" s="2" t="e">
        <f t="shared" si="66"/>
        <v>#DIV/0!</v>
      </c>
      <c r="V119" s="8" t="e">
        <f t="shared" si="59"/>
        <v>#DIV/0!</v>
      </c>
      <c r="W119" s="2" t="e">
        <f t="shared" si="67"/>
        <v>#DIV/0!</v>
      </c>
      <c r="Y119" s="8" t="e">
        <f t="shared" si="60"/>
        <v>#DIV/0!</v>
      </c>
      <c r="Z119" s="2" t="e">
        <f t="shared" si="68"/>
        <v>#DIV/0!</v>
      </c>
      <c r="AC119" s="8" t="e">
        <f t="shared" si="61"/>
        <v>#DIV/0!</v>
      </c>
      <c r="AD119" s="2" t="e">
        <f t="shared" si="69"/>
        <v>#DIV/0!</v>
      </c>
      <c r="AG119" s="8" t="e">
        <f t="shared" si="62"/>
        <v>#DIV/0!</v>
      </c>
      <c r="AH119" s="2" t="e">
        <f t="shared" si="70"/>
        <v>#DIV/0!</v>
      </c>
    </row>
    <row r="120" spans="1:34" x14ac:dyDescent="0.2">
      <c r="A120" s="2">
        <f t="shared" si="63"/>
        <v>7.3333333333333242</v>
      </c>
      <c r="B120" s="2">
        <f t="shared" si="64"/>
        <v>6.5339197986738647E-4</v>
      </c>
      <c r="C120" s="8">
        <f t="shared" si="51"/>
        <v>6.5339197986738647E-4</v>
      </c>
      <c r="E120" s="8" t="e">
        <f t="shared" si="52"/>
        <v>#DIV/0!</v>
      </c>
      <c r="G120" s="8">
        <f t="shared" si="53"/>
        <v>2.3161940209759813E-2</v>
      </c>
      <c r="I120" s="8">
        <f t="shared" si="54"/>
        <v>0.12000000000000011</v>
      </c>
      <c r="K120" s="8">
        <f t="shared" si="55"/>
        <v>6.5339197986735709E-4</v>
      </c>
      <c r="M120" s="8">
        <f t="shared" si="56"/>
        <v>2.3161940209759813E-2</v>
      </c>
      <c r="P120" s="8" t="e">
        <f t="shared" si="57"/>
        <v>#DIV/0!</v>
      </c>
      <c r="Q120" s="2" t="e">
        <f t="shared" si="65"/>
        <v>#DIV/0!</v>
      </c>
      <c r="S120" s="8" t="e">
        <f t="shared" si="58"/>
        <v>#DIV/0!</v>
      </c>
      <c r="T120" s="2" t="e">
        <f t="shared" si="66"/>
        <v>#DIV/0!</v>
      </c>
      <c r="V120" s="8" t="e">
        <f t="shared" si="59"/>
        <v>#DIV/0!</v>
      </c>
      <c r="W120" s="2" t="e">
        <f t="shared" si="67"/>
        <v>#DIV/0!</v>
      </c>
      <c r="Y120" s="8" t="e">
        <f t="shared" si="60"/>
        <v>#DIV/0!</v>
      </c>
      <c r="Z120" s="2" t="e">
        <f t="shared" si="68"/>
        <v>#DIV/0!</v>
      </c>
      <c r="AC120" s="8" t="e">
        <f t="shared" si="61"/>
        <v>#DIV/0!</v>
      </c>
      <c r="AD120" s="2" t="e">
        <f t="shared" si="69"/>
        <v>#DIV/0!</v>
      </c>
      <c r="AG120" s="8" t="e">
        <f t="shared" si="62"/>
        <v>#DIV/0!</v>
      </c>
      <c r="AH120" s="2" t="e">
        <f t="shared" si="70"/>
        <v>#DIV/0!</v>
      </c>
    </row>
    <row r="121" spans="1:34" x14ac:dyDescent="0.2">
      <c r="A121" s="2">
        <f t="shared" si="63"/>
        <v>7.4166666666666572</v>
      </c>
      <c r="B121" s="2">
        <f t="shared" si="64"/>
        <v>6.0114964164058435E-4</v>
      </c>
      <c r="C121" s="8">
        <f t="shared" si="51"/>
        <v>6.0114964164058435E-4</v>
      </c>
      <c r="E121" s="8" t="e">
        <f t="shared" si="52"/>
        <v>#DIV/0!</v>
      </c>
      <c r="G121" s="8">
        <f t="shared" si="53"/>
        <v>2.2549510421949082E-2</v>
      </c>
      <c r="I121" s="8">
        <f t="shared" si="54"/>
        <v>0.11881188118811892</v>
      </c>
      <c r="K121" s="8">
        <f t="shared" si="55"/>
        <v>6.0114964164059703E-4</v>
      </c>
      <c r="M121" s="8">
        <f t="shared" si="56"/>
        <v>2.2549510421949082E-2</v>
      </c>
      <c r="P121" s="8" t="e">
        <f t="shared" si="57"/>
        <v>#DIV/0!</v>
      </c>
      <c r="Q121" s="2" t="e">
        <f t="shared" si="65"/>
        <v>#DIV/0!</v>
      </c>
      <c r="S121" s="8" t="e">
        <f t="shared" si="58"/>
        <v>#DIV/0!</v>
      </c>
      <c r="T121" s="2" t="e">
        <f t="shared" si="66"/>
        <v>#DIV/0!</v>
      </c>
      <c r="V121" s="8" t="e">
        <f t="shared" si="59"/>
        <v>#DIV/0!</v>
      </c>
      <c r="W121" s="2" t="e">
        <f t="shared" si="67"/>
        <v>#DIV/0!</v>
      </c>
      <c r="Y121" s="8" t="e">
        <f t="shared" si="60"/>
        <v>#DIV/0!</v>
      </c>
      <c r="Z121" s="2" t="e">
        <f t="shared" si="68"/>
        <v>#DIV/0!</v>
      </c>
      <c r="AC121" s="8" t="e">
        <f t="shared" si="61"/>
        <v>#DIV/0!</v>
      </c>
      <c r="AD121" s="2" t="e">
        <f t="shared" si="69"/>
        <v>#DIV/0!</v>
      </c>
      <c r="AG121" s="8" t="e">
        <f t="shared" si="62"/>
        <v>#DIV/0!</v>
      </c>
      <c r="AH121" s="2" t="e">
        <f t="shared" si="70"/>
        <v>#DIV/0!</v>
      </c>
    </row>
    <row r="122" spans="1:34" x14ac:dyDescent="0.2">
      <c r="A122" s="2">
        <f t="shared" si="63"/>
        <v>7.4999999999999902</v>
      </c>
      <c r="B122" s="2">
        <f t="shared" si="64"/>
        <v>5.5308437014783894E-4</v>
      </c>
      <c r="C122" s="8">
        <f t="shared" si="51"/>
        <v>5.5308437014783894E-4</v>
      </c>
      <c r="E122" s="8" t="e">
        <f t="shared" si="52"/>
        <v>#DIV/0!</v>
      </c>
      <c r="G122" s="8">
        <f t="shared" si="53"/>
        <v>2.1957405729526314E-2</v>
      </c>
      <c r="I122" s="8">
        <f t="shared" si="54"/>
        <v>0.11764705882352955</v>
      </c>
      <c r="K122" s="8">
        <f t="shared" si="55"/>
        <v>5.530843701478938E-4</v>
      </c>
      <c r="M122" s="8">
        <f t="shared" si="56"/>
        <v>2.1957405729526314E-2</v>
      </c>
      <c r="P122" s="8" t="e">
        <f t="shared" si="57"/>
        <v>#DIV/0!</v>
      </c>
      <c r="Q122" s="2" t="e">
        <f t="shared" si="65"/>
        <v>#DIV/0!</v>
      </c>
      <c r="S122" s="8" t="e">
        <f t="shared" si="58"/>
        <v>#DIV/0!</v>
      </c>
      <c r="T122" s="2" t="e">
        <f t="shared" si="66"/>
        <v>#DIV/0!</v>
      </c>
      <c r="V122" s="8" t="e">
        <f t="shared" si="59"/>
        <v>#DIV/0!</v>
      </c>
      <c r="W122" s="2" t="e">
        <f t="shared" si="67"/>
        <v>#DIV/0!</v>
      </c>
      <c r="Y122" s="8" t="e">
        <f t="shared" si="60"/>
        <v>#DIV/0!</v>
      </c>
      <c r="Z122" s="2" t="e">
        <f t="shared" si="68"/>
        <v>#DIV/0!</v>
      </c>
      <c r="AC122" s="8" t="e">
        <f t="shared" si="61"/>
        <v>#DIV/0!</v>
      </c>
      <c r="AD122" s="2" t="e">
        <f t="shared" si="69"/>
        <v>#DIV/0!</v>
      </c>
      <c r="AG122" s="8" t="e">
        <f t="shared" si="62"/>
        <v>#DIV/0!</v>
      </c>
      <c r="AH122" s="2" t="e">
        <f t="shared" si="70"/>
        <v>#DIV/0!</v>
      </c>
    </row>
    <row r="123" spans="1:34" x14ac:dyDescent="0.2">
      <c r="A123" s="2">
        <f t="shared" si="63"/>
        <v>7.5833333333333233</v>
      </c>
      <c r="B123" s="2">
        <f t="shared" si="64"/>
        <v>5.0886218557329665E-4</v>
      </c>
      <c r="C123" s="8">
        <f t="shared" si="51"/>
        <v>5.0886218557329665E-4</v>
      </c>
      <c r="E123" s="8" t="e">
        <f t="shared" si="52"/>
        <v>#DIV/0!</v>
      </c>
      <c r="G123" s="8">
        <f t="shared" si="53"/>
        <v>2.1384807957713803E-2</v>
      </c>
      <c r="I123" s="8">
        <f t="shared" si="54"/>
        <v>0.11650485436893221</v>
      </c>
      <c r="K123" s="8">
        <f t="shared" si="55"/>
        <v>5.0886218557333329E-4</v>
      </c>
      <c r="M123" s="8">
        <f t="shared" si="56"/>
        <v>2.1384807957713803E-2</v>
      </c>
      <c r="P123" s="8" t="e">
        <f t="shared" si="57"/>
        <v>#DIV/0!</v>
      </c>
      <c r="Q123" s="2" t="e">
        <f t="shared" si="65"/>
        <v>#DIV/0!</v>
      </c>
      <c r="S123" s="8" t="e">
        <f t="shared" si="58"/>
        <v>#DIV/0!</v>
      </c>
      <c r="T123" s="2" t="e">
        <f t="shared" si="66"/>
        <v>#DIV/0!</v>
      </c>
      <c r="V123" s="8" t="e">
        <f t="shared" si="59"/>
        <v>#DIV/0!</v>
      </c>
      <c r="W123" s="2" t="e">
        <f t="shared" si="67"/>
        <v>#DIV/0!</v>
      </c>
      <c r="Y123" s="8" t="e">
        <f t="shared" si="60"/>
        <v>#DIV/0!</v>
      </c>
      <c r="Z123" s="2" t="e">
        <f t="shared" si="68"/>
        <v>#DIV/0!</v>
      </c>
      <c r="AC123" s="8" t="e">
        <f t="shared" si="61"/>
        <v>#DIV/0!</v>
      </c>
      <c r="AD123" s="2" t="e">
        <f t="shared" si="69"/>
        <v>#DIV/0!</v>
      </c>
      <c r="AG123" s="8" t="e">
        <f t="shared" si="62"/>
        <v>#DIV/0!</v>
      </c>
      <c r="AH123" s="2" t="e">
        <f t="shared" si="70"/>
        <v>#DIV/0!</v>
      </c>
    </row>
    <row r="124" spans="1:34" x14ac:dyDescent="0.2">
      <c r="A124" s="2">
        <f t="shared" si="63"/>
        <v>7.6666666666666563</v>
      </c>
      <c r="B124" s="2">
        <f t="shared" si="64"/>
        <v>4.6817581165278186E-4</v>
      </c>
      <c r="C124" s="8">
        <f t="shared" si="51"/>
        <v>4.6817581165278186E-4</v>
      </c>
      <c r="E124" s="8" t="e">
        <f t="shared" si="52"/>
        <v>#DIV/0!</v>
      </c>
      <c r="G124" s="8">
        <f t="shared" si="53"/>
        <v>2.0830937816769701E-2</v>
      </c>
      <c r="I124" s="8">
        <f t="shared" si="54"/>
        <v>0.11538461538461553</v>
      </c>
      <c r="K124" s="8">
        <f t="shared" si="55"/>
        <v>4.6817581165281563E-4</v>
      </c>
      <c r="M124" s="8">
        <f t="shared" si="56"/>
        <v>2.0830937816769701E-2</v>
      </c>
      <c r="P124" s="8" t="e">
        <f t="shared" si="57"/>
        <v>#DIV/0!</v>
      </c>
      <c r="Q124" s="2" t="e">
        <f t="shared" si="65"/>
        <v>#DIV/0!</v>
      </c>
      <c r="S124" s="8" t="e">
        <f t="shared" si="58"/>
        <v>#DIV/0!</v>
      </c>
      <c r="T124" s="2" t="e">
        <f t="shared" si="66"/>
        <v>#DIV/0!</v>
      </c>
      <c r="V124" s="8" t="e">
        <f t="shared" si="59"/>
        <v>#DIV/0!</v>
      </c>
      <c r="W124" s="2" t="e">
        <f t="shared" si="67"/>
        <v>#DIV/0!</v>
      </c>
      <c r="Y124" s="8" t="e">
        <f t="shared" si="60"/>
        <v>#DIV/0!</v>
      </c>
      <c r="Z124" s="2" t="e">
        <f t="shared" si="68"/>
        <v>#DIV/0!</v>
      </c>
      <c r="AC124" s="8" t="e">
        <f t="shared" si="61"/>
        <v>#DIV/0!</v>
      </c>
      <c r="AD124" s="2" t="e">
        <f t="shared" si="69"/>
        <v>#DIV/0!</v>
      </c>
      <c r="AG124" s="8" t="e">
        <f t="shared" si="62"/>
        <v>#DIV/0!</v>
      </c>
      <c r="AH124" s="2" t="e">
        <f t="shared" si="70"/>
        <v>#DIV/0!</v>
      </c>
    </row>
    <row r="125" spans="1:34" x14ac:dyDescent="0.2">
      <c r="A125" s="2">
        <f t="shared" si="63"/>
        <v>7.7499999999999893</v>
      </c>
      <c r="B125" s="2">
        <f t="shared" si="64"/>
        <v>4.3074254057569214E-4</v>
      </c>
      <c r="C125" s="8">
        <f t="shared" si="51"/>
        <v>4.3074254057569214E-4</v>
      </c>
      <c r="E125" s="8" t="e">
        <f t="shared" si="52"/>
        <v>#DIV/0!</v>
      </c>
      <c r="G125" s="8">
        <f t="shared" si="53"/>
        <v>2.0295052766562183E-2</v>
      </c>
      <c r="I125" s="8">
        <f t="shared" si="54"/>
        <v>0.11428571428571432</v>
      </c>
      <c r="K125" s="8">
        <f t="shared" si="55"/>
        <v>4.307425405757348E-4</v>
      </c>
      <c r="M125" s="8">
        <f t="shared" si="56"/>
        <v>2.0295052766562183E-2</v>
      </c>
      <c r="P125" s="8" t="e">
        <f t="shared" si="57"/>
        <v>#DIV/0!</v>
      </c>
      <c r="Q125" s="2" t="e">
        <f t="shared" si="65"/>
        <v>#DIV/0!</v>
      </c>
      <c r="S125" s="8" t="e">
        <f t="shared" si="58"/>
        <v>#DIV/0!</v>
      </c>
      <c r="T125" s="2" t="e">
        <f t="shared" si="66"/>
        <v>#DIV/0!</v>
      </c>
      <c r="V125" s="8" t="e">
        <f t="shared" si="59"/>
        <v>#DIV/0!</v>
      </c>
      <c r="W125" s="2" t="e">
        <f t="shared" si="67"/>
        <v>#DIV/0!</v>
      </c>
      <c r="Y125" s="8" t="e">
        <f t="shared" si="60"/>
        <v>#DIV/0!</v>
      </c>
      <c r="Z125" s="2" t="e">
        <f t="shared" si="68"/>
        <v>#DIV/0!</v>
      </c>
      <c r="AC125" s="8" t="e">
        <f t="shared" si="61"/>
        <v>#DIV/0!</v>
      </c>
      <c r="AD125" s="2" t="e">
        <f t="shared" si="69"/>
        <v>#DIV/0!</v>
      </c>
      <c r="AG125" s="8" t="e">
        <f t="shared" si="62"/>
        <v>#DIV/0!</v>
      </c>
      <c r="AH125" s="2" t="e">
        <f t="shared" si="70"/>
        <v>#DIV/0!</v>
      </c>
    </row>
    <row r="126" spans="1:34" x14ac:dyDescent="0.2">
      <c r="A126" s="2">
        <f t="shared" si="63"/>
        <v>7.8333333333333224</v>
      </c>
      <c r="B126" s="2">
        <f t="shared" si="64"/>
        <v>3.9630226859991029E-4</v>
      </c>
      <c r="C126" s="8">
        <f t="shared" si="51"/>
        <v>3.9630226859991029E-4</v>
      </c>
      <c r="E126" s="8" t="e">
        <f t="shared" si="52"/>
        <v>#DIV/0!</v>
      </c>
      <c r="G126" s="8">
        <f t="shared" si="53"/>
        <v>1.9776445014302646E-2</v>
      </c>
      <c r="I126" s="8">
        <f t="shared" si="54"/>
        <v>0.11320754716981152</v>
      </c>
      <c r="K126" s="8">
        <f t="shared" si="55"/>
        <v>3.963022685998796E-4</v>
      </c>
      <c r="M126" s="8">
        <f t="shared" si="56"/>
        <v>1.9776445014302646E-2</v>
      </c>
      <c r="P126" s="8" t="e">
        <f t="shared" si="57"/>
        <v>#DIV/0!</v>
      </c>
      <c r="Q126" s="2" t="e">
        <f t="shared" si="65"/>
        <v>#DIV/0!</v>
      </c>
      <c r="S126" s="8" t="e">
        <f t="shared" si="58"/>
        <v>#DIV/0!</v>
      </c>
      <c r="T126" s="2" t="e">
        <f t="shared" si="66"/>
        <v>#DIV/0!</v>
      </c>
      <c r="V126" s="8" t="e">
        <f t="shared" si="59"/>
        <v>#DIV/0!</v>
      </c>
      <c r="W126" s="2" t="e">
        <f t="shared" si="67"/>
        <v>#DIV/0!</v>
      </c>
      <c r="Y126" s="8" t="e">
        <f t="shared" si="60"/>
        <v>#DIV/0!</v>
      </c>
      <c r="Z126" s="2" t="e">
        <f t="shared" si="68"/>
        <v>#DIV/0!</v>
      </c>
      <c r="AC126" s="8" t="e">
        <f t="shared" si="61"/>
        <v>#DIV/0!</v>
      </c>
      <c r="AD126" s="2" t="e">
        <f t="shared" si="69"/>
        <v>#DIV/0!</v>
      </c>
      <c r="AG126" s="8" t="e">
        <f t="shared" si="62"/>
        <v>#DIV/0!</v>
      </c>
      <c r="AH126" s="2" t="e">
        <f t="shared" si="70"/>
        <v>#DIV/0!</v>
      </c>
    </row>
    <row r="127" spans="1:34" x14ac:dyDescent="0.2">
      <c r="A127" s="2">
        <f t="shared" si="63"/>
        <v>7.9166666666666554</v>
      </c>
      <c r="B127" s="2">
        <f t="shared" si="64"/>
        <v>3.6461568873027739E-4</v>
      </c>
      <c r="C127" s="8">
        <f t="shared" si="51"/>
        <v>3.6461568873027739E-4</v>
      </c>
      <c r="E127" s="8" t="e">
        <f t="shared" si="52"/>
        <v>#DIV/0!</v>
      </c>
      <c r="G127" s="8">
        <f t="shared" si="53"/>
        <v>1.9274439636141727E-2</v>
      </c>
      <c r="I127" s="8">
        <f t="shared" si="54"/>
        <v>0.1121495327102805</v>
      </c>
      <c r="K127" s="8">
        <f t="shared" si="55"/>
        <v>3.6461568873025207E-4</v>
      </c>
      <c r="M127" s="8">
        <f t="shared" si="56"/>
        <v>1.9274439636141727E-2</v>
      </c>
      <c r="P127" s="8" t="e">
        <f t="shared" si="57"/>
        <v>#DIV/0!</v>
      </c>
      <c r="Q127" s="2" t="e">
        <f t="shared" si="65"/>
        <v>#DIV/0!</v>
      </c>
      <c r="S127" s="8" t="e">
        <f t="shared" si="58"/>
        <v>#DIV/0!</v>
      </c>
      <c r="T127" s="2" t="e">
        <f t="shared" si="66"/>
        <v>#DIV/0!</v>
      </c>
      <c r="V127" s="8" t="e">
        <f t="shared" si="59"/>
        <v>#DIV/0!</v>
      </c>
      <c r="W127" s="2" t="e">
        <f t="shared" si="67"/>
        <v>#DIV/0!</v>
      </c>
      <c r="Y127" s="8" t="e">
        <f t="shared" si="60"/>
        <v>#DIV/0!</v>
      </c>
      <c r="Z127" s="2" t="e">
        <f t="shared" si="68"/>
        <v>#DIV/0!</v>
      </c>
      <c r="AC127" s="8" t="e">
        <f t="shared" si="61"/>
        <v>#DIV/0!</v>
      </c>
      <c r="AD127" s="2" t="e">
        <f t="shared" si="69"/>
        <v>#DIV/0!</v>
      </c>
      <c r="AG127" s="8" t="e">
        <f t="shared" si="62"/>
        <v>#DIV/0!</v>
      </c>
      <c r="AH127" s="2" t="e">
        <f t="shared" si="70"/>
        <v>#DIV/0!</v>
      </c>
    </row>
    <row r="128" spans="1:34" x14ac:dyDescent="0.2">
      <c r="A128" s="2">
        <f t="shared" si="63"/>
        <v>7.9999999999999885</v>
      </c>
      <c r="B128" s="2">
        <f t="shared" si="64"/>
        <v>3.354626279025157E-4</v>
      </c>
      <c r="C128" s="8">
        <f t="shared" si="51"/>
        <v>3.354626279025157E-4</v>
      </c>
      <c r="E128" s="8" t="e">
        <f t="shared" si="52"/>
        <v>#DIV/0!</v>
      </c>
      <c r="G128" s="8">
        <f t="shared" si="53"/>
        <v>1.8788392814055199E-2</v>
      </c>
      <c r="I128" s="8">
        <f t="shared" si="54"/>
        <v>0.11111111111111127</v>
      </c>
      <c r="K128" s="8">
        <f t="shared" si="55"/>
        <v>3.3546262790251635E-4</v>
      </c>
      <c r="M128" s="8">
        <f t="shared" si="56"/>
        <v>1.8788392814055199E-2</v>
      </c>
      <c r="P128" s="8" t="e">
        <f t="shared" si="57"/>
        <v>#DIV/0!</v>
      </c>
      <c r="Q128" s="2" t="e">
        <f t="shared" si="65"/>
        <v>#DIV/0!</v>
      </c>
      <c r="S128" s="8" t="e">
        <f t="shared" si="58"/>
        <v>#DIV/0!</v>
      </c>
      <c r="T128" s="2" t="e">
        <f t="shared" si="66"/>
        <v>#DIV/0!</v>
      </c>
      <c r="V128" s="8" t="e">
        <f t="shared" si="59"/>
        <v>#DIV/0!</v>
      </c>
      <c r="W128" s="2" t="e">
        <f t="shared" si="67"/>
        <v>#DIV/0!</v>
      </c>
      <c r="Y128" s="8" t="e">
        <f t="shared" si="60"/>
        <v>#DIV/0!</v>
      </c>
      <c r="Z128" s="2" t="e">
        <f t="shared" si="68"/>
        <v>#DIV/0!</v>
      </c>
      <c r="AC128" s="8" t="e">
        <f t="shared" si="61"/>
        <v>#DIV/0!</v>
      </c>
      <c r="AD128" s="2" t="e">
        <f t="shared" si="69"/>
        <v>#DIV/0!</v>
      </c>
      <c r="AG128" s="8" t="e">
        <f t="shared" si="62"/>
        <v>#DIV/0!</v>
      </c>
      <c r="AH128" s="2" t="e">
        <f t="shared" si="70"/>
        <v>#DIV/0!</v>
      </c>
    </row>
    <row r="129" spans="1:34" x14ac:dyDescent="0.2">
      <c r="A129" s="2">
        <f t="shared" si="63"/>
        <v>8.0833333333333215</v>
      </c>
      <c r="B129" s="2">
        <f t="shared" si="64"/>
        <v>3.0864051711858466E-4</v>
      </c>
      <c r="C129" s="8">
        <f t="shared" ref="C129:C152" si="71">EXP(-(($A129*$D$27)^$C$27))</f>
        <v>3.0864051711858466E-4</v>
      </c>
      <c r="E129" s="8" t="e">
        <f t="shared" ref="E129:E152" si="72">EXP(-(($F$27)/$E$27)*(EXP($E$27*$A129)-1))</f>
        <v>#DIV/0!</v>
      </c>
      <c r="G129" s="8">
        <f t="shared" ref="G129:G152" si="73">1-_xlfn.NORM.S.DIST((LN($A129)-$G$27)/$H$27,TRUE)</f>
        <v>1.8317690180096213E-2</v>
      </c>
      <c r="I129" s="8">
        <f t="shared" ref="I129:I152" si="74">1-(1/(1+($A129/($J$27))^(-$I$27)))</f>
        <v>0.11009174311926628</v>
      </c>
      <c r="K129" s="8">
        <f t="shared" ref="K129:K152" si="75">1-(_xlfn.GAMMA.DIST($L$27*$A129,$K$27,1,TRUE)*EXP(GAMMALN($K$27)))/EXP(GAMMALN($K$27))</f>
        <v>3.0864051711854135E-4</v>
      </c>
      <c r="M129" s="8">
        <f t="shared" ref="M129:M152" si="76">IF(ABS($O$27)&lt;0.05,
        1-_xlfn.NORM.S.DIST((LN($A129)-$M$27)/$N$27,TRUE),
        IF(0=1-
            IF($O$27&gt;0,
                    _xlfn.GAMMA.DIST(EXP($O$27*((LN($A129)-$M$27)/$N$27))*($O$27^(-2)),($O$27^(-2)),1, TRUE),
                    1-_xlfn.GAMMA.DIST(EXP($O$27*((LN($A129)-$M$27)/$N$27))*($O$27^(-2)),($O$27^(-2)),1, TRUE)),
            0,
            EXP(LN(1-
                IF($O$27&gt;0,
                    _xlfn.GAMMA.DIST(EXP($O$27*((LN($A129)-$M$27)/$N$27))*($O$27^(-2)),($O$27^(-2)),1, TRUE),
                    1-_xlfn.GAMMA.DIST(EXP($O$27*((LN($A129)-$M$27)/$N$27))*($O$27^(-2)),($O$27^(-2)),1, TRUE))))))</f>
        <v>1.8317690180096213E-2</v>
      </c>
      <c r="P129" s="8" t="e">
        <f t="shared" ref="P129:P152" si="77">P$27+
Q$27*LN($A129)+
R$27*(MAX(LN($A129)-Q$9,0)^3-R$29*MAX(LN($A129)-P$9,0)^3-(1-R$29)*MAX(LN($A129)-R$9,0)^3)</f>
        <v>#DIV/0!</v>
      </c>
      <c r="Q129" s="2" t="e">
        <f t="shared" si="65"/>
        <v>#DIV/0!</v>
      </c>
      <c r="S129" s="8" t="e">
        <f t="shared" ref="S129:S152" si="78">S$27+
T$27*LN($A129)+
U$27*(MAX(LN($A129)-T$9,0)^3-U$29*MAX(LN($A129)-S$9,0)^3-(1-U$29)*MAX(LN($A129)-U$9,0)^3)</f>
        <v>#DIV/0!</v>
      </c>
      <c r="T129" s="2" t="e">
        <f t="shared" si="66"/>
        <v>#DIV/0!</v>
      </c>
      <c r="V129" s="8" t="e">
        <f t="shared" ref="V129:V152" si="79">V$27+
W$27*LN($A129)+
X$27*(MAX(LN($A129)-W$9,0)^3-X$29*MAX(LN($A129)-V$9,0)^3-(1-X$29)*MAX(LN($A129)-X$9,0)^3)</f>
        <v>#DIV/0!</v>
      </c>
      <c r="W129" s="2" t="e">
        <f t="shared" si="67"/>
        <v>#DIV/0!</v>
      </c>
      <c r="Y129" s="8" t="e">
        <f t="shared" ref="Y129:Y152" si="80">Y$27+
Z$27*LN($A129)+
AA$27*(MAX(LN($A129)-Z$9,0)^3-AA$29*MAX(LN($A129)-Y$9,0)^3-(1-AA$29)*MAX(LN($A129)-AB$9,0)^3)+
AB$27*(MAX(LN($A129)-AA$9,0)^3-AB$29*MAX(LN($A129)-Y$9,0)^3-(1-AB$29)*MAX(LN($A129)-AB$9,0)^3)</f>
        <v>#DIV/0!</v>
      </c>
      <c r="Z129" s="2" t="e">
        <f t="shared" si="68"/>
        <v>#DIV/0!</v>
      </c>
      <c r="AC129" s="8" t="e">
        <f t="shared" ref="AC129:AC152" si="81">AC$27+
AD$27*LN($A129)+
AE$27*(MAX(LN($A129)-AD$9,0)^3-AE$29*MAX(LN($A129)-AC$9,0)^3-(1-AE$29)*MAX(LN($A129)-AF$9,0)^3)+
AF$27*(MAX(LN($A129)-AE$9,0)^3-AF$29*MAX(LN($A129)-AC$9,0)^3-(1-AF$29)*MAX(LN($A129)-AF$9,0)^3)</f>
        <v>#DIV/0!</v>
      </c>
      <c r="AD129" s="2" t="e">
        <f t="shared" si="69"/>
        <v>#DIV/0!</v>
      </c>
      <c r="AG129" s="8" t="e">
        <f t="shared" ref="AG129:AG152" si="82">AG$27+
AH$27*LN($A129)+
AI$27*(MAX(LN($A129)-AH$9,0)^3-AI$29*MAX(LN($A129)-AG$9,0)^3-(1-AI$29)*MAX(LN($A129)-AJ$9,0)^3)+
AJ$27*(MAX(LN($A129)-AI$9,0)^3-AJ$29*MAX(LN($A129)-AG$9,0)^3-(1-AJ$29)*MAX(LN($A129)-AJ$9,0)^3)</f>
        <v>#DIV/0!</v>
      </c>
      <c r="AH129" s="2" t="e">
        <f t="shared" si="70"/>
        <v>#DIV/0!</v>
      </c>
    </row>
    <row r="130" spans="1:34" x14ac:dyDescent="0.2">
      <c r="A130" s="2">
        <f t="shared" si="63"/>
        <v>8.1666666666666554</v>
      </c>
      <c r="B130" s="2">
        <f t="shared" si="64"/>
        <v>2.8396298390325966E-4</v>
      </c>
      <c r="C130" s="8">
        <f t="shared" si="71"/>
        <v>2.8396298390325966E-4</v>
      </c>
      <c r="E130" s="8" t="e">
        <f t="shared" si="72"/>
        <v>#DIV/0!</v>
      </c>
      <c r="G130" s="8">
        <f t="shared" si="73"/>
        <v>1.7861745260699391E-2</v>
      </c>
      <c r="I130" s="8">
        <f t="shared" si="74"/>
        <v>0.10909090909090924</v>
      </c>
      <c r="K130" s="8">
        <f t="shared" si="75"/>
        <v>2.8396298390320762E-4</v>
      </c>
      <c r="M130" s="8">
        <f t="shared" si="76"/>
        <v>1.7861745260699391E-2</v>
      </c>
      <c r="P130" s="8" t="e">
        <f t="shared" si="77"/>
        <v>#DIV/0!</v>
      </c>
      <c r="Q130" s="2" t="e">
        <f t="shared" si="65"/>
        <v>#DIV/0!</v>
      </c>
      <c r="S130" s="8" t="e">
        <f t="shared" si="78"/>
        <v>#DIV/0!</v>
      </c>
      <c r="T130" s="2" t="e">
        <f t="shared" si="66"/>
        <v>#DIV/0!</v>
      </c>
      <c r="V130" s="8" t="e">
        <f t="shared" si="79"/>
        <v>#DIV/0!</v>
      </c>
      <c r="W130" s="2" t="e">
        <f t="shared" si="67"/>
        <v>#DIV/0!</v>
      </c>
      <c r="Y130" s="8" t="e">
        <f t="shared" si="80"/>
        <v>#DIV/0!</v>
      </c>
      <c r="Z130" s="2" t="e">
        <f t="shared" si="68"/>
        <v>#DIV/0!</v>
      </c>
      <c r="AC130" s="8" t="e">
        <f t="shared" si="81"/>
        <v>#DIV/0!</v>
      </c>
      <c r="AD130" s="2" t="e">
        <f t="shared" si="69"/>
        <v>#DIV/0!</v>
      </c>
      <c r="AG130" s="8" t="e">
        <f t="shared" si="82"/>
        <v>#DIV/0!</v>
      </c>
      <c r="AH130" s="2" t="e">
        <f t="shared" si="70"/>
        <v>#DIV/0!</v>
      </c>
    </row>
    <row r="131" spans="1:34" x14ac:dyDescent="0.2">
      <c r="A131" s="2">
        <f t="shared" si="63"/>
        <v>8.2499999999999893</v>
      </c>
      <c r="B131" s="2">
        <f t="shared" si="64"/>
        <v>2.612585573016703E-4</v>
      </c>
      <c r="C131" s="8">
        <f t="shared" si="71"/>
        <v>2.612585573016703E-4</v>
      </c>
      <c r="E131" s="8" t="e">
        <f t="shared" si="72"/>
        <v>#DIV/0!</v>
      </c>
      <c r="G131" s="8">
        <f t="shared" si="73"/>
        <v>1.7419998014267635E-2</v>
      </c>
      <c r="I131" s="8">
        <f t="shared" si="74"/>
        <v>0.10810810810810823</v>
      </c>
      <c r="K131" s="8">
        <f t="shared" si="75"/>
        <v>2.6125855730163572E-4</v>
      </c>
      <c r="M131" s="8">
        <f t="shared" si="76"/>
        <v>1.7419998014267635E-2</v>
      </c>
      <c r="P131" s="8" t="e">
        <f t="shared" si="77"/>
        <v>#DIV/0!</v>
      </c>
      <c r="Q131" s="2" t="e">
        <f t="shared" si="65"/>
        <v>#DIV/0!</v>
      </c>
      <c r="S131" s="8" t="e">
        <f t="shared" si="78"/>
        <v>#DIV/0!</v>
      </c>
      <c r="T131" s="2" t="e">
        <f t="shared" si="66"/>
        <v>#DIV/0!</v>
      </c>
      <c r="V131" s="8" t="e">
        <f t="shared" si="79"/>
        <v>#DIV/0!</v>
      </c>
      <c r="W131" s="2" t="e">
        <f t="shared" si="67"/>
        <v>#DIV/0!</v>
      </c>
      <c r="Y131" s="8" t="e">
        <f t="shared" si="80"/>
        <v>#DIV/0!</v>
      </c>
      <c r="Z131" s="2" t="e">
        <f t="shared" si="68"/>
        <v>#DIV/0!</v>
      </c>
      <c r="AC131" s="8" t="e">
        <f t="shared" si="81"/>
        <v>#DIV/0!</v>
      </c>
      <c r="AD131" s="2" t="e">
        <f t="shared" si="69"/>
        <v>#DIV/0!</v>
      </c>
      <c r="AG131" s="8" t="e">
        <f t="shared" si="82"/>
        <v>#DIV/0!</v>
      </c>
      <c r="AH131" s="2" t="e">
        <f t="shared" si="70"/>
        <v>#DIV/0!</v>
      </c>
    </row>
    <row r="132" spans="1:34" x14ac:dyDescent="0.2">
      <c r="A132" s="2">
        <f t="shared" si="63"/>
        <v>8.3333333333333233</v>
      </c>
      <c r="B132" s="2">
        <f t="shared" si="64"/>
        <v>2.4036947641951662E-4</v>
      </c>
      <c r="C132" s="8">
        <f t="shared" si="71"/>
        <v>2.4036947641951662E-4</v>
      </c>
      <c r="E132" s="8" t="e">
        <f t="shared" si="72"/>
        <v>#DIV/0!</v>
      </c>
      <c r="G132" s="8">
        <f t="shared" si="73"/>
        <v>1.6991913455783769E-2</v>
      </c>
      <c r="I132" s="8">
        <f t="shared" si="74"/>
        <v>0.10714285714285721</v>
      </c>
      <c r="K132" s="8">
        <f t="shared" si="75"/>
        <v>2.4036947641947748E-4</v>
      </c>
      <c r="M132" s="8">
        <f t="shared" si="76"/>
        <v>1.6991913455783769E-2</v>
      </c>
      <c r="P132" s="8" t="e">
        <f t="shared" si="77"/>
        <v>#DIV/0!</v>
      </c>
      <c r="Q132" s="2" t="e">
        <f t="shared" si="65"/>
        <v>#DIV/0!</v>
      </c>
      <c r="S132" s="8" t="e">
        <f t="shared" si="78"/>
        <v>#DIV/0!</v>
      </c>
      <c r="T132" s="2" t="e">
        <f t="shared" si="66"/>
        <v>#DIV/0!</v>
      </c>
      <c r="V132" s="8" t="e">
        <f t="shared" si="79"/>
        <v>#DIV/0!</v>
      </c>
      <c r="W132" s="2" t="e">
        <f t="shared" si="67"/>
        <v>#DIV/0!</v>
      </c>
      <c r="Y132" s="8" t="e">
        <f t="shared" si="80"/>
        <v>#DIV/0!</v>
      </c>
      <c r="Z132" s="2" t="e">
        <f t="shared" si="68"/>
        <v>#DIV/0!</v>
      </c>
      <c r="AC132" s="8" t="e">
        <f t="shared" si="81"/>
        <v>#DIV/0!</v>
      </c>
      <c r="AD132" s="2" t="e">
        <f t="shared" si="69"/>
        <v>#DIV/0!</v>
      </c>
      <c r="AG132" s="8" t="e">
        <f t="shared" si="82"/>
        <v>#DIV/0!</v>
      </c>
      <c r="AH132" s="2" t="e">
        <f t="shared" si="70"/>
        <v>#DIV/0!</v>
      </c>
    </row>
    <row r="133" spans="1:34" x14ac:dyDescent="0.2">
      <c r="A133" s="2">
        <f t="shared" si="63"/>
        <v>8.4166666666666572</v>
      </c>
      <c r="B133" s="2">
        <f t="shared" si="64"/>
        <v>2.2115059422715097E-4</v>
      </c>
      <c r="C133" s="8">
        <f t="shared" si="71"/>
        <v>2.2115059422715097E-4</v>
      </c>
      <c r="E133" s="8" t="e">
        <f t="shared" si="72"/>
        <v>#DIV/0!</v>
      </c>
      <c r="G133" s="8">
        <f t="shared" si="73"/>
        <v>1.6576980362649874E-2</v>
      </c>
      <c r="I133" s="8">
        <f t="shared" si="74"/>
        <v>0.10619469026548678</v>
      </c>
      <c r="K133" s="8">
        <f t="shared" si="75"/>
        <v>2.2115059422711525E-4</v>
      </c>
      <c r="M133" s="8">
        <f t="shared" si="76"/>
        <v>1.6576980362649874E-2</v>
      </c>
      <c r="P133" s="8" t="e">
        <f t="shared" si="77"/>
        <v>#DIV/0!</v>
      </c>
      <c r="Q133" s="2" t="e">
        <f t="shared" si="65"/>
        <v>#DIV/0!</v>
      </c>
      <c r="S133" s="8" t="e">
        <f t="shared" si="78"/>
        <v>#DIV/0!</v>
      </c>
      <c r="T133" s="2" t="e">
        <f t="shared" si="66"/>
        <v>#DIV/0!</v>
      </c>
      <c r="V133" s="8" t="e">
        <f t="shared" si="79"/>
        <v>#DIV/0!</v>
      </c>
      <c r="W133" s="2" t="e">
        <f t="shared" si="67"/>
        <v>#DIV/0!</v>
      </c>
      <c r="Y133" s="8" t="e">
        <f t="shared" si="80"/>
        <v>#DIV/0!</v>
      </c>
      <c r="Z133" s="2" t="e">
        <f t="shared" si="68"/>
        <v>#DIV/0!</v>
      </c>
      <c r="AC133" s="8" t="e">
        <f t="shared" si="81"/>
        <v>#DIV/0!</v>
      </c>
      <c r="AD133" s="2" t="e">
        <f t="shared" si="69"/>
        <v>#DIV/0!</v>
      </c>
      <c r="AG133" s="8" t="e">
        <f t="shared" si="82"/>
        <v>#DIV/0!</v>
      </c>
      <c r="AH133" s="2" t="e">
        <f t="shared" si="70"/>
        <v>#DIV/0!</v>
      </c>
    </row>
    <row r="134" spans="1:34" x14ac:dyDescent="0.2">
      <c r="A134" s="2">
        <f t="shared" si="63"/>
        <v>8.4999999999999911</v>
      </c>
      <c r="B134" s="2">
        <f t="shared" si="64"/>
        <v>2.0346836901064598E-4</v>
      </c>
      <c r="C134" s="8">
        <f t="shared" si="71"/>
        <v>2.0346836901064598E-4</v>
      </c>
      <c r="E134" s="8" t="e">
        <f t="shared" si="72"/>
        <v>#DIV/0!</v>
      </c>
      <c r="G134" s="8">
        <f t="shared" si="73"/>
        <v>1.6174710056386488E-2</v>
      </c>
      <c r="I134" s="8">
        <f t="shared" si="74"/>
        <v>0.10526315789473684</v>
      </c>
      <c r="K134" s="8">
        <f t="shared" si="75"/>
        <v>2.034683690106398E-4</v>
      </c>
      <c r="M134" s="8">
        <f t="shared" si="76"/>
        <v>1.6174710056386488E-2</v>
      </c>
      <c r="P134" s="8" t="e">
        <f t="shared" si="77"/>
        <v>#DIV/0!</v>
      </c>
      <c r="Q134" s="2" t="e">
        <f t="shared" si="65"/>
        <v>#DIV/0!</v>
      </c>
      <c r="S134" s="8" t="e">
        <f t="shared" si="78"/>
        <v>#DIV/0!</v>
      </c>
      <c r="T134" s="2" t="e">
        <f t="shared" si="66"/>
        <v>#DIV/0!</v>
      </c>
      <c r="V134" s="8" t="e">
        <f t="shared" si="79"/>
        <v>#DIV/0!</v>
      </c>
      <c r="W134" s="2" t="e">
        <f t="shared" si="67"/>
        <v>#DIV/0!</v>
      </c>
      <c r="Y134" s="8" t="e">
        <f t="shared" si="80"/>
        <v>#DIV/0!</v>
      </c>
      <c r="Z134" s="2" t="e">
        <f t="shared" si="68"/>
        <v>#DIV/0!</v>
      </c>
      <c r="AC134" s="8" t="e">
        <f t="shared" si="81"/>
        <v>#DIV/0!</v>
      </c>
      <c r="AD134" s="2" t="e">
        <f t="shared" si="69"/>
        <v>#DIV/0!</v>
      </c>
      <c r="AG134" s="8" t="e">
        <f t="shared" si="82"/>
        <v>#DIV/0!</v>
      </c>
      <c r="AH134" s="2" t="e">
        <f t="shared" si="70"/>
        <v>#DIV/0!</v>
      </c>
    </row>
    <row r="135" spans="1:34" x14ac:dyDescent="0.2">
      <c r="A135" s="2">
        <f t="shared" si="63"/>
        <v>8.583333333333325</v>
      </c>
      <c r="B135" s="2">
        <f t="shared" si="64"/>
        <v>1.8719993646198281E-4</v>
      </c>
      <c r="C135" s="8">
        <f t="shared" si="71"/>
        <v>1.8719993646198281E-4</v>
      </c>
      <c r="E135" s="8" t="e">
        <f t="shared" si="72"/>
        <v>#DIV/0!</v>
      </c>
      <c r="G135" s="8">
        <f t="shared" si="73"/>
        <v>1.5784635255215118E-2</v>
      </c>
      <c r="I135" s="8">
        <f t="shared" si="74"/>
        <v>0.1043478260869567</v>
      </c>
      <c r="K135" s="8">
        <f t="shared" si="75"/>
        <v>1.8719993646199029E-4</v>
      </c>
      <c r="M135" s="8">
        <f t="shared" si="76"/>
        <v>1.5784635255215118E-2</v>
      </c>
      <c r="P135" s="8" t="e">
        <f t="shared" si="77"/>
        <v>#DIV/0!</v>
      </c>
      <c r="Q135" s="2" t="e">
        <f t="shared" si="65"/>
        <v>#DIV/0!</v>
      </c>
      <c r="S135" s="8" t="e">
        <f t="shared" si="78"/>
        <v>#DIV/0!</v>
      </c>
      <c r="T135" s="2" t="e">
        <f t="shared" si="66"/>
        <v>#DIV/0!</v>
      </c>
      <c r="V135" s="8" t="e">
        <f t="shared" si="79"/>
        <v>#DIV/0!</v>
      </c>
      <c r="W135" s="2" t="e">
        <f t="shared" si="67"/>
        <v>#DIV/0!</v>
      </c>
      <c r="Y135" s="8" t="e">
        <f t="shared" si="80"/>
        <v>#DIV/0!</v>
      </c>
      <c r="Z135" s="2" t="e">
        <f t="shared" si="68"/>
        <v>#DIV/0!</v>
      </c>
      <c r="AC135" s="8" t="e">
        <f t="shared" si="81"/>
        <v>#DIV/0!</v>
      </c>
      <c r="AD135" s="2" t="e">
        <f t="shared" si="69"/>
        <v>#DIV/0!</v>
      </c>
      <c r="AG135" s="8" t="e">
        <f t="shared" si="82"/>
        <v>#DIV/0!</v>
      </c>
      <c r="AH135" s="2" t="e">
        <f t="shared" si="70"/>
        <v>#DIV/0!</v>
      </c>
    </row>
    <row r="136" spans="1:34" x14ac:dyDescent="0.2">
      <c r="A136" s="2">
        <f t="shared" si="63"/>
        <v>8.666666666666659</v>
      </c>
      <c r="B136" s="2">
        <f t="shared" si="64"/>
        <v>1.7223225596081138E-4</v>
      </c>
      <c r="C136" s="8">
        <f t="shared" si="71"/>
        <v>1.7223225596081138E-4</v>
      </c>
      <c r="E136" s="8" t="e">
        <f t="shared" si="72"/>
        <v>#DIV/0!</v>
      </c>
      <c r="G136" s="8">
        <f t="shared" si="73"/>
        <v>1.5406308992909512E-2</v>
      </c>
      <c r="I136" s="8">
        <f t="shared" si="74"/>
        <v>0.10344827586206895</v>
      </c>
      <c r="K136" s="8">
        <f t="shared" si="75"/>
        <v>1.7223225596085801E-4</v>
      </c>
      <c r="M136" s="8">
        <f t="shared" si="76"/>
        <v>1.5406308992909512E-2</v>
      </c>
      <c r="P136" s="8" t="e">
        <f t="shared" si="77"/>
        <v>#DIV/0!</v>
      </c>
      <c r="Q136" s="2" t="e">
        <f t="shared" si="65"/>
        <v>#DIV/0!</v>
      </c>
      <c r="S136" s="8" t="e">
        <f t="shared" si="78"/>
        <v>#DIV/0!</v>
      </c>
      <c r="T136" s="2" t="e">
        <f t="shared" si="66"/>
        <v>#DIV/0!</v>
      </c>
      <c r="V136" s="8" t="e">
        <f t="shared" si="79"/>
        <v>#DIV/0!</v>
      </c>
      <c r="W136" s="2" t="e">
        <f t="shared" si="67"/>
        <v>#DIV/0!</v>
      </c>
      <c r="Y136" s="8" t="e">
        <f t="shared" si="80"/>
        <v>#DIV/0!</v>
      </c>
      <c r="Z136" s="2" t="e">
        <f t="shared" si="68"/>
        <v>#DIV/0!</v>
      </c>
      <c r="AC136" s="8" t="e">
        <f t="shared" si="81"/>
        <v>#DIV/0!</v>
      </c>
      <c r="AD136" s="2" t="e">
        <f t="shared" si="69"/>
        <v>#DIV/0!</v>
      </c>
      <c r="AG136" s="8" t="e">
        <f t="shared" si="82"/>
        <v>#DIV/0!</v>
      </c>
      <c r="AH136" s="2" t="e">
        <f t="shared" si="70"/>
        <v>#DIV/0!</v>
      </c>
    </row>
    <row r="137" spans="1:34" x14ac:dyDescent="0.2">
      <c r="A137" s="2">
        <f t="shared" si="63"/>
        <v>8.7499999999999929</v>
      </c>
      <c r="B137" s="2">
        <f t="shared" si="64"/>
        <v>1.5846132511575237E-4</v>
      </c>
      <c r="C137" s="8">
        <f t="shared" si="71"/>
        <v>1.5846132511575237E-4</v>
      </c>
      <c r="E137" s="8" t="e">
        <f t="shared" si="72"/>
        <v>#DIV/0!</v>
      </c>
      <c r="G137" s="8">
        <f t="shared" si="73"/>
        <v>1.5039303599632015E-2</v>
      </c>
      <c r="I137" s="8">
        <f t="shared" si="74"/>
        <v>0.10256410256410264</v>
      </c>
      <c r="K137" s="8">
        <f t="shared" si="75"/>
        <v>1.5846132511576627E-4</v>
      </c>
      <c r="M137" s="8">
        <f t="shared" si="76"/>
        <v>1.5039303599632015E-2</v>
      </c>
      <c r="P137" s="8" t="e">
        <f t="shared" si="77"/>
        <v>#DIV/0!</v>
      </c>
      <c r="Q137" s="2" t="e">
        <f t="shared" si="65"/>
        <v>#DIV/0!</v>
      </c>
      <c r="S137" s="8" t="e">
        <f t="shared" si="78"/>
        <v>#DIV/0!</v>
      </c>
      <c r="T137" s="2" t="e">
        <f t="shared" si="66"/>
        <v>#DIV/0!</v>
      </c>
      <c r="V137" s="8" t="e">
        <f t="shared" si="79"/>
        <v>#DIV/0!</v>
      </c>
      <c r="W137" s="2" t="e">
        <f t="shared" si="67"/>
        <v>#DIV/0!</v>
      </c>
      <c r="Y137" s="8" t="e">
        <f t="shared" si="80"/>
        <v>#DIV/0!</v>
      </c>
      <c r="Z137" s="2" t="e">
        <f t="shared" si="68"/>
        <v>#DIV/0!</v>
      </c>
      <c r="AC137" s="8" t="e">
        <f t="shared" si="81"/>
        <v>#DIV/0!</v>
      </c>
      <c r="AD137" s="2" t="e">
        <f t="shared" si="69"/>
        <v>#DIV/0!</v>
      </c>
      <c r="AG137" s="8" t="e">
        <f t="shared" si="82"/>
        <v>#DIV/0!</v>
      </c>
      <c r="AH137" s="2" t="e">
        <f t="shared" si="70"/>
        <v>#DIV/0!</v>
      </c>
    </row>
    <row r="138" spans="1:34" x14ac:dyDescent="0.2">
      <c r="A138" s="2">
        <f t="shared" si="63"/>
        <v>8.8333333333333268</v>
      </c>
      <c r="B138" s="2">
        <f t="shared" si="64"/>
        <v>1.4579145710750919E-4</v>
      </c>
      <c r="C138" s="8">
        <f t="shared" si="71"/>
        <v>1.4579145710750919E-4</v>
      </c>
      <c r="E138" s="8" t="e">
        <f t="shared" si="72"/>
        <v>#DIV/0!</v>
      </c>
      <c r="G138" s="8">
        <f t="shared" si="73"/>
        <v>1.4683209740778969E-2</v>
      </c>
      <c r="I138" s="8">
        <f t="shared" si="74"/>
        <v>0.10169491525423724</v>
      </c>
      <c r="K138" s="8">
        <f t="shared" si="75"/>
        <v>1.4579145710746921E-4</v>
      </c>
      <c r="M138" s="8">
        <f t="shared" si="76"/>
        <v>1.4683209740778969E-2</v>
      </c>
      <c r="P138" s="8" t="e">
        <f t="shared" si="77"/>
        <v>#DIV/0!</v>
      </c>
      <c r="Q138" s="2" t="e">
        <f t="shared" si="65"/>
        <v>#DIV/0!</v>
      </c>
      <c r="S138" s="8" t="e">
        <f t="shared" si="78"/>
        <v>#DIV/0!</v>
      </c>
      <c r="T138" s="2" t="e">
        <f t="shared" si="66"/>
        <v>#DIV/0!</v>
      </c>
      <c r="V138" s="8" t="e">
        <f t="shared" si="79"/>
        <v>#DIV/0!</v>
      </c>
      <c r="W138" s="2" t="e">
        <f t="shared" si="67"/>
        <v>#DIV/0!</v>
      </c>
      <c r="Y138" s="8" t="e">
        <f t="shared" si="80"/>
        <v>#DIV/0!</v>
      </c>
      <c r="Z138" s="2" t="e">
        <f t="shared" si="68"/>
        <v>#DIV/0!</v>
      </c>
      <c r="AC138" s="8" t="e">
        <f t="shared" si="81"/>
        <v>#DIV/0!</v>
      </c>
      <c r="AD138" s="2" t="e">
        <f t="shared" si="69"/>
        <v>#DIV/0!</v>
      </c>
      <c r="AG138" s="8" t="e">
        <f t="shared" si="82"/>
        <v>#DIV/0!</v>
      </c>
      <c r="AH138" s="2" t="e">
        <f t="shared" si="70"/>
        <v>#DIV/0!</v>
      </c>
    </row>
    <row r="139" spans="1:34" x14ac:dyDescent="0.2">
      <c r="A139" s="2">
        <f t="shared" si="63"/>
        <v>8.9166666666666607</v>
      </c>
      <c r="B139" s="2">
        <f t="shared" si="64"/>
        <v>1.341346158124343E-4</v>
      </c>
      <c r="C139" s="8">
        <f t="shared" si="71"/>
        <v>1.341346158124343E-4</v>
      </c>
      <c r="E139" s="8" t="e">
        <f t="shared" si="72"/>
        <v>#DIV/0!</v>
      </c>
      <c r="G139" s="8">
        <f t="shared" si="73"/>
        <v>1.4337635510141555E-2</v>
      </c>
      <c r="I139" s="8">
        <f t="shared" si="74"/>
        <v>0.10084033613445376</v>
      </c>
      <c r="K139" s="8">
        <f t="shared" si="75"/>
        <v>1.3413461581246455E-4</v>
      </c>
      <c r="M139" s="8">
        <f t="shared" si="76"/>
        <v>1.4337635510141555E-2</v>
      </c>
      <c r="P139" s="8" t="e">
        <f t="shared" si="77"/>
        <v>#DIV/0!</v>
      </c>
      <c r="Q139" s="2" t="e">
        <f t="shared" si="65"/>
        <v>#DIV/0!</v>
      </c>
      <c r="S139" s="8" t="e">
        <f t="shared" si="78"/>
        <v>#DIV/0!</v>
      </c>
      <c r="T139" s="2" t="e">
        <f t="shared" si="66"/>
        <v>#DIV/0!</v>
      </c>
      <c r="V139" s="8" t="e">
        <f t="shared" si="79"/>
        <v>#DIV/0!</v>
      </c>
      <c r="W139" s="2" t="e">
        <f t="shared" si="67"/>
        <v>#DIV/0!</v>
      </c>
      <c r="Y139" s="8" t="e">
        <f t="shared" si="80"/>
        <v>#DIV/0!</v>
      </c>
      <c r="Z139" s="2" t="e">
        <f t="shared" si="68"/>
        <v>#DIV/0!</v>
      </c>
      <c r="AC139" s="8" t="e">
        <f t="shared" si="81"/>
        <v>#DIV/0!</v>
      </c>
      <c r="AD139" s="2" t="e">
        <f t="shared" si="69"/>
        <v>#DIV/0!</v>
      </c>
      <c r="AG139" s="8" t="e">
        <f t="shared" si="82"/>
        <v>#DIV/0!</v>
      </c>
      <c r="AH139" s="2" t="e">
        <f t="shared" si="70"/>
        <v>#DIV/0!</v>
      </c>
    </row>
    <row r="140" spans="1:34" x14ac:dyDescent="0.2">
      <c r="A140" s="2">
        <f t="shared" si="63"/>
        <v>8.9999999999999947</v>
      </c>
      <c r="B140" s="2">
        <f t="shared" si="64"/>
        <v>1.2340980408668021E-4</v>
      </c>
      <c r="C140" s="8">
        <f t="shared" si="71"/>
        <v>1.2340980408668021E-4</v>
      </c>
      <c r="E140" s="8" t="e">
        <f t="shared" si="72"/>
        <v>#DIV/0!</v>
      </c>
      <c r="G140" s="8">
        <f t="shared" si="73"/>
        <v>1.4002205573945048E-2</v>
      </c>
      <c r="I140" s="8">
        <f t="shared" si="74"/>
        <v>0.10000000000000009</v>
      </c>
      <c r="K140" s="8">
        <f t="shared" si="75"/>
        <v>1.2340980408664937E-4</v>
      </c>
      <c r="M140" s="8">
        <f t="shared" si="76"/>
        <v>1.4002205573945048E-2</v>
      </c>
      <c r="P140" s="8" t="e">
        <f t="shared" si="77"/>
        <v>#DIV/0!</v>
      </c>
      <c r="Q140" s="2" t="e">
        <f t="shared" si="65"/>
        <v>#DIV/0!</v>
      </c>
      <c r="S140" s="8" t="e">
        <f t="shared" si="78"/>
        <v>#DIV/0!</v>
      </c>
      <c r="T140" s="2" t="e">
        <f t="shared" si="66"/>
        <v>#DIV/0!</v>
      </c>
      <c r="V140" s="8" t="e">
        <f t="shared" si="79"/>
        <v>#DIV/0!</v>
      </c>
      <c r="W140" s="2" t="e">
        <f t="shared" si="67"/>
        <v>#DIV/0!</v>
      </c>
      <c r="Y140" s="8" t="e">
        <f t="shared" si="80"/>
        <v>#DIV/0!</v>
      </c>
      <c r="Z140" s="2" t="e">
        <f t="shared" si="68"/>
        <v>#DIV/0!</v>
      </c>
      <c r="AC140" s="8" t="e">
        <f t="shared" si="81"/>
        <v>#DIV/0!</v>
      </c>
      <c r="AD140" s="2" t="e">
        <f t="shared" si="69"/>
        <v>#DIV/0!</v>
      </c>
      <c r="AG140" s="8" t="e">
        <f t="shared" si="82"/>
        <v>#DIV/0!</v>
      </c>
      <c r="AH140" s="2" t="e">
        <f t="shared" si="70"/>
        <v>#DIV/0!</v>
      </c>
    </row>
    <row r="141" spans="1:34" x14ac:dyDescent="0.2">
      <c r="A141" s="2">
        <f t="shared" si="63"/>
        <v>9.0833333333333286</v>
      </c>
      <c r="B141" s="2">
        <f t="shared" si="64"/>
        <v>1.1354250096044909E-4</v>
      </c>
      <c r="C141" s="8">
        <f t="shared" si="71"/>
        <v>1.1354250096044909E-4</v>
      </c>
      <c r="E141" s="8" t="e">
        <f t="shared" si="72"/>
        <v>#DIV/0!</v>
      </c>
      <c r="G141" s="8">
        <f t="shared" si="73"/>
        <v>1.3676560362576251E-2</v>
      </c>
      <c r="I141" s="8">
        <f t="shared" si="74"/>
        <v>9.9173553719008267E-2</v>
      </c>
      <c r="K141" s="8">
        <f t="shared" si="75"/>
        <v>1.135425009604063E-4</v>
      </c>
      <c r="M141" s="8">
        <f t="shared" si="76"/>
        <v>1.3676560362576251E-2</v>
      </c>
      <c r="P141" s="8" t="e">
        <f t="shared" si="77"/>
        <v>#DIV/0!</v>
      </c>
      <c r="Q141" s="2" t="e">
        <f t="shared" si="65"/>
        <v>#DIV/0!</v>
      </c>
      <c r="S141" s="8" t="e">
        <f t="shared" si="78"/>
        <v>#DIV/0!</v>
      </c>
      <c r="T141" s="2" t="e">
        <f t="shared" si="66"/>
        <v>#DIV/0!</v>
      </c>
      <c r="V141" s="8" t="e">
        <f t="shared" si="79"/>
        <v>#DIV/0!</v>
      </c>
      <c r="W141" s="2" t="e">
        <f t="shared" si="67"/>
        <v>#DIV/0!</v>
      </c>
      <c r="Y141" s="8" t="e">
        <f t="shared" si="80"/>
        <v>#DIV/0!</v>
      </c>
      <c r="Z141" s="2" t="e">
        <f t="shared" si="68"/>
        <v>#DIV/0!</v>
      </c>
      <c r="AC141" s="8" t="e">
        <f t="shared" si="81"/>
        <v>#DIV/0!</v>
      </c>
      <c r="AD141" s="2" t="e">
        <f t="shared" si="69"/>
        <v>#DIV/0!</v>
      </c>
      <c r="AG141" s="8" t="e">
        <f t="shared" si="82"/>
        <v>#DIV/0!</v>
      </c>
      <c r="AH141" s="2" t="e">
        <f t="shared" si="70"/>
        <v>#DIV/0!</v>
      </c>
    </row>
    <row r="142" spans="1:34" x14ac:dyDescent="0.2">
      <c r="A142" s="2">
        <f t="shared" si="63"/>
        <v>9.1666666666666625</v>
      </c>
      <c r="B142" s="2">
        <f t="shared" si="64"/>
        <v>1.044641438317057E-4</v>
      </c>
      <c r="C142" s="8">
        <f t="shared" si="71"/>
        <v>1.044641438317057E-4</v>
      </c>
      <c r="E142" s="8" t="e">
        <f t="shared" si="72"/>
        <v>#DIV/0!</v>
      </c>
      <c r="G142" s="8">
        <f t="shared" si="73"/>
        <v>1.3360355307023286E-2</v>
      </c>
      <c r="I142" s="8">
        <f t="shared" si="74"/>
        <v>9.8360655737704916E-2</v>
      </c>
      <c r="K142" s="8">
        <f t="shared" si="75"/>
        <v>1.0446414383169511E-4</v>
      </c>
      <c r="M142" s="8">
        <f t="shared" si="76"/>
        <v>1.3360355307023286E-2</v>
      </c>
      <c r="P142" s="8" t="e">
        <f t="shared" si="77"/>
        <v>#DIV/0!</v>
      </c>
      <c r="Q142" s="2" t="e">
        <f t="shared" si="65"/>
        <v>#DIV/0!</v>
      </c>
      <c r="S142" s="8" t="e">
        <f t="shared" si="78"/>
        <v>#DIV/0!</v>
      </c>
      <c r="T142" s="2" t="e">
        <f t="shared" si="66"/>
        <v>#DIV/0!</v>
      </c>
      <c r="V142" s="8" t="e">
        <f t="shared" si="79"/>
        <v>#DIV/0!</v>
      </c>
      <c r="W142" s="2" t="e">
        <f t="shared" si="67"/>
        <v>#DIV/0!</v>
      </c>
      <c r="Y142" s="8" t="e">
        <f t="shared" si="80"/>
        <v>#DIV/0!</v>
      </c>
      <c r="Z142" s="2" t="e">
        <f t="shared" si="68"/>
        <v>#DIV/0!</v>
      </c>
      <c r="AC142" s="8" t="e">
        <f t="shared" si="81"/>
        <v>#DIV/0!</v>
      </c>
      <c r="AD142" s="2" t="e">
        <f t="shared" si="69"/>
        <v>#DIV/0!</v>
      </c>
      <c r="AG142" s="8" t="e">
        <f t="shared" si="82"/>
        <v>#DIV/0!</v>
      </c>
      <c r="AH142" s="2" t="e">
        <f t="shared" si="70"/>
        <v>#DIV/0!</v>
      </c>
    </row>
    <row r="143" spans="1:34" x14ac:dyDescent="0.2">
      <c r="A143" s="2">
        <f t="shared" si="63"/>
        <v>9.2499999999999964</v>
      </c>
      <c r="B143" s="2">
        <f t="shared" si="64"/>
        <v>9.6111652061395034E-5</v>
      </c>
      <c r="C143" s="8">
        <f t="shared" si="71"/>
        <v>9.6111652061395034E-5</v>
      </c>
      <c r="E143" s="8" t="e">
        <f t="shared" si="72"/>
        <v>#DIV/0!</v>
      </c>
      <c r="G143" s="8">
        <f t="shared" si="73"/>
        <v>1.3053260117263377E-2</v>
      </c>
      <c r="I143" s="8">
        <f t="shared" si="74"/>
        <v>9.7560975609756073E-2</v>
      </c>
      <c r="K143" s="8">
        <f t="shared" si="75"/>
        <v>9.6111652061359187E-5</v>
      </c>
      <c r="M143" s="8">
        <f t="shared" si="76"/>
        <v>1.3053260117263377E-2</v>
      </c>
      <c r="P143" s="8" t="e">
        <f t="shared" si="77"/>
        <v>#DIV/0!</v>
      </c>
      <c r="Q143" s="2" t="e">
        <f t="shared" si="65"/>
        <v>#DIV/0!</v>
      </c>
      <c r="S143" s="8" t="e">
        <f t="shared" si="78"/>
        <v>#DIV/0!</v>
      </c>
      <c r="T143" s="2" t="e">
        <f t="shared" si="66"/>
        <v>#DIV/0!</v>
      </c>
      <c r="V143" s="8" t="e">
        <f t="shared" si="79"/>
        <v>#DIV/0!</v>
      </c>
      <c r="W143" s="2" t="e">
        <f t="shared" si="67"/>
        <v>#DIV/0!</v>
      </c>
      <c r="Y143" s="8" t="e">
        <f t="shared" si="80"/>
        <v>#DIV/0!</v>
      </c>
      <c r="Z143" s="2" t="e">
        <f t="shared" si="68"/>
        <v>#DIV/0!</v>
      </c>
      <c r="AC143" s="8" t="e">
        <f t="shared" si="81"/>
        <v>#DIV/0!</v>
      </c>
      <c r="AD143" s="2" t="e">
        <f t="shared" si="69"/>
        <v>#DIV/0!</v>
      </c>
      <c r="AG143" s="8" t="e">
        <f t="shared" si="82"/>
        <v>#DIV/0!</v>
      </c>
      <c r="AH143" s="2" t="e">
        <f t="shared" si="70"/>
        <v>#DIV/0!</v>
      </c>
    </row>
    <row r="144" spans="1:34" x14ac:dyDescent="0.2">
      <c r="A144" s="2">
        <f t="shared" si="63"/>
        <v>9.3333333333333304</v>
      </c>
      <c r="B144" s="2">
        <f t="shared" si="64"/>
        <v>8.8426988659883328E-5</v>
      </c>
      <c r="C144" s="8">
        <f t="shared" si="71"/>
        <v>8.8426988659883328E-5</v>
      </c>
      <c r="E144" s="8" t="e">
        <f t="shared" si="72"/>
        <v>#DIV/0!</v>
      </c>
      <c r="G144" s="8">
        <f t="shared" si="73"/>
        <v>1.2754958100017921E-2</v>
      </c>
      <c r="I144" s="8">
        <f t="shared" si="74"/>
        <v>9.6774193548387122E-2</v>
      </c>
      <c r="K144" s="8">
        <f t="shared" si="75"/>
        <v>8.8426988659850991E-5</v>
      </c>
      <c r="M144" s="8">
        <f t="shared" si="76"/>
        <v>1.2754958100017921E-2</v>
      </c>
      <c r="P144" s="8" t="e">
        <f t="shared" si="77"/>
        <v>#DIV/0!</v>
      </c>
      <c r="Q144" s="2" t="e">
        <f t="shared" si="65"/>
        <v>#DIV/0!</v>
      </c>
      <c r="S144" s="8" t="e">
        <f t="shared" si="78"/>
        <v>#DIV/0!</v>
      </c>
      <c r="T144" s="2" t="e">
        <f t="shared" si="66"/>
        <v>#DIV/0!</v>
      </c>
      <c r="V144" s="8" t="e">
        <f t="shared" si="79"/>
        <v>#DIV/0!</v>
      </c>
      <c r="W144" s="2" t="e">
        <f t="shared" si="67"/>
        <v>#DIV/0!</v>
      </c>
      <c r="Y144" s="8" t="e">
        <f t="shared" si="80"/>
        <v>#DIV/0!</v>
      </c>
      <c r="Z144" s="2" t="e">
        <f t="shared" si="68"/>
        <v>#DIV/0!</v>
      </c>
      <c r="AC144" s="8" t="e">
        <f t="shared" si="81"/>
        <v>#DIV/0!</v>
      </c>
      <c r="AD144" s="2" t="e">
        <f t="shared" si="69"/>
        <v>#DIV/0!</v>
      </c>
      <c r="AG144" s="8" t="e">
        <f t="shared" si="82"/>
        <v>#DIV/0!</v>
      </c>
      <c r="AH144" s="2" t="e">
        <f t="shared" si="70"/>
        <v>#DIV/0!</v>
      </c>
    </row>
    <row r="145" spans="1:34" x14ac:dyDescent="0.2">
      <c r="A145" s="2">
        <f t="shared" si="63"/>
        <v>9.4166666666666643</v>
      </c>
      <c r="B145" s="2">
        <f t="shared" si="64"/>
        <v>8.1356757019016116E-5</v>
      </c>
      <c r="C145" s="8">
        <f t="shared" si="71"/>
        <v>8.1356757019016116E-5</v>
      </c>
      <c r="E145" s="8" t="e">
        <f t="shared" si="72"/>
        <v>#DIV/0!</v>
      </c>
      <c r="G145" s="8">
        <f t="shared" si="73"/>
        <v>1.246514551347444E-2</v>
      </c>
      <c r="I145" s="8">
        <f t="shared" si="74"/>
        <v>9.5999999999999974E-2</v>
      </c>
      <c r="K145" s="8">
        <f t="shared" si="75"/>
        <v>8.1356757019035442E-5</v>
      </c>
      <c r="M145" s="8">
        <f t="shared" si="76"/>
        <v>1.246514551347444E-2</v>
      </c>
      <c r="P145" s="8" t="e">
        <f t="shared" si="77"/>
        <v>#DIV/0!</v>
      </c>
      <c r="Q145" s="2" t="e">
        <f t="shared" si="65"/>
        <v>#DIV/0!</v>
      </c>
      <c r="S145" s="8" t="e">
        <f t="shared" si="78"/>
        <v>#DIV/0!</v>
      </c>
      <c r="T145" s="2" t="e">
        <f t="shared" si="66"/>
        <v>#DIV/0!</v>
      </c>
      <c r="V145" s="8" t="e">
        <f t="shared" si="79"/>
        <v>#DIV/0!</v>
      </c>
      <c r="W145" s="2" t="e">
        <f t="shared" si="67"/>
        <v>#DIV/0!</v>
      </c>
      <c r="Y145" s="8" t="e">
        <f t="shared" si="80"/>
        <v>#DIV/0!</v>
      </c>
      <c r="Z145" s="2" t="e">
        <f t="shared" si="68"/>
        <v>#DIV/0!</v>
      </c>
      <c r="AC145" s="8" t="e">
        <f t="shared" si="81"/>
        <v>#DIV/0!</v>
      </c>
      <c r="AD145" s="2" t="e">
        <f t="shared" si="69"/>
        <v>#DIV/0!</v>
      </c>
      <c r="AG145" s="8" t="e">
        <f t="shared" si="82"/>
        <v>#DIV/0!</v>
      </c>
      <c r="AH145" s="2" t="e">
        <f t="shared" si="70"/>
        <v>#DIV/0!</v>
      </c>
    </row>
    <row r="146" spans="1:34" x14ac:dyDescent="0.2">
      <c r="A146" s="2">
        <f t="shared" si="63"/>
        <v>9.4999999999999982</v>
      </c>
      <c r="B146" s="2">
        <f t="shared" si="64"/>
        <v>7.485182988770072E-5</v>
      </c>
      <c r="C146" s="8">
        <f t="shared" si="71"/>
        <v>7.485182988770072E-5</v>
      </c>
      <c r="E146" s="8" t="e">
        <f t="shared" si="72"/>
        <v>#DIV/0!</v>
      </c>
      <c r="G146" s="8">
        <f t="shared" si="73"/>
        <v>1.2183530956733302E-2</v>
      </c>
      <c r="I146" s="8">
        <f t="shared" si="74"/>
        <v>9.5238095238095344E-2</v>
      </c>
      <c r="K146" s="8">
        <f t="shared" si="75"/>
        <v>7.4851829887645493E-5</v>
      </c>
      <c r="M146" s="8">
        <f t="shared" si="76"/>
        <v>1.2183530956733302E-2</v>
      </c>
      <c r="P146" s="8" t="e">
        <f t="shared" si="77"/>
        <v>#DIV/0!</v>
      </c>
      <c r="Q146" s="2" t="e">
        <f t="shared" si="65"/>
        <v>#DIV/0!</v>
      </c>
      <c r="S146" s="8" t="e">
        <f t="shared" si="78"/>
        <v>#DIV/0!</v>
      </c>
      <c r="T146" s="2" t="e">
        <f t="shared" si="66"/>
        <v>#DIV/0!</v>
      </c>
      <c r="V146" s="8" t="e">
        <f t="shared" si="79"/>
        <v>#DIV/0!</v>
      </c>
      <c r="W146" s="2" t="e">
        <f t="shared" si="67"/>
        <v>#DIV/0!</v>
      </c>
      <c r="Y146" s="8" t="e">
        <f t="shared" si="80"/>
        <v>#DIV/0!</v>
      </c>
      <c r="Z146" s="2" t="e">
        <f t="shared" si="68"/>
        <v>#DIV/0!</v>
      </c>
      <c r="AC146" s="8" t="e">
        <f t="shared" si="81"/>
        <v>#DIV/0!</v>
      </c>
      <c r="AD146" s="2" t="e">
        <f t="shared" si="69"/>
        <v>#DIV/0!</v>
      </c>
      <c r="AG146" s="8" t="e">
        <f t="shared" si="82"/>
        <v>#DIV/0!</v>
      </c>
      <c r="AH146" s="2" t="e">
        <f t="shared" si="70"/>
        <v>#DIV/0!</v>
      </c>
    </row>
    <row r="147" spans="1:34" x14ac:dyDescent="0.2">
      <c r="A147" s="2">
        <f t="shared" si="63"/>
        <v>9.5833333333333321</v>
      </c>
      <c r="B147" s="2">
        <f t="shared" si="64"/>
        <v>6.8867008012963248E-5</v>
      </c>
      <c r="C147" s="8">
        <f t="shared" si="71"/>
        <v>6.8867008012963248E-5</v>
      </c>
      <c r="E147" s="8" t="e">
        <f t="shared" si="72"/>
        <v>#DIV/0!</v>
      </c>
      <c r="G147" s="8">
        <f t="shared" si="73"/>
        <v>1.1909834791890006E-2</v>
      </c>
      <c r="I147" s="8">
        <f t="shared" si="74"/>
        <v>9.4488188976378007E-2</v>
      </c>
      <c r="K147" s="8">
        <f t="shared" si="75"/>
        <v>6.8867008013007158E-5</v>
      </c>
      <c r="M147" s="8">
        <f t="shared" si="76"/>
        <v>1.1909834791890006E-2</v>
      </c>
      <c r="P147" s="8" t="e">
        <f t="shared" si="77"/>
        <v>#DIV/0!</v>
      </c>
      <c r="Q147" s="2" t="e">
        <f t="shared" si="65"/>
        <v>#DIV/0!</v>
      </c>
      <c r="S147" s="8" t="e">
        <f t="shared" si="78"/>
        <v>#DIV/0!</v>
      </c>
      <c r="T147" s="2" t="e">
        <f t="shared" si="66"/>
        <v>#DIV/0!</v>
      </c>
      <c r="V147" s="8" t="e">
        <f t="shared" si="79"/>
        <v>#DIV/0!</v>
      </c>
      <c r="W147" s="2" t="e">
        <f t="shared" si="67"/>
        <v>#DIV/0!</v>
      </c>
      <c r="Y147" s="8" t="e">
        <f t="shared" si="80"/>
        <v>#DIV/0!</v>
      </c>
      <c r="Z147" s="2" t="e">
        <f t="shared" si="68"/>
        <v>#DIV/0!</v>
      </c>
      <c r="AC147" s="8" t="e">
        <f t="shared" si="81"/>
        <v>#DIV/0!</v>
      </c>
      <c r="AD147" s="2" t="e">
        <f t="shared" si="69"/>
        <v>#DIV/0!</v>
      </c>
      <c r="AG147" s="8" t="e">
        <f t="shared" si="82"/>
        <v>#DIV/0!</v>
      </c>
      <c r="AH147" s="2" t="e">
        <f t="shared" si="70"/>
        <v>#DIV/0!</v>
      </c>
    </row>
    <row r="148" spans="1:34" x14ac:dyDescent="0.2">
      <c r="A148" s="2">
        <f t="shared" si="63"/>
        <v>9.6666666666666661</v>
      </c>
      <c r="B148" s="2">
        <f t="shared" si="64"/>
        <v>6.3360706074559649E-5</v>
      </c>
      <c r="C148" s="8">
        <f t="shared" si="71"/>
        <v>6.3360706074559649E-5</v>
      </c>
      <c r="E148" s="8" t="e">
        <f t="shared" si="72"/>
        <v>#DIV/0!</v>
      </c>
      <c r="G148" s="8">
        <f t="shared" si="73"/>
        <v>1.1643788596800708E-2</v>
      </c>
      <c r="I148" s="8">
        <f t="shared" si="74"/>
        <v>9.375E-2</v>
      </c>
      <c r="K148" s="8">
        <f t="shared" si="75"/>
        <v>6.3360706074599982E-5</v>
      </c>
      <c r="M148" s="8">
        <f t="shared" si="76"/>
        <v>1.1643788596800708E-2</v>
      </c>
      <c r="P148" s="8" t="e">
        <f t="shared" si="77"/>
        <v>#DIV/0!</v>
      </c>
      <c r="Q148" s="2" t="e">
        <f t="shared" si="65"/>
        <v>#DIV/0!</v>
      </c>
      <c r="S148" s="8" t="e">
        <f t="shared" si="78"/>
        <v>#DIV/0!</v>
      </c>
      <c r="T148" s="2" t="e">
        <f t="shared" si="66"/>
        <v>#DIV/0!</v>
      </c>
      <c r="V148" s="8" t="e">
        <f t="shared" si="79"/>
        <v>#DIV/0!</v>
      </c>
      <c r="W148" s="2" t="e">
        <f t="shared" si="67"/>
        <v>#DIV/0!</v>
      </c>
      <c r="Y148" s="8" t="e">
        <f t="shared" si="80"/>
        <v>#DIV/0!</v>
      </c>
      <c r="Z148" s="2" t="e">
        <f t="shared" si="68"/>
        <v>#DIV/0!</v>
      </c>
      <c r="AC148" s="8" t="e">
        <f t="shared" si="81"/>
        <v>#DIV/0!</v>
      </c>
      <c r="AD148" s="2" t="e">
        <f t="shared" si="69"/>
        <v>#DIV/0!</v>
      </c>
      <c r="AG148" s="8" t="e">
        <f t="shared" si="82"/>
        <v>#DIV/0!</v>
      </c>
      <c r="AH148" s="2" t="e">
        <f t="shared" si="70"/>
        <v>#DIV/0!</v>
      </c>
    </row>
    <row r="149" spans="1:34" x14ac:dyDescent="0.2">
      <c r="A149" s="2">
        <f t="shared" si="63"/>
        <v>9.75</v>
      </c>
      <c r="B149" s="2">
        <f t="shared" si="64"/>
        <v>5.8294663730868811E-5</v>
      </c>
      <c r="C149" s="8">
        <f t="shared" si="71"/>
        <v>5.8294663730868811E-5</v>
      </c>
      <c r="E149" s="8" t="e">
        <f t="shared" si="72"/>
        <v>#DIV/0!</v>
      </c>
      <c r="G149" s="8">
        <f t="shared" si="73"/>
        <v>1.138513464670976E-2</v>
      </c>
      <c r="I149" s="8">
        <f t="shared" si="74"/>
        <v>9.3023255813953543E-2</v>
      </c>
      <c r="K149" s="8">
        <f t="shared" si="75"/>
        <v>5.8294663730862339E-5</v>
      </c>
      <c r="M149" s="8">
        <f t="shared" si="76"/>
        <v>1.138513464670976E-2</v>
      </c>
      <c r="P149" s="8" t="e">
        <f t="shared" si="77"/>
        <v>#DIV/0!</v>
      </c>
      <c r="Q149" s="2" t="e">
        <f t="shared" si="65"/>
        <v>#DIV/0!</v>
      </c>
      <c r="S149" s="8" t="e">
        <f t="shared" si="78"/>
        <v>#DIV/0!</v>
      </c>
      <c r="T149" s="2" t="e">
        <f t="shared" si="66"/>
        <v>#DIV/0!</v>
      </c>
      <c r="V149" s="8" t="e">
        <f t="shared" si="79"/>
        <v>#DIV/0!</v>
      </c>
      <c r="W149" s="2" t="e">
        <f t="shared" si="67"/>
        <v>#DIV/0!</v>
      </c>
      <c r="Y149" s="8" t="e">
        <f t="shared" si="80"/>
        <v>#DIV/0!</v>
      </c>
      <c r="Z149" s="2" t="e">
        <f t="shared" si="68"/>
        <v>#DIV/0!</v>
      </c>
      <c r="AC149" s="8" t="e">
        <f t="shared" si="81"/>
        <v>#DIV/0!</v>
      </c>
      <c r="AD149" s="2" t="e">
        <f t="shared" si="69"/>
        <v>#DIV/0!</v>
      </c>
      <c r="AG149" s="8" t="e">
        <f t="shared" si="82"/>
        <v>#DIV/0!</v>
      </c>
      <c r="AH149" s="2" t="e">
        <f t="shared" si="70"/>
        <v>#DIV/0!</v>
      </c>
    </row>
    <row r="150" spans="1:34" x14ac:dyDescent="0.2">
      <c r="A150" s="2">
        <f t="shared" si="63"/>
        <v>9.8333333333333339</v>
      </c>
      <c r="B150" s="2">
        <f t="shared" si="64"/>
        <v>5.3633679768280402E-5</v>
      </c>
      <c r="C150" s="8">
        <f t="shared" si="71"/>
        <v>5.3633679768280402E-5</v>
      </c>
      <c r="E150" s="8" t="e">
        <f t="shared" si="72"/>
        <v>#DIV/0!</v>
      </c>
      <c r="G150" s="8">
        <f t="shared" si="73"/>
        <v>1.113362542303642E-2</v>
      </c>
      <c r="I150" s="8">
        <f t="shared" si="74"/>
        <v>9.2307692307692313E-2</v>
      </c>
      <c r="K150" s="8">
        <f t="shared" si="75"/>
        <v>5.3633679768294584E-5</v>
      </c>
      <c r="M150" s="8">
        <f t="shared" si="76"/>
        <v>1.113362542303642E-2</v>
      </c>
      <c r="P150" s="8" t="e">
        <f t="shared" si="77"/>
        <v>#DIV/0!</v>
      </c>
      <c r="Q150" s="2" t="e">
        <f t="shared" si="65"/>
        <v>#DIV/0!</v>
      </c>
      <c r="S150" s="8" t="e">
        <f t="shared" si="78"/>
        <v>#DIV/0!</v>
      </c>
      <c r="T150" s="2" t="e">
        <f t="shared" si="66"/>
        <v>#DIV/0!</v>
      </c>
      <c r="V150" s="8" t="e">
        <f t="shared" si="79"/>
        <v>#DIV/0!</v>
      </c>
      <c r="W150" s="2" t="e">
        <f t="shared" si="67"/>
        <v>#DIV/0!</v>
      </c>
      <c r="Y150" s="8" t="e">
        <f t="shared" si="80"/>
        <v>#DIV/0!</v>
      </c>
      <c r="Z150" s="2" t="e">
        <f t="shared" si="68"/>
        <v>#DIV/0!</v>
      </c>
      <c r="AC150" s="8" t="e">
        <f t="shared" si="81"/>
        <v>#DIV/0!</v>
      </c>
      <c r="AD150" s="2" t="e">
        <f t="shared" si="69"/>
        <v>#DIV/0!</v>
      </c>
      <c r="AG150" s="8" t="e">
        <f t="shared" si="82"/>
        <v>#DIV/0!</v>
      </c>
      <c r="AH150" s="2" t="e">
        <f t="shared" si="70"/>
        <v>#DIV/0!</v>
      </c>
    </row>
    <row r="151" spans="1:34" x14ac:dyDescent="0.2">
      <c r="A151" s="2">
        <f t="shared" si="63"/>
        <v>9.9166666666666679</v>
      </c>
      <c r="B151" s="2">
        <f t="shared" si="64"/>
        <v>4.9345367506824088E-5</v>
      </c>
      <c r="C151" s="8">
        <f t="shared" si="71"/>
        <v>4.9345367506824088E-5</v>
      </c>
      <c r="E151" s="8" t="e">
        <f t="shared" si="72"/>
        <v>#DIV/0!</v>
      </c>
      <c r="G151" s="8">
        <f t="shared" si="73"/>
        <v>1.0889023147729326E-2</v>
      </c>
      <c r="I151" s="8">
        <f t="shared" si="74"/>
        <v>9.1603053435114545E-2</v>
      </c>
      <c r="K151" s="8">
        <f t="shared" si="75"/>
        <v>4.9345367506781201E-5</v>
      </c>
      <c r="M151" s="8">
        <f t="shared" si="76"/>
        <v>1.0889023147729326E-2</v>
      </c>
      <c r="P151" s="8" t="e">
        <f t="shared" si="77"/>
        <v>#DIV/0!</v>
      </c>
      <c r="Q151" s="2" t="e">
        <f t="shared" si="65"/>
        <v>#DIV/0!</v>
      </c>
      <c r="S151" s="8" t="e">
        <f t="shared" si="78"/>
        <v>#DIV/0!</v>
      </c>
      <c r="T151" s="2" t="e">
        <f t="shared" si="66"/>
        <v>#DIV/0!</v>
      </c>
      <c r="V151" s="8" t="e">
        <f t="shared" si="79"/>
        <v>#DIV/0!</v>
      </c>
      <c r="W151" s="2" t="e">
        <f t="shared" si="67"/>
        <v>#DIV/0!</v>
      </c>
      <c r="Y151" s="8" t="e">
        <f t="shared" si="80"/>
        <v>#DIV/0!</v>
      </c>
      <c r="Z151" s="2" t="e">
        <f t="shared" si="68"/>
        <v>#DIV/0!</v>
      </c>
      <c r="AC151" s="8" t="e">
        <f t="shared" si="81"/>
        <v>#DIV/0!</v>
      </c>
      <c r="AD151" s="2" t="e">
        <f t="shared" si="69"/>
        <v>#DIV/0!</v>
      </c>
      <c r="AG151" s="8" t="e">
        <f t="shared" si="82"/>
        <v>#DIV/0!</v>
      </c>
      <c r="AH151" s="2" t="e">
        <f t="shared" si="70"/>
        <v>#DIV/0!</v>
      </c>
    </row>
    <row r="152" spans="1:34" x14ac:dyDescent="0.2">
      <c r="A152" s="2">
        <f t="shared" si="63"/>
        <v>10.000000000000002</v>
      </c>
      <c r="B152" s="2">
        <f t="shared" si="64"/>
        <v>4.5399929762484773E-5</v>
      </c>
      <c r="C152" s="8">
        <f t="shared" si="71"/>
        <v>4.5399929762484773E-5</v>
      </c>
      <c r="E152" s="8" t="e">
        <f t="shared" si="72"/>
        <v>#DIV/0!</v>
      </c>
      <c r="G152" s="8">
        <f t="shared" si="73"/>
        <v>1.0651099341700165E-2</v>
      </c>
      <c r="I152" s="8">
        <f t="shared" si="74"/>
        <v>9.0909090909090939E-2</v>
      </c>
      <c r="K152" s="8">
        <f t="shared" si="75"/>
        <v>4.5399929762490743E-5</v>
      </c>
      <c r="M152" s="8">
        <f t="shared" si="76"/>
        <v>1.0651099341700165E-2</v>
      </c>
      <c r="P152" s="8" t="e">
        <f t="shared" si="77"/>
        <v>#DIV/0!</v>
      </c>
      <c r="Q152" s="2" t="e">
        <f t="shared" si="65"/>
        <v>#DIV/0!</v>
      </c>
      <c r="S152" s="8" t="e">
        <f t="shared" si="78"/>
        <v>#DIV/0!</v>
      </c>
      <c r="T152" s="2" t="e">
        <f t="shared" si="66"/>
        <v>#DIV/0!</v>
      </c>
      <c r="V152" s="8" t="e">
        <f t="shared" si="79"/>
        <v>#DIV/0!</v>
      </c>
      <c r="W152" s="2" t="e">
        <f t="shared" si="67"/>
        <v>#DIV/0!</v>
      </c>
      <c r="Y152" s="8" t="e">
        <f t="shared" si="80"/>
        <v>#DIV/0!</v>
      </c>
      <c r="Z152" s="2" t="e">
        <f t="shared" si="68"/>
        <v>#DIV/0!</v>
      </c>
      <c r="AC152" s="8" t="e">
        <f t="shared" si="81"/>
        <v>#DIV/0!</v>
      </c>
      <c r="AD152" s="2" t="e">
        <f t="shared" si="69"/>
        <v>#DIV/0!</v>
      </c>
      <c r="AG152" s="8" t="e">
        <f t="shared" si="82"/>
        <v>#DIV/0!</v>
      </c>
      <c r="AH152" s="2" t="e">
        <f t="shared" si="70"/>
        <v>#DIV/0!</v>
      </c>
    </row>
  </sheetData>
  <conditionalFormatting sqref="A11:XFD14">
    <cfRule type="cellIs" dxfId="7" priority="1" operator="equal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W154"/>
  <sheetViews>
    <sheetView zoomScaleNormal="100" workbookViewId="0">
      <pane xSplit="1" ySplit="3" topLeftCell="B4" activePane="bottomRight" state="frozenSplit"/>
      <selection pane="topRight" activeCell="B1" sqref="B1"/>
      <selection pane="bottomLeft" activeCell="A4" sqref="A4"/>
      <selection pane="bottomRight" activeCell="B4" sqref="B4"/>
    </sheetView>
  </sheetViews>
  <sheetFormatPr defaultRowHeight="12.75" x14ac:dyDescent="0.2"/>
  <cols>
    <col min="1" max="1" width="20.28515625" style="2" customWidth="1"/>
    <col min="2" max="3" width="18" style="2" customWidth="1"/>
    <col min="4" max="4" width="18" style="8" customWidth="1"/>
    <col min="5" max="6" width="18" style="2" customWidth="1"/>
    <col min="7" max="7" width="18" style="8" customWidth="1"/>
    <col min="8" max="9" width="18" style="2" customWidth="1"/>
    <col min="10" max="10" width="18" style="8" customWidth="1"/>
    <col min="11" max="12" width="18" style="2" customWidth="1"/>
    <col min="13" max="13" width="18" style="8" customWidth="1"/>
    <col min="14" max="15" width="18" style="2" customWidth="1"/>
    <col min="16" max="16" width="18" style="8" customWidth="1"/>
    <col min="17" max="18" width="18" style="2" customWidth="1"/>
    <col min="19" max="19" width="18" style="8" customWidth="1"/>
    <col min="20" max="22" width="18" style="2" customWidth="1"/>
    <col min="23" max="23" width="18" style="8" customWidth="1"/>
    <col min="24" max="26" width="18" style="2" customWidth="1"/>
    <col min="27" max="27" width="18" style="8" customWidth="1"/>
    <col min="28" max="30" width="18" style="2" customWidth="1"/>
    <col min="31" max="31" width="18" style="8" customWidth="1"/>
    <col min="32" max="34" width="18" style="2" customWidth="1"/>
    <col min="35" max="35" width="18" style="8" customWidth="1"/>
    <col min="36" max="39" width="18" style="2" customWidth="1"/>
    <col min="40" max="40" width="18" style="8" customWidth="1"/>
    <col min="41" max="44" width="18" style="2" customWidth="1"/>
    <col min="45" max="45" width="18" style="8" customWidth="1"/>
    <col min="46" max="49" width="18" style="2" customWidth="1"/>
    <col min="50" max="16384" width="9.140625" style="2"/>
  </cols>
  <sheetData>
    <row r="1" spans="1:45" s="4" customFormat="1" x14ac:dyDescent="0.2">
      <c r="D1" s="7"/>
      <c r="G1" s="7"/>
      <c r="J1" s="7"/>
      <c r="M1" s="7"/>
      <c r="P1" s="7"/>
      <c r="S1" s="7"/>
      <c r="W1" s="7"/>
      <c r="AA1" s="7"/>
      <c r="AE1" s="7"/>
      <c r="AI1" s="7"/>
      <c r="AN1" s="7"/>
      <c r="AS1" s="7"/>
    </row>
    <row r="2" spans="1:45" s="4" customFormat="1" x14ac:dyDescent="0.2">
      <c r="D2" s="7"/>
      <c r="G2" s="7"/>
      <c r="J2" s="7"/>
      <c r="M2" s="7"/>
      <c r="P2" s="7"/>
      <c r="S2" s="7"/>
      <c r="W2" s="7"/>
      <c r="AA2" s="7"/>
      <c r="AE2" s="7"/>
      <c r="AI2" s="7"/>
      <c r="AN2" s="7"/>
      <c r="AS2" s="7"/>
    </row>
    <row r="3" spans="1:45" s="4" customFormat="1" x14ac:dyDescent="0.2">
      <c r="D3" s="7"/>
      <c r="G3" s="7"/>
      <c r="J3" s="7"/>
      <c r="M3" s="7"/>
      <c r="P3" s="7"/>
      <c r="S3" s="7"/>
      <c r="W3" s="7"/>
      <c r="AA3" s="7"/>
      <c r="AE3" s="7"/>
      <c r="AI3" s="7"/>
      <c r="AN3" s="7"/>
      <c r="AS3" s="7"/>
    </row>
    <row r="4" spans="1:45" x14ac:dyDescent="0.2">
      <c r="A4" s="1"/>
    </row>
    <row r="5" spans="1:45" x14ac:dyDescent="0.2">
      <c r="A5" s="1"/>
    </row>
    <row r="6" spans="1:45" x14ac:dyDescent="0.2">
      <c r="A6" s="1"/>
    </row>
    <row r="7" spans="1:45" x14ac:dyDescent="0.2">
      <c r="A7" s="1"/>
    </row>
    <row r="8" spans="1:45" x14ac:dyDescent="0.2">
      <c r="A8" s="1"/>
    </row>
    <row r="9" spans="1:45" x14ac:dyDescent="0.2">
      <c r="A9" s="1"/>
    </row>
    <row r="10" spans="1:45" x14ac:dyDescent="0.2">
      <c r="A10" s="1"/>
    </row>
    <row r="11" spans="1:45" x14ac:dyDescent="0.2">
      <c r="A11" s="12"/>
    </row>
    <row r="12" spans="1:45" x14ac:dyDescent="0.2">
      <c r="A12" s="12"/>
    </row>
    <row r="13" spans="1:45" x14ac:dyDescent="0.2">
      <c r="A13" s="12"/>
    </row>
    <row r="14" spans="1:45" x14ac:dyDescent="0.2">
      <c r="A14" s="12"/>
    </row>
    <row r="15" spans="1:45" s="5" customFormat="1" ht="13.5" thickBot="1" x14ac:dyDescent="0.25">
      <c r="A15" s="13"/>
      <c r="D15" s="9"/>
      <c r="G15" s="9"/>
      <c r="J15" s="9"/>
      <c r="M15" s="9"/>
      <c r="P15" s="9"/>
      <c r="S15" s="9"/>
      <c r="W15" s="9"/>
      <c r="AA15" s="9"/>
      <c r="AE15" s="9"/>
      <c r="AI15" s="9"/>
      <c r="AN15" s="9"/>
      <c r="AS15" s="9"/>
    </row>
    <row r="16" spans="1:45" x14ac:dyDescent="0.2">
      <c r="A16" s="12"/>
    </row>
    <row r="17" spans="1:49" x14ac:dyDescent="0.2">
      <c r="A17" s="14" t="s">
        <v>10</v>
      </c>
    </row>
    <row r="18" spans="1:49" x14ac:dyDescent="0.2">
      <c r="A18" s="12">
        <v>1</v>
      </c>
      <c r="B18" s="8">
        <f>SQRT(B11)</f>
        <v>0</v>
      </c>
      <c r="D18" s="8">
        <f>SQRT(D11)</f>
        <v>0</v>
      </c>
      <c r="G18" s="8">
        <f>SQRT(G11)</f>
        <v>0</v>
      </c>
      <c r="J18" s="8">
        <f>SQRT(J11)</f>
        <v>0</v>
      </c>
      <c r="M18" s="8">
        <f>SQRT(M11)</f>
        <v>0</v>
      </c>
      <c r="P18" s="8">
        <f>SQRT(P11)</f>
        <v>0</v>
      </c>
      <c r="S18" s="8">
        <f>SQRT(S11)</f>
        <v>0</v>
      </c>
      <c r="W18" s="8">
        <f>SQRT(W11)</f>
        <v>0</v>
      </c>
      <c r="AA18" s="8">
        <f>SQRT(AA11)</f>
        <v>0</v>
      </c>
      <c r="AE18" s="8">
        <f>SQRT(AE11)</f>
        <v>0</v>
      </c>
      <c r="AI18" s="8">
        <f>SQRT(AI11)</f>
        <v>0</v>
      </c>
      <c r="AN18" s="8">
        <f>SQRT(AN11)</f>
        <v>0</v>
      </c>
      <c r="AS18" s="8">
        <f>SQRT(AS11)</f>
        <v>0</v>
      </c>
    </row>
    <row r="19" spans="1:49" x14ac:dyDescent="0.2">
      <c r="A19" s="12">
        <v>2</v>
      </c>
      <c r="B19" s="8" t="e">
        <f>B12/B18</f>
        <v>#DIV/0!</v>
      </c>
      <c r="C19" s="2" t="e">
        <f>SQRT(C12-B19^2)</f>
        <v>#DIV/0!</v>
      </c>
      <c r="D19" s="8" t="e">
        <f>D12/D18</f>
        <v>#DIV/0!</v>
      </c>
      <c r="E19" s="2" t="e">
        <f>SQRT(E12-D19^2)</f>
        <v>#DIV/0!</v>
      </c>
      <c r="G19" s="8" t="e">
        <f>G12/G18</f>
        <v>#DIV/0!</v>
      </c>
      <c r="H19" s="2" t="e">
        <f>SQRT(H12-G19^2)</f>
        <v>#DIV/0!</v>
      </c>
      <c r="J19" s="8" t="e">
        <f>J12/J18</f>
        <v>#DIV/0!</v>
      </c>
      <c r="K19" s="2" t="e">
        <f>SQRT(K12-J19^2)</f>
        <v>#DIV/0!</v>
      </c>
      <c r="M19" s="8" t="e">
        <f>M12/M18</f>
        <v>#DIV/0!</v>
      </c>
      <c r="N19" s="2" t="e">
        <f>SQRT(N12-M19^2)</f>
        <v>#DIV/0!</v>
      </c>
      <c r="P19" s="8" t="e">
        <f>P12/P18</f>
        <v>#DIV/0!</v>
      </c>
      <c r="Q19" s="2" t="e">
        <f>SQRT(Q12-P19^2)</f>
        <v>#DIV/0!</v>
      </c>
      <c r="S19" s="8" t="e">
        <f>S12/S18</f>
        <v>#DIV/0!</v>
      </c>
      <c r="T19" s="2" t="e">
        <f>SQRT(T12-S19^2)</f>
        <v>#DIV/0!</v>
      </c>
      <c r="W19" s="8" t="e">
        <f>W12/W18</f>
        <v>#DIV/0!</v>
      </c>
      <c r="X19" s="2" t="e">
        <f>SQRT(X12-W19^2)</f>
        <v>#DIV/0!</v>
      </c>
      <c r="AA19" s="8" t="e">
        <f>AA12/AA18</f>
        <v>#DIV/0!</v>
      </c>
      <c r="AB19" s="2" t="e">
        <f>SQRT(AB12-AA19^2)</f>
        <v>#DIV/0!</v>
      </c>
      <c r="AE19" s="8" t="e">
        <f>AE12/AE18</f>
        <v>#DIV/0!</v>
      </c>
      <c r="AF19" s="2" t="e">
        <f>SQRT(AF12-AE19^2)</f>
        <v>#DIV/0!</v>
      </c>
      <c r="AI19" s="8" t="e">
        <f>AI12/AI18</f>
        <v>#DIV/0!</v>
      </c>
      <c r="AJ19" s="2" t="e">
        <f>SQRT(AJ12-AI19^2)</f>
        <v>#DIV/0!</v>
      </c>
      <c r="AN19" s="8" t="e">
        <f>AN12/AN18</f>
        <v>#DIV/0!</v>
      </c>
      <c r="AO19" s="2" t="e">
        <f>SQRT(AO12-AN19^2)</f>
        <v>#DIV/0!</v>
      </c>
      <c r="AS19" s="8" t="e">
        <f>AS12/AS18</f>
        <v>#DIV/0!</v>
      </c>
      <c r="AT19" s="2" t="e">
        <f>SQRT(AT12-AS19^2)</f>
        <v>#DIV/0!</v>
      </c>
    </row>
    <row r="20" spans="1:49" x14ac:dyDescent="0.2">
      <c r="A20" s="12">
        <v>3</v>
      </c>
      <c r="B20" s="8"/>
      <c r="D20" s="8" t="e">
        <f>D13/D18</f>
        <v>#DIV/0!</v>
      </c>
      <c r="E20" s="2" t="e">
        <f>(E13-D20*D19)/E19</f>
        <v>#DIV/0!</v>
      </c>
      <c r="F20" s="2" t="e">
        <f>SQRT(F13-D20^2-E20^2)</f>
        <v>#DIV/0!</v>
      </c>
      <c r="G20" s="8" t="e">
        <f>G13/G18</f>
        <v>#DIV/0!</v>
      </c>
      <c r="H20" s="2" t="e">
        <f>(H13-G20*G19)/H19</f>
        <v>#DIV/0!</v>
      </c>
      <c r="I20" s="2" t="e">
        <f>SQRT(I13-G20^2-H20^2)</f>
        <v>#DIV/0!</v>
      </c>
      <c r="J20" s="8" t="e">
        <f>J13/J18</f>
        <v>#DIV/0!</v>
      </c>
      <c r="K20" s="2" t="e">
        <f>(K13-J20*J19)/K19</f>
        <v>#DIV/0!</v>
      </c>
      <c r="L20" s="2" t="e">
        <f>SQRT(L13-J20^2-K20^2)</f>
        <v>#DIV/0!</v>
      </c>
      <c r="M20" s="8" t="e">
        <f>M13/M18</f>
        <v>#DIV/0!</v>
      </c>
      <c r="N20" s="2" t="e">
        <f>(N13-M20*M19)/N19</f>
        <v>#DIV/0!</v>
      </c>
      <c r="O20" s="2" t="e">
        <f>SQRT(O13-M20^2-N20^2)</f>
        <v>#DIV/0!</v>
      </c>
      <c r="P20" s="8" t="e">
        <f>P13/P18</f>
        <v>#DIV/0!</v>
      </c>
      <c r="Q20" s="2" t="e">
        <f>(Q13-P20*P19)/Q19</f>
        <v>#DIV/0!</v>
      </c>
      <c r="R20" s="2" t="e">
        <f>SQRT(R13-P20^2-Q20^2)</f>
        <v>#DIV/0!</v>
      </c>
      <c r="S20" s="8" t="e">
        <f>S13/S18</f>
        <v>#DIV/0!</v>
      </c>
      <c r="T20" s="2" t="e">
        <f>(T13-S20*S19)/T19</f>
        <v>#DIV/0!</v>
      </c>
      <c r="U20" s="2" t="e">
        <f>SQRT(U13-S20^2-T20^2)</f>
        <v>#DIV/0!</v>
      </c>
      <c r="W20" s="8" t="e">
        <f>W13/W18</f>
        <v>#DIV/0!</v>
      </c>
      <c r="X20" s="2" t="e">
        <f>(X13-W20*W19)/X19</f>
        <v>#DIV/0!</v>
      </c>
      <c r="Y20" s="2" t="e">
        <f>SQRT(Y13-W20^2-X20^2)</f>
        <v>#DIV/0!</v>
      </c>
      <c r="AA20" s="8" t="e">
        <f>AA13/AA18</f>
        <v>#DIV/0!</v>
      </c>
      <c r="AB20" s="2" t="e">
        <f>(AB13-AA20*AA19)/AB19</f>
        <v>#DIV/0!</v>
      </c>
      <c r="AC20" s="2" t="e">
        <f>SQRT(AC13-AA20^2-AB20^2)</f>
        <v>#DIV/0!</v>
      </c>
      <c r="AE20" s="8" t="e">
        <f>AE13/AE18</f>
        <v>#DIV/0!</v>
      </c>
      <c r="AF20" s="2" t="e">
        <f>(AF13-AE20*AE19)/AF19</f>
        <v>#DIV/0!</v>
      </c>
      <c r="AG20" s="2" t="e">
        <f>SQRT(AG13-AE20^2-AF20^2)</f>
        <v>#DIV/0!</v>
      </c>
      <c r="AI20" s="8" t="e">
        <f>AI13/AI18</f>
        <v>#DIV/0!</v>
      </c>
      <c r="AJ20" s="2" t="e">
        <f>(AJ13-AI20*AI19)/AJ19</f>
        <v>#DIV/0!</v>
      </c>
      <c r="AK20" s="2" t="e">
        <f>SQRT(AK13-AI20^2-AJ20^2)</f>
        <v>#DIV/0!</v>
      </c>
      <c r="AN20" s="8" t="e">
        <f>AN13/AN18</f>
        <v>#DIV/0!</v>
      </c>
      <c r="AO20" s="2" t="e">
        <f>(AO13-AN20*AN19)/AO19</f>
        <v>#DIV/0!</v>
      </c>
      <c r="AP20" s="2" t="e">
        <f>SQRT(AP13-AN20^2-AO20^2)</f>
        <v>#DIV/0!</v>
      </c>
      <c r="AS20" s="8" t="e">
        <f>AS13/AS18</f>
        <v>#DIV/0!</v>
      </c>
      <c r="AT20" s="2" t="e">
        <f>(AT13-AS20*AS19)/AT19</f>
        <v>#DIV/0!</v>
      </c>
      <c r="AU20" s="2" t="e">
        <f>SQRT(AU13-AS20^2-AT20^2)</f>
        <v>#DIV/0!</v>
      </c>
    </row>
    <row r="21" spans="1:49" x14ac:dyDescent="0.2">
      <c r="A21" s="12">
        <v>4</v>
      </c>
      <c r="B21" s="8"/>
      <c r="S21" s="8" t="e">
        <f>S14/S18</f>
        <v>#DIV/0!</v>
      </c>
      <c r="T21" s="2" t="e">
        <f>(T14-S21*S19)/T19</f>
        <v>#DIV/0!</v>
      </c>
      <c r="U21" s="2" t="e">
        <f>(U14-S20*S21-T20*T21)/U20</f>
        <v>#DIV/0!</v>
      </c>
      <c r="V21" s="2" t="e">
        <f>SQRT(V14-S21^2-T21^2-U21^2)</f>
        <v>#DIV/0!</v>
      </c>
      <c r="W21" s="8" t="e">
        <f>W14/W18</f>
        <v>#DIV/0!</v>
      </c>
      <c r="X21" s="2" t="e">
        <f>(X14-W21*W19)/X19</f>
        <v>#DIV/0!</v>
      </c>
      <c r="Y21" s="2" t="e">
        <f>(Y14-W20*W21-X20*X21)/Y20</f>
        <v>#DIV/0!</v>
      </c>
      <c r="Z21" s="2" t="e">
        <f>SQRT(Z14-W21^2-X21^2-Y21^2)</f>
        <v>#DIV/0!</v>
      </c>
      <c r="AA21" s="8" t="e">
        <f>AA14/AA18</f>
        <v>#DIV/0!</v>
      </c>
      <c r="AB21" s="2" t="e">
        <f>(AB14-AA21*AA19)/AB19</f>
        <v>#DIV/0!</v>
      </c>
      <c r="AC21" s="2" t="e">
        <f>(AC14-AA20*AA21-AB20*AB21)/AC20</f>
        <v>#DIV/0!</v>
      </c>
      <c r="AD21" s="2" t="e">
        <f>SQRT(AD14-AA21^2-AB21^2-AC21^2)</f>
        <v>#DIV/0!</v>
      </c>
      <c r="AE21" s="8" t="e">
        <f>AE14/AE18</f>
        <v>#DIV/0!</v>
      </c>
      <c r="AF21" s="2" t="e">
        <f>(AF14-AE21*AE19)/AF19</f>
        <v>#DIV/0!</v>
      </c>
      <c r="AG21" s="2" t="e">
        <f>(AG14-AE20*AE21-AF20*AF21)/AG20</f>
        <v>#DIV/0!</v>
      </c>
      <c r="AH21" s="2" t="e">
        <f>SQRT(AH14-AE21^2-AF21^2-AG21^2)</f>
        <v>#DIV/0!</v>
      </c>
      <c r="AI21" s="8" t="e">
        <f>AI14/AI18</f>
        <v>#DIV/0!</v>
      </c>
      <c r="AJ21" s="2" t="e">
        <f>(AJ14-AI21*AI19)/AJ19</f>
        <v>#DIV/0!</v>
      </c>
      <c r="AK21" s="2" t="e">
        <f>(AK14-AI20*AI21-AJ20*AJ21)/AK20</f>
        <v>#DIV/0!</v>
      </c>
      <c r="AL21" s="2" t="e">
        <f>SQRT(AL14-AI21^2-AJ21^2-AK21^2)</f>
        <v>#DIV/0!</v>
      </c>
      <c r="AN21" s="8" t="e">
        <f>AN14/AN18</f>
        <v>#DIV/0!</v>
      </c>
      <c r="AO21" s="2" t="e">
        <f>(AO14-AN21*AN19)/AO19</f>
        <v>#DIV/0!</v>
      </c>
      <c r="AP21" s="2" t="e">
        <f>(AP14-AN20*AN21-AO20*AO21)/AP20</f>
        <v>#DIV/0!</v>
      </c>
      <c r="AQ21" s="2" t="e">
        <f>SQRT(AQ14-AN21^2-AO21^2-AP21^2)</f>
        <v>#DIV/0!</v>
      </c>
      <c r="AS21" s="8" t="e">
        <f>AS14/AS18</f>
        <v>#DIV/0!</v>
      </c>
      <c r="AT21" s="2" t="e">
        <f>(AT14-AS21*AS19)/AT19</f>
        <v>#DIV/0!</v>
      </c>
      <c r="AU21" s="2" t="e">
        <f>(AU14-AS20*AS21-AT20*AT21)/AU20</f>
        <v>#DIV/0!</v>
      </c>
      <c r="AV21" s="2" t="e">
        <f>SQRT(AV14-AS21^2-AT21^2-AU21^2)</f>
        <v>#DIV/0!</v>
      </c>
    </row>
    <row r="22" spans="1:49" x14ac:dyDescent="0.2">
      <c r="A22" s="12">
        <v>5</v>
      </c>
      <c r="B22" s="8"/>
      <c r="AI22" s="8" t="e">
        <f>AI15/AI18</f>
        <v>#DIV/0!</v>
      </c>
      <c r="AJ22" s="2" t="e">
        <f>(AJ15-AI22*AI19)/AJ19</f>
        <v>#DIV/0!</v>
      </c>
      <c r="AK22" s="2" t="e">
        <f>(AK15-AI20*AI22-AJ20*AJ22)/AK20</f>
        <v>#DIV/0!</v>
      </c>
      <c r="AL22" s="2" t="e">
        <f>(AL15-AI21*AI22-AJ21*AJ22-AK21*AK22)/AL21</f>
        <v>#DIV/0!</v>
      </c>
      <c r="AM22" s="2" t="e">
        <f>SQRT(AM15-AI22^2-AJ22^2-AK22^2-AL22^2)</f>
        <v>#DIV/0!</v>
      </c>
      <c r="AN22" s="8" t="e">
        <f>AN15/AN18</f>
        <v>#DIV/0!</v>
      </c>
      <c r="AO22" s="2" t="e">
        <f>(AO15-AN22*AN19)/AO19</f>
        <v>#DIV/0!</v>
      </c>
      <c r="AP22" s="2" t="e">
        <f>(AP15-AN20*AN22-AO20*AO22)/AP20</f>
        <v>#DIV/0!</v>
      </c>
      <c r="AQ22" s="2" t="e">
        <f>(AQ15-AN21*AN22-AO21*AO22-AP21*AP22)/AQ21</f>
        <v>#DIV/0!</v>
      </c>
      <c r="AR22" s="2" t="e">
        <f>SQRT(AR15-AN22^2-AO22^2-AP22^2-AQ22^2)</f>
        <v>#DIV/0!</v>
      </c>
      <c r="AS22" s="8" t="e">
        <f>AS15/AS18</f>
        <v>#DIV/0!</v>
      </c>
      <c r="AT22" s="2" t="e">
        <f>(AT15-AS22*AS19)/AT19</f>
        <v>#DIV/0!</v>
      </c>
      <c r="AU22" s="2" t="e">
        <f>(AU15-AS20*AS22-AT20*AT22)/AU20</f>
        <v>#DIV/0!</v>
      </c>
      <c r="AV22" s="2" t="e">
        <f>(AV15-AS21*AS22-AT21*AT22-AU21*AU22)/AV21</f>
        <v>#DIV/0!</v>
      </c>
      <c r="AW22" s="2" t="e">
        <f>SQRT(AW15-AS22^2-AT22^2-AU22^2-AV22^2)</f>
        <v>#DIV/0!</v>
      </c>
    </row>
    <row r="23" spans="1:49" x14ac:dyDescent="0.2">
      <c r="A23" s="6"/>
      <c r="B23" s="8"/>
    </row>
    <row r="24" spans="1:49" x14ac:dyDescent="0.2">
      <c r="A24" s="6" t="s">
        <v>11</v>
      </c>
      <c r="B24" s="8">
        <f ca="1">NORMINV(RAND(),0,1)</f>
        <v>-0.92182449111680931</v>
      </c>
      <c r="C24" s="2">
        <f t="shared" ref="C24" ca="1" si="0">NORMINV(RAND(),0,1)</f>
        <v>-1.2436340952163805</v>
      </c>
      <c r="D24" s="8">
        <f ca="1">NORMINV(RAND(),0,1)</f>
        <v>-1.7342846424338907</v>
      </c>
      <c r="E24" s="2">
        <f t="shared" ref="E24:F24" ca="1" si="1">NORMINV(RAND(),0,1)</f>
        <v>-0.45632086178044673</v>
      </c>
      <c r="F24" s="2">
        <f t="shared" ca="1" si="1"/>
        <v>-1.7772110865987714</v>
      </c>
      <c r="G24" s="8">
        <f ca="1">NORMINV(RAND(),0,1)</f>
        <v>-0.21977815168661133</v>
      </c>
      <c r="H24" s="2">
        <f t="shared" ref="H24:I24" ca="1" si="2">NORMINV(RAND(),0,1)</f>
        <v>-0.4513377574553476</v>
      </c>
      <c r="I24" s="2">
        <f t="shared" ca="1" si="2"/>
        <v>0.91372069493857377</v>
      </c>
      <c r="J24" s="8">
        <f ca="1">NORMINV(RAND(),0,1)</f>
        <v>-0.49608767933967923</v>
      </c>
      <c r="K24" s="2">
        <f t="shared" ref="K24:L24" ca="1" si="3">NORMINV(RAND(),0,1)</f>
        <v>-0.38109337120056291</v>
      </c>
      <c r="L24" s="2">
        <f t="shared" ca="1" si="3"/>
        <v>-1.0898335884403971</v>
      </c>
      <c r="M24" s="8">
        <f ca="1">NORMINV(RAND(),0,1)</f>
        <v>-0.14806781844820727</v>
      </c>
      <c r="N24" s="2">
        <f t="shared" ref="N24:O24" ca="1" si="4">NORMINV(RAND(),0,1)</f>
        <v>-0.55056324311566363</v>
      </c>
      <c r="O24" s="2">
        <f t="shared" ca="1" si="4"/>
        <v>-0.90687241185070444</v>
      </c>
      <c r="P24" s="8">
        <f ca="1">NORMINV(RAND(),0,1)</f>
        <v>0.78544895873016951</v>
      </c>
      <c r="Q24" s="2">
        <f t="shared" ref="Q24:R24" ca="1" si="5">NORMINV(RAND(),0,1)</f>
        <v>-1.4927649884384924E-2</v>
      </c>
      <c r="R24" s="2">
        <f t="shared" ca="1" si="5"/>
        <v>-0.88249758548213542</v>
      </c>
      <c r="S24" s="8">
        <f ca="1">NORMINV(RAND(),0,1)</f>
        <v>0.27388786855569069</v>
      </c>
      <c r="T24" s="2">
        <f t="shared" ref="T24:V24" ca="1" si="6">NORMINV(RAND(),0,1)</f>
        <v>-1.5900270694423648</v>
      </c>
      <c r="U24" s="2">
        <f t="shared" ca="1" si="6"/>
        <v>0.12698074074788426</v>
      </c>
      <c r="V24" s="2">
        <f t="shared" ca="1" si="6"/>
        <v>-1.5824656046724421</v>
      </c>
      <c r="W24" s="8">
        <f ca="1">NORMINV(RAND(),0,1)</f>
        <v>-2.1597713621340144</v>
      </c>
      <c r="X24" s="2">
        <f t="shared" ref="X24:Z24" ca="1" si="7">NORMINV(RAND(),0,1)</f>
        <v>-1.0092159231615248</v>
      </c>
      <c r="Y24" s="2">
        <f t="shared" ca="1" si="7"/>
        <v>-1.0510698955206921</v>
      </c>
      <c r="Z24" s="2">
        <f t="shared" ca="1" si="7"/>
        <v>-6.0972761120045231E-2</v>
      </c>
      <c r="AA24" s="8">
        <f ca="1">NORMINV(RAND(),0,1)</f>
        <v>-0.31089101813048681</v>
      </c>
      <c r="AB24" s="2">
        <f t="shared" ref="AB24:AD24" ca="1" si="8">NORMINV(RAND(),0,1)</f>
        <v>-0.84911771836607575</v>
      </c>
      <c r="AC24" s="2">
        <f t="shared" ca="1" si="8"/>
        <v>-0.6239739271825534</v>
      </c>
      <c r="AD24" s="2">
        <f t="shared" ca="1" si="8"/>
        <v>0.78543655884525354</v>
      </c>
      <c r="AE24" s="8">
        <f ca="1">NORMINV(RAND(),0,1)</f>
        <v>-0.85591314653729911</v>
      </c>
      <c r="AF24" s="2">
        <f t="shared" ref="AF24:AH24" ca="1" si="9">NORMINV(RAND(),0,1)</f>
        <v>-0.13694362044755859</v>
      </c>
      <c r="AG24" s="2">
        <f t="shared" ca="1" si="9"/>
        <v>0.90159896382065408</v>
      </c>
      <c r="AH24" s="2">
        <f t="shared" ca="1" si="9"/>
        <v>-0.39542955250837386</v>
      </c>
      <c r="AI24" s="8">
        <f ca="1">NORMINV(RAND(),0,1)</f>
        <v>2.0327196432290422</v>
      </c>
      <c r="AJ24" s="2">
        <f t="shared" ref="AJ24:AM24" ca="1" si="10">NORMINV(RAND(),0,1)</f>
        <v>-0.62998258814836305</v>
      </c>
      <c r="AK24" s="2">
        <f t="shared" ca="1" si="10"/>
        <v>9.5669087613160536E-2</v>
      </c>
      <c r="AL24" s="2">
        <f t="shared" ca="1" si="10"/>
        <v>-0.86963287006151713</v>
      </c>
      <c r="AM24" s="2">
        <f t="shared" ca="1" si="10"/>
        <v>0.66442945127665776</v>
      </c>
      <c r="AN24" s="8">
        <f ca="1">NORMINV(RAND(),0,1)</f>
        <v>0.89754788716492739</v>
      </c>
      <c r="AO24" s="2">
        <f t="shared" ref="AO24:AR24" ca="1" si="11">NORMINV(RAND(),0,1)</f>
        <v>-1.1824363192915033</v>
      </c>
      <c r="AP24" s="2">
        <f t="shared" ca="1" si="11"/>
        <v>-0.36690829848206086</v>
      </c>
      <c r="AQ24" s="2">
        <f t="shared" ca="1" si="11"/>
        <v>-0.60298170573201648</v>
      </c>
      <c r="AR24" s="2">
        <f t="shared" ca="1" si="11"/>
        <v>0.15931656333167687</v>
      </c>
      <c r="AS24" s="8">
        <f ca="1">NORMINV(RAND(),0,1)</f>
        <v>-0.30068280089700261</v>
      </c>
      <c r="AT24" s="2">
        <f t="shared" ref="AT24:AW24" ca="1" si="12">NORMINV(RAND(),0,1)</f>
        <v>-0.37397348398629726</v>
      </c>
      <c r="AU24" s="2">
        <f t="shared" ca="1" si="12"/>
        <v>-0.26687504488324088</v>
      </c>
      <c r="AV24" s="2">
        <f t="shared" ca="1" si="12"/>
        <v>-0.49544597660925033</v>
      </c>
      <c r="AW24" s="2">
        <f t="shared" ca="1" si="12"/>
        <v>0.61953960625545668</v>
      </c>
    </row>
    <row r="25" spans="1:49" x14ac:dyDescent="0.2">
      <c r="A25" s="6" t="s">
        <v>12</v>
      </c>
      <c r="B25" s="8">
        <f ca="1">SUMPRODUCT(B18:B18,B24:B24)</f>
        <v>0</v>
      </c>
      <c r="C25" s="2" t="e">
        <f>SUMPRODUCT(B19:C19,B24:C24)</f>
        <v>#DIV/0!</v>
      </c>
      <c r="D25" s="8">
        <f ca="1">SUMPRODUCT(D18:D18,D24:D24)</f>
        <v>0</v>
      </c>
      <c r="E25" s="2" t="e">
        <f>SUMPRODUCT(D19:E19,D24:E24)</f>
        <v>#DIV/0!</v>
      </c>
      <c r="F25" s="2" t="e">
        <f>SUMPRODUCT(D20:F20,D24:F24)</f>
        <v>#DIV/0!</v>
      </c>
      <c r="G25" s="8">
        <f ca="1">SUMPRODUCT(G18:G18,G24:G24)</f>
        <v>0</v>
      </c>
      <c r="H25" s="2" t="e">
        <f>SUMPRODUCT(G19:H19,G24:H24)</f>
        <v>#DIV/0!</v>
      </c>
      <c r="I25" s="2" t="e">
        <f>SUMPRODUCT(G20:I20,G24:I24)</f>
        <v>#DIV/0!</v>
      </c>
      <c r="J25" s="8">
        <f ca="1">SUMPRODUCT(J18:J18,J24:J24)</f>
        <v>0</v>
      </c>
      <c r="K25" s="2" t="e">
        <f>SUMPRODUCT(J19:K19,J24:K24)</f>
        <v>#DIV/0!</v>
      </c>
      <c r="L25" s="2" t="e">
        <f>SUMPRODUCT(J20:L20,J24:L24)</f>
        <v>#DIV/0!</v>
      </c>
      <c r="M25" s="8">
        <f ca="1">SUMPRODUCT(M18:M18,M24:M24)</f>
        <v>0</v>
      </c>
      <c r="N25" s="2" t="e">
        <f>SUMPRODUCT(M19:N19,M24:N24)</f>
        <v>#DIV/0!</v>
      </c>
      <c r="O25" s="2" t="e">
        <f>SUMPRODUCT(M20:O20,M24:O24)</f>
        <v>#DIV/0!</v>
      </c>
      <c r="P25" s="8">
        <f ca="1">SUMPRODUCT(P18:P18,P24:P24)</f>
        <v>0</v>
      </c>
      <c r="Q25" s="2" t="e">
        <f>SUMPRODUCT(P19:Q19,P24:Q24)</f>
        <v>#DIV/0!</v>
      </c>
      <c r="R25" s="2" t="e">
        <f>SUMPRODUCT(P20:R20,P24:R24)</f>
        <v>#DIV/0!</v>
      </c>
      <c r="S25" s="8">
        <f ca="1">SUMPRODUCT(S18:S18,S24:S24)</f>
        <v>0</v>
      </c>
      <c r="T25" s="2" t="e">
        <f>SUMPRODUCT(S19:T19,S24:T24)</f>
        <v>#DIV/0!</v>
      </c>
      <c r="U25" s="2" t="e">
        <f>SUMPRODUCT(S20:U20,S24:U24)</f>
        <v>#DIV/0!</v>
      </c>
      <c r="V25" s="2" t="e">
        <f>SUMPRODUCT(S21:V21,S24:V24)</f>
        <v>#DIV/0!</v>
      </c>
      <c r="W25" s="8">
        <f ca="1">SUMPRODUCT(W18:W18,W24:W24)</f>
        <v>0</v>
      </c>
      <c r="X25" s="2" t="e">
        <f>SUMPRODUCT(W19:X19,W24:X24)</f>
        <v>#DIV/0!</v>
      </c>
      <c r="Y25" s="2" t="e">
        <f>SUMPRODUCT(W20:Y20,W24:Y24)</f>
        <v>#DIV/0!</v>
      </c>
      <c r="Z25" s="2" t="e">
        <f>SUMPRODUCT(W21:Z21,W24:Z24)</f>
        <v>#DIV/0!</v>
      </c>
      <c r="AA25" s="8">
        <f ca="1">SUMPRODUCT(AA18:AA18,AA24:AA24)</f>
        <v>0</v>
      </c>
      <c r="AB25" s="2" t="e">
        <f>SUMPRODUCT(AA19:AB19,AA24:AB24)</f>
        <v>#DIV/0!</v>
      </c>
      <c r="AC25" s="2" t="e">
        <f>SUMPRODUCT(AA20:AC20,AA24:AC24)</f>
        <v>#DIV/0!</v>
      </c>
      <c r="AD25" s="2" t="e">
        <f>SUMPRODUCT(AA21:AD21,AA24:AD24)</f>
        <v>#DIV/0!</v>
      </c>
      <c r="AE25" s="8">
        <f ca="1">SUMPRODUCT(AE18:AE18,AE24:AE24)</f>
        <v>0</v>
      </c>
      <c r="AF25" s="2" t="e">
        <f>SUMPRODUCT(AE19:AF19,AE24:AF24)</f>
        <v>#DIV/0!</v>
      </c>
      <c r="AG25" s="2" t="e">
        <f>SUMPRODUCT(AE20:AG20,AE24:AG24)</f>
        <v>#DIV/0!</v>
      </c>
      <c r="AH25" s="2" t="e">
        <f>SUMPRODUCT(AE21:AH21,AE24:AH24)</f>
        <v>#DIV/0!</v>
      </c>
      <c r="AI25" s="8">
        <f ca="1">SUMPRODUCT(AI18:AI18,AI24:AI24)</f>
        <v>0</v>
      </c>
      <c r="AJ25" s="2" t="e">
        <f>SUMPRODUCT(AI19:AJ19,AI24:AJ24)</f>
        <v>#DIV/0!</v>
      </c>
      <c r="AK25" s="2" t="e">
        <f>SUMPRODUCT(AI20:AK20,AI24:AK24)</f>
        <v>#DIV/0!</v>
      </c>
      <c r="AL25" s="2" t="e">
        <f>SUMPRODUCT(AI21:AL21,AI24:AL24)</f>
        <v>#DIV/0!</v>
      </c>
      <c r="AM25" s="2" t="e">
        <f>SUMPRODUCT(AI22:AM22,AI24:AM24)</f>
        <v>#DIV/0!</v>
      </c>
      <c r="AN25" s="8">
        <f ca="1">SUMPRODUCT(AN18:AN18,AN24:AN24)</f>
        <v>0</v>
      </c>
      <c r="AO25" s="2" t="e">
        <f>SUMPRODUCT(AN19:AO19,AN24:AO24)</f>
        <v>#DIV/0!</v>
      </c>
      <c r="AP25" s="2" t="e">
        <f>SUMPRODUCT(AN20:AP20,AN24:AP24)</f>
        <v>#DIV/0!</v>
      </c>
      <c r="AQ25" s="2" t="e">
        <f>SUMPRODUCT(AN21:AQ21,AN24:AQ24)</f>
        <v>#DIV/0!</v>
      </c>
      <c r="AR25" s="2" t="e">
        <f>SUMPRODUCT(AN22:AR22,AN24:AR24)</f>
        <v>#DIV/0!</v>
      </c>
      <c r="AS25" s="8">
        <f ca="1">SUMPRODUCT(AS18:AS18,AS24:AS24)</f>
        <v>0</v>
      </c>
      <c r="AT25" s="2" t="e">
        <f>SUMPRODUCT(AS19:AT19,AS24:AT24)</f>
        <v>#DIV/0!</v>
      </c>
      <c r="AU25" s="2" t="e">
        <f>SUMPRODUCT(AS20:AU20,AS24:AU24)</f>
        <v>#DIV/0!</v>
      </c>
      <c r="AV25" s="2" t="e">
        <f>SUMPRODUCT(AS21:AV21,AS24:AV24)</f>
        <v>#DIV/0!</v>
      </c>
      <c r="AW25" s="2" t="e">
        <f>SUMPRODUCT(AS22:AW22,AS24:AW24)</f>
        <v>#DIV/0!</v>
      </c>
    </row>
    <row r="26" spans="1:49" x14ac:dyDescent="0.2">
      <c r="A26" s="6"/>
      <c r="B26" s="8"/>
    </row>
    <row r="27" spans="1:49" x14ac:dyDescent="0.2">
      <c r="A27" s="1" t="s">
        <v>7</v>
      </c>
      <c r="B27" s="8">
        <f t="shared" ref="B27:AW27" ca="1" si="13">B25+B4</f>
        <v>0</v>
      </c>
      <c r="C27" s="2" t="e">
        <f t="shared" si="13"/>
        <v>#DIV/0!</v>
      </c>
      <c r="D27" s="8">
        <f t="shared" ca="1" si="13"/>
        <v>0</v>
      </c>
      <c r="E27" s="2" t="e">
        <f t="shared" si="13"/>
        <v>#DIV/0!</v>
      </c>
      <c r="F27" s="2" t="e">
        <f t="shared" si="13"/>
        <v>#DIV/0!</v>
      </c>
      <c r="G27" s="8">
        <f t="shared" ca="1" si="13"/>
        <v>0</v>
      </c>
      <c r="H27" s="2" t="e">
        <f t="shared" si="13"/>
        <v>#DIV/0!</v>
      </c>
      <c r="I27" s="2" t="e">
        <f t="shared" si="13"/>
        <v>#DIV/0!</v>
      </c>
      <c r="J27" s="8">
        <f t="shared" ca="1" si="13"/>
        <v>0</v>
      </c>
      <c r="K27" s="2" t="e">
        <f t="shared" si="13"/>
        <v>#DIV/0!</v>
      </c>
      <c r="L27" s="2" t="e">
        <f t="shared" si="13"/>
        <v>#DIV/0!</v>
      </c>
      <c r="M27" s="8">
        <f t="shared" ca="1" si="13"/>
        <v>0</v>
      </c>
      <c r="N27" s="2" t="e">
        <f t="shared" si="13"/>
        <v>#DIV/0!</v>
      </c>
      <c r="O27" s="2" t="e">
        <f t="shared" si="13"/>
        <v>#DIV/0!</v>
      </c>
      <c r="P27" s="8">
        <f t="shared" ca="1" si="13"/>
        <v>0</v>
      </c>
      <c r="Q27" s="2" t="e">
        <f t="shared" si="13"/>
        <v>#DIV/0!</v>
      </c>
      <c r="R27" s="2" t="e">
        <f t="shared" si="13"/>
        <v>#DIV/0!</v>
      </c>
      <c r="S27" s="8">
        <f t="shared" ca="1" si="13"/>
        <v>0</v>
      </c>
      <c r="T27" s="2" t="e">
        <f t="shared" si="13"/>
        <v>#DIV/0!</v>
      </c>
      <c r="U27" s="2" t="e">
        <f t="shared" si="13"/>
        <v>#DIV/0!</v>
      </c>
      <c r="V27" s="2" t="e">
        <f t="shared" si="13"/>
        <v>#DIV/0!</v>
      </c>
      <c r="W27" s="8">
        <f t="shared" ca="1" si="13"/>
        <v>0</v>
      </c>
      <c r="X27" s="2" t="e">
        <f t="shared" si="13"/>
        <v>#DIV/0!</v>
      </c>
      <c r="Y27" s="2" t="e">
        <f t="shared" si="13"/>
        <v>#DIV/0!</v>
      </c>
      <c r="Z27" s="2" t="e">
        <f t="shared" si="13"/>
        <v>#DIV/0!</v>
      </c>
      <c r="AA27" s="8">
        <f t="shared" ca="1" si="13"/>
        <v>0</v>
      </c>
      <c r="AB27" s="2" t="e">
        <f t="shared" si="13"/>
        <v>#DIV/0!</v>
      </c>
      <c r="AC27" s="2" t="e">
        <f t="shared" si="13"/>
        <v>#DIV/0!</v>
      </c>
      <c r="AD27" s="2" t="e">
        <f t="shared" si="13"/>
        <v>#DIV/0!</v>
      </c>
      <c r="AE27" s="8">
        <f t="shared" ca="1" si="13"/>
        <v>0</v>
      </c>
      <c r="AF27" s="2" t="e">
        <f t="shared" si="13"/>
        <v>#DIV/0!</v>
      </c>
      <c r="AG27" s="2" t="e">
        <f t="shared" si="13"/>
        <v>#DIV/0!</v>
      </c>
      <c r="AH27" s="2" t="e">
        <f t="shared" si="13"/>
        <v>#DIV/0!</v>
      </c>
      <c r="AI27" s="8">
        <f t="shared" ca="1" si="13"/>
        <v>0</v>
      </c>
      <c r="AJ27" s="2" t="e">
        <f t="shared" si="13"/>
        <v>#DIV/0!</v>
      </c>
      <c r="AK27" s="2" t="e">
        <f t="shared" si="13"/>
        <v>#DIV/0!</v>
      </c>
      <c r="AL27" s="2" t="e">
        <f t="shared" si="13"/>
        <v>#DIV/0!</v>
      </c>
      <c r="AM27" s="2" t="e">
        <f t="shared" si="13"/>
        <v>#DIV/0!</v>
      </c>
      <c r="AN27" s="8">
        <f t="shared" ca="1" si="13"/>
        <v>0</v>
      </c>
      <c r="AO27" s="2" t="e">
        <f t="shared" si="13"/>
        <v>#DIV/0!</v>
      </c>
      <c r="AP27" s="2" t="e">
        <f t="shared" si="13"/>
        <v>#DIV/0!</v>
      </c>
      <c r="AQ27" s="2" t="e">
        <f t="shared" si="13"/>
        <v>#DIV/0!</v>
      </c>
      <c r="AR27" s="2" t="e">
        <f t="shared" si="13"/>
        <v>#DIV/0!</v>
      </c>
      <c r="AS27" s="8">
        <f t="shared" ca="1" si="13"/>
        <v>0</v>
      </c>
      <c r="AT27" s="2" t="e">
        <f t="shared" si="13"/>
        <v>#DIV/0!</v>
      </c>
      <c r="AU27" s="2" t="e">
        <f t="shared" si="13"/>
        <v>#DIV/0!</v>
      </c>
      <c r="AV27" s="2" t="e">
        <f t="shared" si="13"/>
        <v>#DIV/0!</v>
      </c>
      <c r="AW27" s="2" t="e">
        <f t="shared" si="13"/>
        <v>#DIV/0!</v>
      </c>
    </row>
    <row r="28" spans="1:49" s="1" customFormat="1" x14ac:dyDescent="0.2">
      <c r="A28" s="1" t="s">
        <v>5</v>
      </c>
      <c r="B28" s="3">
        <f t="shared" ref="B28:AW28" si="14">B4</f>
        <v>0</v>
      </c>
      <c r="C28" s="3">
        <f t="shared" si="14"/>
        <v>0</v>
      </c>
      <c r="D28" s="10">
        <f t="shared" si="14"/>
        <v>0</v>
      </c>
      <c r="E28" s="3">
        <f t="shared" si="14"/>
        <v>0</v>
      </c>
      <c r="F28" s="3">
        <f t="shared" si="14"/>
        <v>0</v>
      </c>
      <c r="G28" s="10">
        <f t="shared" si="14"/>
        <v>0</v>
      </c>
      <c r="H28" s="3">
        <f t="shared" si="14"/>
        <v>0</v>
      </c>
      <c r="I28" s="3">
        <f t="shared" si="14"/>
        <v>0</v>
      </c>
      <c r="J28" s="10">
        <f t="shared" si="14"/>
        <v>0</v>
      </c>
      <c r="K28" s="3">
        <f t="shared" si="14"/>
        <v>0</v>
      </c>
      <c r="L28" s="3">
        <f t="shared" si="14"/>
        <v>0</v>
      </c>
      <c r="M28" s="10">
        <f t="shared" si="14"/>
        <v>0</v>
      </c>
      <c r="N28" s="3">
        <f t="shared" si="14"/>
        <v>0</v>
      </c>
      <c r="O28" s="3">
        <f t="shared" si="14"/>
        <v>0</v>
      </c>
      <c r="P28" s="10">
        <f t="shared" si="14"/>
        <v>0</v>
      </c>
      <c r="Q28" s="3">
        <f t="shared" si="14"/>
        <v>0</v>
      </c>
      <c r="R28" s="3">
        <f t="shared" si="14"/>
        <v>0</v>
      </c>
      <c r="S28" s="10">
        <f t="shared" si="14"/>
        <v>0</v>
      </c>
      <c r="T28" s="3">
        <f t="shared" si="14"/>
        <v>0</v>
      </c>
      <c r="U28" s="3">
        <f t="shared" si="14"/>
        <v>0</v>
      </c>
      <c r="V28" s="3">
        <f t="shared" si="14"/>
        <v>0</v>
      </c>
      <c r="W28" s="10">
        <f t="shared" si="14"/>
        <v>0</v>
      </c>
      <c r="X28" s="3">
        <f t="shared" si="14"/>
        <v>0</v>
      </c>
      <c r="Y28" s="3">
        <f t="shared" si="14"/>
        <v>0</v>
      </c>
      <c r="Z28" s="3">
        <f t="shared" si="14"/>
        <v>0</v>
      </c>
      <c r="AA28" s="10">
        <f t="shared" si="14"/>
        <v>0</v>
      </c>
      <c r="AB28" s="3">
        <f t="shared" si="14"/>
        <v>0</v>
      </c>
      <c r="AC28" s="3">
        <f t="shared" si="14"/>
        <v>0</v>
      </c>
      <c r="AD28" s="3">
        <f t="shared" si="14"/>
        <v>0</v>
      </c>
      <c r="AE28" s="10">
        <f t="shared" si="14"/>
        <v>0</v>
      </c>
      <c r="AF28" s="3">
        <f t="shared" si="14"/>
        <v>0</v>
      </c>
      <c r="AG28" s="3">
        <f t="shared" si="14"/>
        <v>0</v>
      </c>
      <c r="AH28" s="3">
        <f t="shared" si="14"/>
        <v>0</v>
      </c>
      <c r="AI28" s="10">
        <f t="shared" si="14"/>
        <v>0</v>
      </c>
      <c r="AJ28" s="3">
        <f t="shared" si="14"/>
        <v>0</v>
      </c>
      <c r="AK28" s="3">
        <f t="shared" si="14"/>
        <v>0</v>
      </c>
      <c r="AL28" s="3">
        <f t="shared" si="14"/>
        <v>0</v>
      </c>
      <c r="AM28" s="3">
        <f t="shared" si="14"/>
        <v>0</v>
      </c>
      <c r="AN28" s="10">
        <f t="shared" si="14"/>
        <v>0</v>
      </c>
      <c r="AO28" s="3">
        <f t="shared" si="14"/>
        <v>0</v>
      </c>
      <c r="AP28" s="3">
        <f t="shared" si="14"/>
        <v>0</v>
      </c>
      <c r="AQ28" s="3">
        <f t="shared" si="14"/>
        <v>0</v>
      </c>
      <c r="AR28" s="3">
        <f t="shared" si="14"/>
        <v>0</v>
      </c>
      <c r="AS28" s="10">
        <f t="shared" si="14"/>
        <v>0</v>
      </c>
      <c r="AT28" s="3">
        <f t="shared" si="14"/>
        <v>0</v>
      </c>
      <c r="AU28" s="3">
        <f t="shared" si="14"/>
        <v>0</v>
      </c>
      <c r="AV28" s="3">
        <f t="shared" si="14"/>
        <v>0</v>
      </c>
      <c r="AW28" s="3">
        <f t="shared" si="14"/>
        <v>0</v>
      </c>
    </row>
    <row r="29" spans="1:49" s="1" customFormat="1" x14ac:dyDescent="0.2">
      <c r="A29" s="1" t="s">
        <v>16</v>
      </c>
      <c r="B29" s="1">
        <f>EXP(B28)</f>
        <v>1</v>
      </c>
      <c r="C29" s="1">
        <f>EXP(C28)</f>
        <v>1</v>
      </c>
      <c r="D29" s="11">
        <f>EXP(D28)</f>
        <v>1</v>
      </c>
      <c r="E29" s="1">
        <f>1/EXP(E28)</f>
        <v>1</v>
      </c>
      <c r="F29" s="1">
        <f t="shared" ref="F29" si="15">1/EXP(F28)</f>
        <v>1</v>
      </c>
      <c r="G29" s="11">
        <f>G28</f>
        <v>0</v>
      </c>
      <c r="H29" s="1">
        <f t="shared" ref="H29:K29" si="16">EXP(H28)</f>
        <v>1</v>
      </c>
      <c r="I29" s="1">
        <f t="shared" si="16"/>
        <v>1</v>
      </c>
      <c r="J29" s="11">
        <f>J28</f>
        <v>0</v>
      </c>
      <c r="K29" s="1">
        <f t="shared" si="16"/>
        <v>1</v>
      </c>
      <c r="L29" s="1">
        <f t="shared" ref="L29" si="17">L28</f>
        <v>0</v>
      </c>
      <c r="M29" s="11">
        <f t="shared" ref="M29:R29" si="18">EXP(M28)</f>
        <v>1</v>
      </c>
      <c r="N29" s="1">
        <f t="shared" si="18"/>
        <v>1</v>
      </c>
      <c r="O29" s="1">
        <f t="shared" si="18"/>
        <v>1</v>
      </c>
      <c r="P29" s="11">
        <f t="shared" si="18"/>
        <v>1</v>
      </c>
      <c r="Q29" s="1">
        <f t="shared" si="18"/>
        <v>1</v>
      </c>
      <c r="R29" s="1">
        <f t="shared" si="18"/>
        <v>1</v>
      </c>
      <c r="S29" s="11">
        <f>S28</f>
        <v>0</v>
      </c>
      <c r="T29" s="1">
        <f t="shared" ref="T29" si="19">EXP(T28)</f>
        <v>1</v>
      </c>
      <c r="U29" s="1">
        <f t="shared" ref="U29:V29" si="20">U28</f>
        <v>0</v>
      </c>
      <c r="V29" s="1">
        <f t="shared" si="20"/>
        <v>0</v>
      </c>
      <c r="W29" s="11">
        <f>W28</f>
        <v>0</v>
      </c>
      <c r="X29" s="1">
        <f t="shared" ref="X29:AW29" si="21">X28</f>
        <v>0</v>
      </c>
      <c r="Y29" s="1">
        <f t="shared" si="21"/>
        <v>0</v>
      </c>
      <c r="Z29" s="1">
        <f t="shared" si="21"/>
        <v>0</v>
      </c>
      <c r="AA29" s="11">
        <f t="shared" si="21"/>
        <v>0</v>
      </c>
      <c r="AB29" s="1">
        <f t="shared" si="21"/>
        <v>0</v>
      </c>
      <c r="AC29" s="1">
        <f t="shared" si="21"/>
        <v>0</v>
      </c>
      <c r="AD29" s="1">
        <f t="shared" si="21"/>
        <v>0</v>
      </c>
      <c r="AE29" s="11">
        <f t="shared" si="21"/>
        <v>0</v>
      </c>
      <c r="AF29" s="1">
        <f t="shared" si="21"/>
        <v>0</v>
      </c>
      <c r="AG29" s="1">
        <f t="shared" si="21"/>
        <v>0</v>
      </c>
      <c r="AH29" s="1">
        <f t="shared" si="21"/>
        <v>0</v>
      </c>
      <c r="AI29" s="11">
        <f t="shared" si="21"/>
        <v>0</v>
      </c>
      <c r="AJ29" s="1">
        <f t="shared" si="21"/>
        <v>0</v>
      </c>
      <c r="AK29" s="1">
        <f t="shared" si="21"/>
        <v>0</v>
      </c>
      <c r="AL29" s="1">
        <f t="shared" si="21"/>
        <v>0</v>
      </c>
      <c r="AM29" s="1">
        <f t="shared" si="21"/>
        <v>0</v>
      </c>
      <c r="AN29" s="11">
        <f t="shared" si="21"/>
        <v>0</v>
      </c>
      <c r="AO29" s="1">
        <f t="shared" si="21"/>
        <v>0</v>
      </c>
      <c r="AP29" s="1">
        <f t="shared" si="21"/>
        <v>0</v>
      </c>
      <c r="AQ29" s="1">
        <f t="shared" si="21"/>
        <v>0</v>
      </c>
      <c r="AR29" s="1">
        <f t="shared" si="21"/>
        <v>0</v>
      </c>
      <c r="AS29" s="11">
        <f t="shared" si="21"/>
        <v>0</v>
      </c>
      <c r="AT29" s="1">
        <f t="shared" si="21"/>
        <v>0</v>
      </c>
      <c r="AU29" s="1">
        <f t="shared" si="21"/>
        <v>0</v>
      </c>
      <c r="AV29" s="1">
        <f t="shared" si="21"/>
        <v>0</v>
      </c>
      <c r="AW29" s="1">
        <f t="shared" si="21"/>
        <v>0</v>
      </c>
    </row>
    <row r="30" spans="1:49" s="1" customFormat="1" x14ac:dyDescent="0.2">
      <c r="D30" s="11"/>
      <c r="G30" s="11"/>
      <c r="J30" s="11"/>
      <c r="M30" s="11"/>
      <c r="P30" s="11"/>
      <c r="S30" s="11"/>
      <c r="W30" s="11"/>
      <c r="AA30" s="11"/>
      <c r="AE30" s="11"/>
      <c r="AI30" s="11"/>
      <c r="AN30" s="11"/>
      <c r="AS30" s="11"/>
    </row>
    <row r="31" spans="1:49" s="4" customFormat="1" x14ac:dyDescent="0.2">
      <c r="A31" s="4" t="s">
        <v>0</v>
      </c>
      <c r="B31" s="4" t="s">
        <v>1</v>
      </c>
      <c r="D31" s="7" t="s">
        <v>1</v>
      </c>
      <c r="G31" s="7" t="s">
        <v>1</v>
      </c>
      <c r="J31" s="7" t="s">
        <v>1</v>
      </c>
      <c r="M31" s="7" t="s">
        <v>1</v>
      </c>
      <c r="P31" s="7" t="s">
        <v>1</v>
      </c>
      <c r="S31" s="7" t="s">
        <v>1</v>
      </c>
      <c r="W31" s="7" t="s">
        <v>1</v>
      </c>
      <c r="X31" s="4" t="s">
        <v>9</v>
      </c>
      <c r="Y31" s="4" t="e">
        <f>(MAX(W9:Y9)-X9)/(MAX(W9:Y9)-MIN(W9:Y9))</f>
        <v>#DIV/0!</v>
      </c>
      <c r="AA31" s="7" t="s">
        <v>1</v>
      </c>
      <c r="AB31" s="4" t="s">
        <v>9</v>
      </c>
      <c r="AC31" s="4" t="e">
        <f>(MAX(AA9:AC9)-AB9)/(MAX(AA9:AC9)-MIN(AA9:AC9))</f>
        <v>#DIV/0!</v>
      </c>
      <c r="AE31" s="7" t="s">
        <v>1</v>
      </c>
      <c r="AF31" s="4" t="s">
        <v>9</v>
      </c>
      <c r="AG31" s="4" t="e">
        <f>(MAX(AE9:AG9)-AF9)/(MAX(AE9:AG9)-MIN(AE9:AG9))</f>
        <v>#DIV/0!</v>
      </c>
      <c r="AI31" s="7" t="s">
        <v>1</v>
      </c>
      <c r="AJ31" s="4" t="s">
        <v>9</v>
      </c>
      <c r="AK31" s="4" t="e">
        <f>(MAX(AI9:AL9)-AJ9)/(MAX(AI9:AL9)-MIN(AI9:AL9))</f>
        <v>#DIV/0!</v>
      </c>
      <c r="AL31" s="4" t="e">
        <f>(MAX(AI9:AL9)-AK9)/(MAX(AI9:AL9)-MIN(AI9:AL9))</f>
        <v>#DIV/0!</v>
      </c>
      <c r="AN31" s="7" t="s">
        <v>1</v>
      </c>
      <c r="AO31" s="4" t="s">
        <v>9</v>
      </c>
      <c r="AP31" s="4" t="e">
        <f>(MAX(AN9:AQ9)-AO9)/(MAX(AN9:AQ9)-MIN(AN9:AQ9))</f>
        <v>#DIV/0!</v>
      </c>
      <c r="AQ31" s="4" t="e">
        <f>(MAX(AN9:AQ9)-AP9)/(MAX(AN9:AQ9)-MIN(AN9:AQ9))</f>
        <v>#DIV/0!</v>
      </c>
      <c r="AS31" s="7" t="s">
        <v>1</v>
      </c>
      <c r="AT31" s="4" t="s">
        <v>9</v>
      </c>
      <c r="AU31" s="4" t="e">
        <f>(MAX(AS9:AV9)-AT9)/(MAX(AS9:AV9)-MIN(AS9:AV9))</f>
        <v>#DIV/0!</v>
      </c>
      <c r="AV31" s="4" t="e">
        <f>(MAX(AS9:AV9)-AU9)/(MAX(AS9:AV9)-MIN(AS9:AV9))</f>
        <v>#DIV/0!</v>
      </c>
    </row>
    <row r="32" spans="1:49" s="4" customFormat="1" x14ac:dyDescent="0.2">
      <c r="A32" s="4" t="s">
        <v>6</v>
      </c>
      <c r="B32" s="4">
        <f>B2</f>
        <v>0</v>
      </c>
      <c r="D32" s="7">
        <f>D2</f>
        <v>0</v>
      </c>
      <c r="G32" s="7">
        <f>G2</f>
        <v>0</v>
      </c>
      <c r="J32" s="7">
        <f>J2</f>
        <v>0</v>
      </c>
      <c r="M32" s="7">
        <f>M2</f>
        <v>0</v>
      </c>
      <c r="P32" s="7">
        <f>P2</f>
        <v>0</v>
      </c>
      <c r="S32" s="7">
        <f>S2</f>
        <v>0</v>
      </c>
      <c r="W32" s="7">
        <f>W2</f>
        <v>0</v>
      </c>
      <c r="AA32" s="7">
        <f>AA2</f>
        <v>0</v>
      </c>
      <c r="AE32" s="7">
        <f>AE2</f>
        <v>0</v>
      </c>
      <c r="AI32" s="7">
        <f>AI2</f>
        <v>0</v>
      </c>
      <c r="AN32" s="7">
        <f>AN2</f>
        <v>0</v>
      </c>
      <c r="AS32" s="7">
        <f>AS2</f>
        <v>0</v>
      </c>
    </row>
    <row r="33" spans="1:47" s="1" customFormat="1" x14ac:dyDescent="0.2">
      <c r="A33" s="3">
        <f>1/12</f>
        <v>8.3333333333333329E-2</v>
      </c>
      <c r="B33" s="1" t="s">
        <v>2</v>
      </c>
      <c r="C33" s="1" t="s">
        <v>3</v>
      </c>
      <c r="D33" s="11" t="s">
        <v>2</v>
      </c>
      <c r="E33" s="1" t="s">
        <v>3</v>
      </c>
      <c r="G33" s="11" t="s">
        <v>2</v>
      </c>
      <c r="H33" s="1" t="s">
        <v>3</v>
      </c>
      <c r="J33" s="11" t="s">
        <v>2</v>
      </c>
      <c r="K33" s="1" t="s">
        <v>3</v>
      </c>
      <c r="M33" s="11" t="s">
        <v>2</v>
      </c>
      <c r="N33" s="1" t="s">
        <v>3</v>
      </c>
      <c r="P33" s="11" t="s">
        <v>2</v>
      </c>
      <c r="Q33" s="1" t="s">
        <v>3</v>
      </c>
      <c r="S33" s="11" t="s">
        <v>2</v>
      </c>
      <c r="T33" s="1" t="s">
        <v>3</v>
      </c>
      <c r="W33" s="11" t="s">
        <v>8</v>
      </c>
      <c r="X33" s="1" t="s">
        <v>2</v>
      </c>
      <c r="Y33" s="1" t="s">
        <v>3</v>
      </c>
      <c r="AA33" s="11" t="s">
        <v>8</v>
      </c>
      <c r="AB33" s="1" t="s">
        <v>2</v>
      </c>
      <c r="AC33" s="1" t="s">
        <v>3</v>
      </c>
      <c r="AE33" s="11" t="s">
        <v>8</v>
      </c>
      <c r="AF33" s="1" t="s">
        <v>2</v>
      </c>
      <c r="AG33" s="1" t="s">
        <v>3</v>
      </c>
      <c r="AI33" s="11" t="s">
        <v>8</v>
      </c>
      <c r="AJ33" s="1" t="s">
        <v>2</v>
      </c>
      <c r="AK33" s="1" t="s">
        <v>3</v>
      </c>
      <c r="AN33" s="11" t="s">
        <v>8</v>
      </c>
      <c r="AO33" s="1" t="s">
        <v>2</v>
      </c>
      <c r="AP33" s="1" t="s">
        <v>3</v>
      </c>
      <c r="AS33" s="11" t="s">
        <v>8</v>
      </c>
      <c r="AT33" s="1" t="s">
        <v>2</v>
      </c>
      <c r="AU33" s="1" t="s">
        <v>3</v>
      </c>
    </row>
    <row r="34" spans="1:47" x14ac:dyDescent="0.2">
      <c r="A34" s="2">
        <v>0</v>
      </c>
      <c r="B34" s="2">
        <v>1</v>
      </c>
      <c r="C34" s="2">
        <v>1</v>
      </c>
      <c r="D34" s="8">
        <v>1</v>
      </c>
      <c r="E34" s="2">
        <v>1</v>
      </c>
      <c r="G34" s="8">
        <v>1</v>
      </c>
      <c r="H34" s="2">
        <v>1</v>
      </c>
      <c r="J34" s="8">
        <v>1</v>
      </c>
      <c r="K34" s="2">
        <v>1</v>
      </c>
      <c r="M34" s="8">
        <v>1</v>
      </c>
      <c r="N34" s="2">
        <v>1</v>
      </c>
      <c r="P34" s="8">
        <v>1</v>
      </c>
      <c r="Q34" s="2">
        <v>1</v>
      </c>
      <c r="S34" s="8">
        <v>1</v>
      </c>
      <c r="T34" s="2">
        <v>1</v>
      </c>
      <c r="X34" s="2">
        <v>1</v>
      </c>
      <c r="Y34" s="2">
        <v>1</v>
      </c>
      <c r="AB34" s="2">
        <v>1</v>
      </c>
      <c r="AC34" s="2">
        <v>1</v>
      </c>
      <c r="AF34" s="2">
        <v>1</v>
      </c>
      <c r="AG34" s="2">
        <v>1</v>
      </c>
      <c r="AJ34" s="2">
        <v>1</v>
      </c>
      <c r="AK34" s="2">
        <v>1</v>
      </c>
      <c r="AO34" s="2">
        <v>1</v>
      </c>
      <c r="AP34" s="2">
        <v>1</v>
      </c>
      <c r="AT34" s="2">
        <v>1</v>
      </c>
      <c r="AU34" s="2">
        <v>1</v>
      </c>
    </row>
    <row r="35" spans="1:47" x14ac:dyDescent="0.2">
      <c r="A35" s="2">
        <f>A34+$A$33</f>
        <v>8.3333333333333329E-2</v>
      </c>
      <c r="B35" s="2">
        <f>EXP(-$A35*$B$29)</f>
        <v>0.92004441462932329</v>
      </c>
      <c r="C35" s="2">
        <f t="shared" ref="C35:C66" si="22">EXP(-$A35*$B$29*C$29)</f>
        <v>0.92004441462932329</v>
      </c>
      <c r="D35" s="8">
        <f t="shared" ref="D35:D66" si="23">EXP(-(($A35*$E$29)^$D$29))</f>
        <v>0.92004441462932329</v>
      </c>
      <c r="E35" s="2">
        <f t="shared" ref="E35:E66" si="24">EXP(-(($A35*$E$29*F$29)^$D$29))</f>
        <v>0.92004441462932329</v>
      </c>
      <c r="G35" s="8" t="e">
        <f t="shared" ref="G35:G66" si="25">EXP(-(($H$29)/$G$29)*(EXP($G$29*$A35)-1))</f>
        <v>#DIV/0!</v>
      </c>
      <c r="H35" s="2" t="e">
        <f t="shared" ref="H35:H66" si="26">EXP(-(($H$29*I$29)/$G$29)*(EXP($G$29*$A35)-1))</f>
        <v>#DIV/0!</v>
      </c>
      <c r="J35" s="8">
        <f t="shared" ref="J35:J66" si="27">1-_xlfn.NORM.S.DIST((LN($A35)-$J$29)/$K$29,TRUE)</f>
        <v>0.99352072946647285</v>
      </c>
      <c r="K35" s="2">
        <f t="shared" ref="K35:K66" si="28">1-_xlfn.NORM.S.DIST((LN($A35)-$J$29-L$29)/$K$29,TRUE)</f>
        <v>0.99352072946647285</v>
      </c>
      <c r="M35" s="8">
        <f t="shared" ref="M35:M66" si="29">1-(1/(1+($A35/($N$29))^(-$M$29)))</f>
        <v>0.92307692307692313</v>
      </c>
      <c r="N35" s="2">
        <f t="shared" ref="N35:N66" si="30">1-(1/(1+($A35/($N$29*O$29))^(-$M$29)))</f>
        <v>0.92307692307692313</v>
      </c>
      <c r="P35" s="8">
        <f t="shared" ref="P35:P66" si="31">1-(_xlfn.GAMMA.DIST($Q$29*$A35,$P$29,1,TRUE)*EXP(GAMMALN($P$29)))/EXP(GAMMALN($P$29))</f>
        <v>0.92004441462932329</v>
      </c>
      <c r="Q35" s="2">
        <f t="shared" ref="Q35:Q66" si="32">1-(_xlfn.GAMMA.DIST($Q$29*R$29*$A35,$P$29,1,TRUE)*EXP(GAMMALN($P$29)))/EXP(GAMMALN($P$29))</f>
        <v>0.92004441462932329</v>
      </c>
      <c r="S35" s="8">
        <f t="shared" ref="S35:S66" si="33">IF(ABS($U$29)&lt;0.05,
        1-_xlfn.NORM.S.DIST((LN($A35)-$S$29)/$T$29,TRUE),
        IF(0=1-
            IF($U$29&gt;0,
                    _xlfn.GAMMA.DIST(EXP($U$29*((LN($A35)-$S$29)/$T$29))*($U$29^(-2)),($U$29^(-2)),1, TRUE),
                    1-_xlfn.GAMMA.DIST(EXP($U$29*((LN($A35)-$S$29)/$T$29))*($U$29^(-2)),($U$29^(-2)),1, TRUE)),
            0,
            EXP(LN(1-
                IF($U$29&gt;0,
                    _xlfn.GAMMA.DIST(EXP($U$29*((LN($A35)-$S$29)/$T$29))*($U$29^(-2)),($U$29^(-2)),1, TRUE),
                    1-_xlfn.GAMMA.DIST(EXP($U$29*((LN($A35)-$S$29)/$T$29))*($U$29^(-2)),($U$29^(-2)),1, TRUE))))))</f>
        <v>0.99352072946647285</v>
      </c>
      <c r="T35" s="2">
        <f t="shared" ref="T35:T66" si="34">IF(ABS($U$29)&lt;0.05,
        1-_xlfn.NORM.S.DIST((LN($A35)-($S$29+V$29))/$T$29,TRUE),
        IF(0=1-
            IF($U$29&gt;0,
                    _xlfn.GAMMA.DIST(EXP($U$29*((LN($A35)-($S$29+V$29))/$T$29))*($U$29^(-2)),($U$29^(-2)),1, TRUE),
                    1-_xlfn.GAMMA.DIST(EXP($U$29*((LN($A35)-($S$29+V$29))/$T$29))*($U$29^(-2)),($U$29^(-2)),1, TRUE)),
            0,
            EXP(LN(1-
                IF($U$29&gt;0,
                    _xlfn.GAMMA.DIST(EXP($U$29*((LN($A35)-($S$29+V$29))/$T$29))*($U$29^(-2)),($U$29^(-2)),1, TRUE),
                    1-_xlfn.GAMMA.DIST(EXP($U$29*((LN($A35)-($S$29+V$29))/$T$29))*($U$29^(-2)),($U$29^(-2)),1, TRUE))))))</f>
        <v>0.99352072946647285</v>
      </c>
      <c r="W35" s="8" t="e">
        <f t="shared" ref="W35:W66" si="35">W$29+
X$29*LN($A35)+
Y$29*(MAX(LN($A35)-X$9,0)^3-Y$31*MAX(LN($A35)-W$9,0)^3-(1-Y$31)*MAX(LN($A35)-Y$9,0)^3)</f>
        <v>#DIV/0!</v>
      </c>
      <c r="X35" s="2" t="e">
        <f>EXP(-EXP($W35))</f>
        <v>#DIV/0!</v>
      </c>
      <c r="Y35" s="2" t="e">
        <f>EXP(-EXP($W35+Z$29))</f>
        <v>#DIV/0!</v>
      </c>
      <c r="AA35" s="8" t="e">
        <f t="shared" ref="AA35:AA66" si="36">AA$29+
AB$29*LN($A35)+
AC$29*(MAX(LN($A35)-AB$9,0)^3-AC$31*MAX(LN($A35)-AA$9,0)^3-(1-AC$31)*MAX(LN($A35)-AC$9,0)^3)</f>
        <v>#DIV/0!</v>
      </c>
      <c r="AB35" s="2" t="e">
        <f>1-(EXP($AA35)/(1 + EXP($AA35)))</f>
        <v>#DIV/0!</v>
      </c>
      <c r="AC35" s="2" t="e">
        <f>1-(EXP($AA35+AD$29)/(1 + EXP($AA35+AD$29)))</f>
        <v>#DIV/0!</v>
      </c>
      <c r="AE35" s="8" t="e">
        <f t="shared" ref="AE35:AE66" si="37">AE$29+
AF$29*LN($A35)+
AG$29*(MAX(LN($A35)-AF$9,0)^3-AG$31*MAX(LN($A35)-AE$9,0)^3-(1-AG$31)*MAX(LN($A35)-AG$9,0)^3)</f>
        <v>#DIV/0!</v>
      </c>
      <c r="AF35" s="2" t="e">
        <f>1-NORMSDIST($AE35)</f>
        <v>#DIV/0!</v>
      </c>
      <c r="AG35" s="2" t="e">
        <f>1-NORMSDIST($AE35+AH$29)</f>
        <v>#DIV/0!</v>
      </c>
      <c r="AI35" s="8" t="e">
        <f t="shared" ref="AI35:AI66" si="38">AI$29+
AJ$29*LN($A35)+
AK$29*(MAX(LN($A35)-AJ$9,0)^3-AK$31*MAX(LN($A35)-AI$9,0)^3-(1-AK$31)*MAX(LN($A35)-AL$9,0)^3)+
AL$29*(MAX(LN($A35)-AK$9,0)^3-AL$31*MAX(LN($A35)-AI$9,0)^3-(1-AL$31)*MAX(LN($A35)-AL$9,0)^3)</f>
        <v>#DIV/0!</v>
      </c>
      <c r="AJ35" s="2" t="e">
        <f>EXP(-EXP($AI35))</f>
        <v>#DIV/0!</v>
      </c>
      <c r="AK35" s="2" t="e">
        <f>EXP(-EXP($AI35+AM$29))</f>
        <v>#DIV/0!</v>
      </c>
      <c r="AN35" s="8" t="e">
        <f t="shared" ref="AN35:AN66" si="39">AN$29+
AO$29*LN($A35)+
AP$29*(MAX(LN($A35)-AO$9,0)^3-AP$31*MAX(LN($A35)-AN$9,0)^3-(1-AP$31)*MAX(LN($A35)-AQ$9,0)^3)+
AQ$29*(MAX(LN($A35)-AP$9,0)^3-AQ$31*MAX(LN($A35)-AN$9,0)^3-(1-AQ$31)*MAX(LN($A35)-AQ$9,0)^3)</f>
        <v>#DIV/0!</v>
      </c>
      <c r="AO35" s="2" t="e">
        <f>1-(EXP($AN35)/(1 + EXP($AN35)))</f>
        <v>#DIV/0!</v>
      </c>
      <c r="AP35" s="2" t="e">
        <f>1-(EXP($AN35+AR$29)/(1 + EXP($AN35+AR$29)))</f>
        <v>#DIV/0!</v>
      </c>
      <c r="AS35" s="8" t="e">
        <f t="shared" ref="AS35:AS66" si="40">AS$29+
AT$29*LN($A35)+
AU$29*(MAX(LN($A35)-AT$9,0)^3-AU$31*MAX(LN($A35)-AS$9,0)^3-(1-AU$31)*MAX(LN($A35)-AV$9,0)^3)+
AV$29*(MAX(LN($A35)-AU$9,0)^3-AV$31*MAX(LN($A35)-AS$9,0)^3-(1-AV$31)*MAX(LN($A35)-AV$9,0)^3)</f>
        <v>#DIV/0!</v>
      </c>
      <c r="AT35" s="2" t="e">
        <f>1-NORMSDIST($AS35)</f>
        <v>#DIV/0!</v>
      </c>
      <c r="AU35" s="2" t="e">
        <f>1-NORMSDIST($AS35+AW$29)</f>
        <v>#DIV/0!</v>
      </c>
    </row>
    <row r="36" spans="1:47" x14ac:dyDescent="0.2">
      <c r="A36" s="2">
        <f t="shared" ref="A36:A99" si="41">A35+$A$33</f>
        <v>0.16666666666666666</v>
      </c>
      <c r="B36" s="2">
        <f t="shared" ref="B36:B99" si="42">EXP(-$A36*$B$29)</f>
        <v>0.84648172489061413</v>
      </c>
      <c r="C36" s="2">
        <f t="shared" si="22"/>
        <v>0.84648172489061413</v>
      </c>
      <c r="D36" s="8">
        <f t="shared" si="23"/>
        <v>0.84648172489061413</v>
      </c>
      <c r="E36" s="2">
        <f t="shared" si="24"/>
        <v>0.84648172489061413</v>
      </c>
      <c r="G36" s="8" t="e">
        <f t="shared" si="25"/>
        <v>#DIV/0!</v>
      </c>
      <c r="H36" s="2" t="e">
        <f t="shared" si="26"/>
        <v>#DIV/0!</v>
      </c>
      <c r="J36" s="8">
        <f t="shared" si="27"/>
        <v>0.96341424808295706</v>
      </c>
      <c r="K36" s="2">
        <f t="shared" si="28"/>
        <v>0.96341424808295706</v>
      </c>
      <c r="M36" s="8">
        <f t="shared" si="29"/>
        <v>0.85714285714285721</v>
      </c>
      <c r="N36" s="2">
        <f t="shared" si="30"/>
        <v>0.85714285714285721</v>
      </c>
      <c r="P36" s="8">
        <f t="shared" si="31"/>
        <v>0.84648172489061402</v>
      </c>
      <c r="Q36" s="2">
        <f t="shared" si="32"/>
        <v>0.84648172489061402</v>
      </c>
      <c r="S36" s="8">
        <f t="shared" si="33"/>
        <v>0.96341424808295706</v>
      </c>
      <c r="T36" s="2">
        <f t="shared" si="34"/>
        <v>0.96341424808295706</v>
      </c>
      <c r="W36" s="8" t="e">
        <f t="shared" si="35"/>
        <v>#DIV/0!</v>
      </c>
      <c r="X36" s="2" t="e">
        <f t="shared" ref="X36:X99" si="43">EXP(-EXP($W36))</f>
        <v>#DIV/0!</v>
      </c>
      <c r="Y36" s="2" t="e">
        <f t="shared" ref="Y36:Y51" si="44">EXP(-EXP($W36+Z$29))</f>
        <v>#DIV/0!</v>
      </c>
      <c r="AA36" s="8" t="e">
        <f t="shared" si="36"/>
        <v>#DIV/0!</v>
      </c>
      <c r="AB36" s="2" t="e">
        <f t="shared" ref="AB36:AB99" si="45">1-(EXP($AA36)/(1 + EXP($AA36)))</f>
        <v>#DIV/0!</v>
      </c>
      <c r="AC36" s="2" t="e">
        <f t="shared" ref="AC36:AC51" si="46">1-(EXP($AA36+AD$29)/(1 + EXP($AA36+AD$29)))</f>
        <v>#DIV/0!</v>
      </c>
      <c r="AE36" s="8" t="e">
        <f t="shared" si="37"/>
        <v>#DIV/0!</v>
      </c>
      <c r="AF36" s="2" t="e">
        <f t="shared" ref="AF36:AF99" si="47">1-NORMSDIST($AE36)</f>
        <v>#DIV/0!</v>
      </c>
      <c r="AG36" s="2" t="e">
        <f t="shared" ref="AG36:AG51" si="48">1-NORMSDIST($AE36+AH$29)</f>
        <v>#DIV/0!</v>
      </c>
      <c r="AI36" s="8" t="e">
        <f t="shared" si="38"/>
        <v>#DIV/0!</v>
      </c>
      <c r="AJ36" s="2" t="e">
        <f t="shared" ref="AJ36:AJ99" si="49">EXP(-EXP($AI36))</f>
        <v>#DIV/0!</v>
      </c>
      <c r="AK36" s="2" t="e">
        <f t="shared" ref="AK36:AK99" si="50">EXP(-EXP($AI36+AM$29))</f>
        <v>#DIV/0!</v>
      </c>
      <c r="AN36" s="8" t="e">
        <f t="shared" si="39"/>
        <v>#DIV/0!</v>
      </c>
      <c r="AO36" s="2" t="e">
        <f t="shared" ref="AO36:AO99" si="51">1-(EXP($AN36)/(1 + EXP($AN36)))</f>
        <v>#DIV/0!</v>
      </c>
      <c r="AP36" s="2" t="e">
        <f t="shared" ref="AP36:AP51" si="52">1-(EXP($AN36+AR$29)/(1 + EXP($AN36+AR$29)))</f>
        <v>#DIV/0!</v>
      </c>
      <c r="AS36" s="8" t="e">
        <f t="shared" si="40"/>
        <v>#DIV/0!</v>
      </c>
      <c r="AT36" s="2" t="e">
        <f t="shared" ref="AT36:AT99" si="53">1-NORMSDIST($AS36)</f>
        <v>#DIV/0!</v>
      </c>
      <c r="AU36" s="2" t="e">
        <f t="shared" ref="AU36:AU99" si="54">1-NORMSDIST($AS36+AW$29)</f>
        <v>#DIV/0!</v>
      </c>
    </row>
    <row r="37" spans="1:47" x14ac:dyDescent="0.2">
      <c r="A37" s="2">
        <f t="shared" si="41"/>
        <v>0.25</v>
      </c>
      <c r="B37" s="2">
        <f t="shared" si="42"/>
        <v>0.77880078307140488</v>
      </c>
      <c r="C37" s="2">
        <f t="shared" si="22"/>
        <v>0.77880078307140488</v>
      </c>
      <c r="D37" s="8">
        <f t="shared" si="23"/>
        <v>0.77880078307140488</v>
      </c>
      <c r="E37" s="2">
        <f t="shared" si="24"/>
        <v>0.77880078307140488</v>
      </c>
      <c r="G37" s="8" t="e">
        <f t="shared" si="25"/>
        <v>#DIV/0!</v>
      </c>
      <c r="H37" s="2" t="e">
        <f t="shared" si="26"/>
        <v>#DIV/0!</v>
      </c>
      <c r="J37" s="8">
        <f t="shared" si="27"/>
        <v>0.91717148099830148</v>
      </c>
      <c r="K37" s="2">
        <f t="shared" si="28"/>
        <v>0.91717148099830148</v>
      </c>
      <c r="M37" s="8">
        <f t="shared" si="29"/>
        <v>0.8</v>
      </c>
      <c r="N37" s="2">
        <f t="shared" si="30"/>
        <v>0.8</v>
      </c>
      <c r="P37" s="8">
        <f t="shared" si="31"/>
        <v>0.77880078307140488</v>
      </c>
      <c r="Q37" s="2">
        <f t="shared" si="32"/>
        <v>0.77880078307140488</v>
      </c>
      <c r="S37" s="8">
        <f t="shared" si="33"/>
        <v>0.91717148099830148</v>
      </c>
      <c r="T37" s="2">
        <f t="shared" si="34"/>
        <v>0.91717148099830148</v>
      </c>
      <c r="W37" s="8" t="e">
        <f t="shared" si="35"/>
        <v>#DIV/0!</v>
      </c>
      <c r="X37" s="2" t="e">
        <f t="shared" si="43"/>
        <v>#DIV/0!</v>
      </c>
      <c r="Y37" s="2" t="e">
        <f t="shared" si="44"/>
        <v>#DIV/0!</v>
      </c>
      <c r="AA37" s="8" t="e">
        <f t="shared" si="36"/>
        <v>#DIV/0!</v>
      </c>
      <c r="AB37" s="2" t="e">
        <f t="shared" si="45"/>
        <v>#DIV/0!</v>
      </c>
      <c r="AC37" s="2" t="e">
        <f t="shared" si="46"/>
        <v>#DIV/0!</v>
      </c>
      <c r="AE37" s="8" t="e">
        <f t="shared" si="37"/>
        <v>#DIV/0!</v>
      </c>
      <c r="AF37" s="2" t="e">
        <f t="shared" si="47"/>
        <v>#DIV/0!</v>
      </c>
      <c r="AG37" s="2" t="e">
        <f t="shared" si="48"/>
        <v>#DIV/0!</v>
      </c>
      <c r="AI37" s="8" t="e">
        <f t="shared" si="38"/>
        <v>#DIV/0!</v>
      </c>
      <c r="AJ37" s="2" t="e">
        <f t="shared" si="49"/>
        <v>#DIV/0!</v>
      </c>
      <c r="AK37" s="2" t="e">
        <f t="shared" si="50"/>
        <v>#DIV/0!</v>
      </c>
      <c r="AN37" s="8" t="e">
        <f t="shared" si="39"/>
        <v>#DIV/0!</v>
      </c>
      <c r="AO37" s="2" t="e">
        <f t="shared" si="51"/>
        <v>#DIV/0!</v>
      </c>
      <c r="AP37" s="2" t="e">
        <f t="shared" si="52"/>
        <v>#DIV/0!</v>
      </c>
      <c r="AS37" s="8" t="e">
        <f t="shared" si="40"/>
        <v>#DIV/0!</v>
      </c>
      <c r="AT37" s="2" t="e">
        <f t="shared" si="53"/>
        <v>#DIV/0!</v>
      </c>
      <c r="AU37" s="2" t="e">
        <f t="shared" si="54"/>
        <v>#DIV/0!</v>
      </c>
    </row>
    <row r="38" spans="1:47" x14ac:dyDescent="0.2">
      <c r="A38" s="2">
        <f t="shared" si="41"/>
        <v>0.33333333333333331</v>
      </c>
      <c r="B38" s="2">
        <f t="shared" si="42"/>
        <v>0.71653131057378927</v>
      </c>
      <c r="C38" s="2">
        <f t="shared" si="22"/>
        <v>0.71653131057378927</v>
      </c>
      <c r="D38" s="8">
        <f t="shared" si="23"/>
        <v>0.71653131057378927</v>
      </c>
      <c r="E38" s="2">
        <f t="shared" si="24"/>
        <v>0.71653131057378927</v>
      </c>
      <c r="G38" s="8" t="e">
        <f t="shared" si="25"/>
        <v>#DIV/0!</v>
      </c>
      <c r="H38" s="2" t="e">
        <f t="shared" si="26"/>
        <v>#DIV/0!</v>
      </c>
      <c r="J38" s="8">
        <f t="shared" si="27"/>
        <v>0.86403139235857551</v>
      </c>
      <c r="K38" s="2">
        <f t="shared" si="28"/>
        <v>0.86403139235857551</v>
      </c>
      <c r="M38" s="8">
        <f t="shared" si="29"/>
        <v>0.75</v>
      </c>
      <c r="N38" s="2">
        <f t="shared" si="30"/>
        <v>0.75</v>
      </c>
      <c r="P38" s="8">
        <f t="shared" si="31"/>
        <v>0.71653131057378927</v>
      </c>
      <c r="Q38" s="2">
        <f t="shared" si="32"/>
        <v>0.71653131057378927</v>
      </c>
      <c r="S38" s="8">
        <f t="shared" si="33"/>
        <v>0.86403139235857551</v>
      </c>
      <c r="T38" s="2">
        <f t="shared" si="34"/>
        <v>0.86403139235857551</v>
      </c>
      <c r="W38" s="8" t="e">
        <f t="shared" si="35"/>
        <v>#DIV/0!</v>
      </c>
      <c r="X38" s="2" t="e">
        <f t="shared" si="43"/>
        <v>#DIV/0!</v>
      </c>
      <c r="Y38" s="2" t="e">
        <f t="shared" si="44"/>
        <v>#DIV/0!</v>
      </c>
      <c r="AA38" s="8" t="e">
        <f t="shared" si="36"/>
        <v>#DIV/0!</v>
      </c>
      <c r="AB38" s="2" t="e">
        <f t="shared" si="45"/>
        <v>#DIV/0!</v>
      </c>
      <c r="AC38" s="2" t="e">
        <f t="shared" si="46"/>
        <v>#DIV/0!</v>
      </c>
      <c r="AE38" s="8" t="e">
        <f t="shared" si="37"/>
        <v>#DIV/0!</v>
      </c>
      <c r="AF38" s="2" t="e">
        <f t="shared" si="47"/>
        <v>#DIV/0!</v>
      </c>
      <c r="AG38" s="2" t="e">
        <f t="shared" si="48"/>
        <v>#DIV/0!</v>
      </c>
      <c r="AI38" s="8" t="e">
        <f t="shared" si="38"/>
        <v>#DIV/0!</v>
      </c>
      <c r="AJ38" s="2" t="e">
        <f t="shared" si="49"/>
        <v>#DIV/0!</v>
      </c>
      <c r="AK38" s="2" t="e">
        <f t="shared" si="50"/>
        <v>#DIV/0!</v>
      </c>
      <c r="AN38" s="8" t="e">
        <f t="shared" si="39"/>
        <v>#DIV/0!</v>
      </c>
      <c r="AO38" s="2" t="e">
        <f t="shared" si="51"/>
        <v>#DIV/0!</v>
      </c>
      <c r="AP38" s="2" t="e">
        <f t="shared" si="52"/>
        <v>#DIV/0!</v>
      </c>
      <c r="AS38" s="8" t="e">
        <f t="shared" si="40"/>
        <v>#DIV/0!</v>
      </c>
      <c r="AT38" s="2" t="e">
        <f t="shared" si="53"/>
        <v>#DIV/0!</v>
      </c>
      <c r="AU38" s="2" t="e">
        <f t="shared" si="54"/>
        <v>#DIV/0!</v>
      </c>
    </row>
    <row r="39" spans="1:47" x14ac:dyDescent="0.2">
      <c r="A39" s="2">
        <f t="shared" si="41"/>
        <v>0.41666666666666663</v>
      </c>
      <c r="B39" s="2">
        <f t="shared" si="42"/>
        <v>0.65924063020044377</v>
      </c>
      <c r="C39" s="2">
        <f t="shared" si="22"/>
        <v>0.65924063020044377</v>
      </c>
      <c r="D39" s="8">
        <f t="shared" si="23"/>
        <v>0.65924063020044377</v>
      </c>
      <c r="E39" s="2">
        <f t="shared" si="24"/>
        <v>0.65924063020044377</v>
      </c>
      <c r="G39" s="8" t="e">
        <f t="shared" si="25"/>
        <v>#DIV/0!</v>
      </c>
      <c r="H39" s="2" t="e">
        <f t="shared" si="26"/>
        <v>#DIV/0!</v>
      </c>
      <c r="J39" s="8">
        <f t="shared" si="27"/>
        <v>0.8093405433351144</v>
      </c>
      <c r="K39" s="2">
        <f t="shared" si="28"/>
        <v>0.8093405433351144</v>
      </c>
      <c r="M39" s="8">
        <f t="shared" si="29"/>
        <v>0.70588235294117652</v>
      </c>
      <c r="N39" s="2">
        <f t="shared" si="30"/>
        <v>0.70588235294117652</v>
      </c>
      <c r="P39" s="8">
        <f t="shared" si="31"/>
        <v>0.65924063020044377</v>
      </c>
      <c r="Q39" s="2">
        <f t="shared" si="32"/>
        <v>0.65924063020044377</v>
      </c>
      <c r="S39" s="8">
        <f t="shared" si="33"/>
        <v>0.8093405433351144</v>
      </c>
      <c r="T39" s="2">
        <f t="shared" si="34"/>
        <v>0.8093405433351144</v>
      </c>
      <c r="W39" s="8" t="e">
        <f t="shared" si="35"/>
        <v>#DIV/0!</v>
      </c>
      <c r="X39" s="2" t="e">
        <f t="shared" si="43"/>
        <v>#DIV/0!</v>
      </c>
      <c r="Y39" s="2" t="e">
        <f t="shared" si="44"/>
        <v>#DIV/0!</v>
      </c>
      <c r="AA39" s="8" t="e">
        <f t="shared" si="36"/>
        <v>#DIV/0!</v>
      </c>
      <c r="AB39" s="2" t="e">
        <f t="shared" si="45"/>
        <v>#DIV/0!</v>
      </c>
      <c r="AC39" s="2" t="e">
        <f t="shared" si="46"/>
        <v>#DIV/0!</v>
      </c>
      <c r="AE39" s="8" t="e">
        <f t="shared" si="37"/>
        <v>#DIV/0!</v>
      </c>
      <c r="AF39" s="2" t="e">
        <f t="shared" si="47"/>
        <v>#DIV/0!</v>
      </c>
      <c r="AG39" s="2" t="e">
        <f t="shared" si="48"/>
        <v>#DIV/0!</v>
      </c>
      <c r="AI39" s="8" t="e">
        <f t="shared" si="38"/>
        <v>#DIV/0!</v>
      </c>
      <c r="AJ39" s="2" t="e">
        <f t="shared" si="49"/>
        <v>#DIV/0!</v>
      </c>
      <c r="AK39" s="2" t="e">
        <f t="shared" si="50"/>
        <v>#DIV/0!</v>
      </c>
      <c r="AN39" s="8" t="e">
        <f t="shared" si="39"/>
        <v>#DIV/0!</v>
      </c>
      <c r="AO39" s="2" t="e">
        <f t="shared" si="51"/>
        <v>#DIV/0!</v>
      </c>
      <c r="AP39" s="2" t="e">
        <f t="shared" si="52"/>
        <v>#DIV/0!</v>
      </c>
      <c r="AS39" s="8" t="e">
        <f t="shared" si="40"/>
        <v>#DIV/0!</v>
      </c>
      <c r="AT39" s="2" t="e">
        <f t="shared" si="53"/>
        <v>#DIV/0!</v>
      </c>
      <c r="AU39" s="2" t="e">
        <f t="shared" si="54"/>
        <v>#DIV/0!</v>
      </c>
    </row>
    <row r="40" spans="1:47" x14ac:dyDescent="0.2">
      <c r="A40" s="2">
        <f t="shared" si="41"/>
        <v>0.49999999999999994</v>
      </c>
      <c r="B40" s="2">
        <f t="shared" si="42"/>
        <v>0.60653065971263342</v>
      </c>
      <c r="C40" s="2">
        <f t="shared" si="22"/>
        <v>0.60653065971263342</v>
      </c>
      <c r="D40" s="8">
        <f t="shared" si="23"/>
        <v>0.60653065971263342</v>
      </c>
      <c r="E40" s="2">
        <f t="shared" si="24"/>
        <v>0.60653065971263342</v>
      </c>
      <c r="G40" s="8" t="e">
        <f t="shared" si="25"/>
        <v>#DIV/0!</v>
      </c>
      <c r="H40" s="2" t="e">
        <f t="shared" si="26"/>
        <v>#DIV/0!</v>
      </c>
      <c r="J40" s="8">
        <f t="shared" si="27"/>
        <v>0.75589140421441736</v>
      </c>
      <c r="K40" s="2">
        <f t="shared" si="28"/>
        <v>0.75589140421441736</v>
      </c>
      <c r="M40" s="8">
        <f t="shared" si="29"/>
        <v>0.66666666666666674</v>
      </c>
      <c r="N40" s="2">
        <f t="shared" si="30"/>
        <v>0.66666666666666674</v>
      </c>
      <c r="P40" s="8">
        <f t="shared" si="31"/>
        <v>0.60653065971263342</v>
      </c>
      <c r="Q40" s="2">
        <f t="shared" si="32"/>
        <v>0.60653065971263342</v>
      </c>
      <c r="S40" s="8">
        <f t="shared" si="33"/>
        <v>0.75589140421441736</v>
      </c>
      <c r="T40" s="2">
        <f t="shared" si="34"/>
        <v>0.75589140421441736</v>
      </c>
      <c r="W40" s="8" t="e">
        <f t="shared" si="35"/>
        <v>#DIV/0!</v>
      </c>
      <c r="X40" s="2" t="e">
        <f t="shared" si="43"/>
        <v>#DIV/0!</v>
      </c>
      <c r="Y40" s="2" t="e">
        <f t="shared" si="44"/>
        <v>#DIV/0!</v>
      </c>
      <c r="AA40" s="8" t="e">
        <f t="shared" si="36"/>
        <v>#DIV/0!</v>
      </c>
      <c r="AB40" s="2" t="e">
        <f t="shared" si="45"/>
        <v>#DIV/0!</v>
      </c>
      <c r="AC40" s="2" t="e">
        <f t="shared" si="46"/>
        <v>#DIV/0!</v>
      </c>
      <c r="AE40" s="8" t="e">
        <f t="shared" si="37"/>
        <v>#DIV/0!</v>
      </c>
      <c r="AF40" s="2" t="e">
        <f t="shared" si="47"/>
        <v>#DIV/0!</v>
      </c>
      <c r="AG40" s="2" t="e">
        <f t="shared" si="48"/>
        <v>#DIV/0!</v>
      </c>
      <c r="AI40" s="8" t="e">
        <f t="shared" si="38"/>
        <v>#DIV/0!</v>
      </c>
      <c r="AJ40" s="2" t="e">
        <f t="shared" si="49"/>
        <v>#DIV/0!</v>
      </c>
      <c r="AK40" s="2" t="e">
        <f t="shared" si="50"/>
        <v>#DIV/0!</v>
      </c>
      <c r="AN40" s="8" t="e">
        <f t="shared" si="39"/>
        <v>#DIV/0!</v>
      </c>
      <c r="AO40" s="2" t="e">
        <f t="shared" si="51"/>
        <v>#DIV/0!</v>
      </c>
      <c r="AP40" s="2" t="e">
        <f t="shared" si="52"/>
        <v>#DIV/0!</v>
      </c>
      <c r="AS40" s="8" t="e">
        <f t="shared" si="40"/>
        <v>#DIV/0!</v>
      </c>
      <c r="AT40" s="2" t="e">
        <f t="shared" si="53"/>
        <v>#DIV/0!</v>
      </c>
      <c r="AU40" s="2" t="e">
        <f t="shared" si="54"/>
        <v>#DIV/0!</v>
      </c>
    </row>
    <row r="41" spans="1:47" x14ac:dyDescent="0.2">
      <c r="A41" s="2">
        <f t="shared" si="41"/>
        <v>0.58333333333333326</v>
      </c>
      <c r="B41" s="2">
        <f t="shared" si="42"/>
        <v>0.55803514577004709</v>
      </c>
      <c r="C41" s="2">
        <f t="shared" si="22"/>
        <v>0.55803514577004709</v>
      </c>
      <c r="D41" s="8">
        <f t="shared" si="23"/>
        <v>0.55803514577004709</v>
      </c>
      <c r="E41" s="2">
        <f t="shared" si="24"/>
        <v>0.55803514577004709</v>
      </c>
      <c r="G41" s="8" t="e">
        <f t="shared" si="25"/>
        <v>#DIV/0!</v>
      </c>
      <c r="H41" s="2" t="e">
        <f t="shared" si="26"/>
        <v>#DIV/0!</v>
      </c>
      <c r="J41" s="8">
        <f t="shared" si="27"/>
        <v>0.70505536546009306</v>
      </c>
      <c r="K41" s="2">
        <f t="shared" si="28"/>
        <v>0.70505536546009306</v>
      </c>
      <c r="M41" s="8">
        <f t="shared" si="29"/>
        <v>0.63157894736842102</v>
      </c>
      <c r="N41" s="2">
        <f t="shared" si="30"/>
        <v>0.63157894736842102</v>
      </c>
      <c r="P41" s="8">
        <f t="shared" si="31"/>
        <v>0.55803514577004709</v>
      </c>
      <c r="Q41" s="2">
        <f t="shared" si="32"/>
        <v>0.55803514577004709</v>
      </c>
      <c r="S41" s="8">
        <f t="shared" si="33"/>
        <v>0.70505536546009306</v>
      </c>
      <c r="T41" s="2">
        <f t="shared" si="34"/>
        <v>0.70505536546009306</v>
      </c>
      <c r="W41" s="8" t="e">
        <f t="shared" si="35"/>
        <v>#DIV/0!</v>
      </c>
      <c r="X41" s="2" t="e">
        <f t="shared" si="43"/>
        <v>#DIV/0!</v>
      </c>
      <c r="Y41" s="2" t="e">
        <f t="shared" si="44"/>
        <v>#DIV/0!</v>
      </c>
      <c r="AA41" s="8" t="e">
        <f t="shared" si="36"/>
        <v>#DIV/0!</v>
      </c>
      <c r="AB41" s="2" t="e">
        <f t="shared" si="45"/>
        <v>#DIV/0!</v>
      </c>
      <c r="AC41" s="2" t="e">
        <f t="shared" si="46"/>
        <v>#DIV/0!</v>
      </c>
      <c r="AE41" s="8" t="e">
        <f t="shared" si="37"/>
        <v>#DIV/0!</v>
      </c>
      <c r="AF41" s="2" t="e">
        <f t="shared" si="47"/>
        <v>#DIV/0!</v>
      </c>
      <c r="AG41" s="2" t="e">
        <f t="shared" si="48"/>
        <v>#DIV/0!</v>
      </c>
      <c r="AI41" s="8" t="e">
        <f t="shared" si="38"/>
        <v>#DIV/0!</v>
      </c>
      <c r="AJ41" s="2" t="e">
        <f t="shared" si="49"/>
        <v>#DIV/0!</v>
      </c>
      <c r="AK41" s="2" t="e">
        <f t="shared" si="50"/>
        <v>#DIV/0!</v>
      </c>
      <c r="AN41" s="8" t="e">
        <f t="shared" si="39"/>
        <v>#DIV/0!</v>
      </c>
      <c r="AO41" s="2" t="e">
        <f t="shared" si="51"/>
        <v>#DIV/0!</v>
      </c>
      <c r="AP41" s="2" t="e">
        <f t="shared" si="52"/>
        <v>#DIV/0!</v>
      </c>
      <c r="AS41" s="8" t="e">
        <f t="shared" si="40"/>
        <v>#DIV/0!</v>
      </c>
      <c r="AT41" s="2" t="e">
        <f t="shared" si="53"/>
        <v>#DIV/0!</v>
      </c>
      <c r="AU41" s="2" t="e">
        <f t="shared" si="54"/>
        <v>#DIV/0!</v>
      </c>
    </row>
    <row r="42" spans="1:47" x14ac:dyDescent="0.2">
      <c r="A42" s="2">
        <f t="shared" si="41"/>
        <v>0.66666666666666663</v>
      </c>
      <c r="B42" s="2">
        <f t="shared" si="42"/>
        <v>0.51341711903259202</v>
      </c>
      <c r="C42" s="2">
        <f t="shared" si="22"/>
        <v>0.51341711903259202</v>
      </c>
      <c r="D42" s="8">
        <f t="shared" si="23"/>
        <v>0.51341711903259202</v>
      </c>
      <c r="E42" s="2">
        <f t="shared" si="24"/>
        <v>0.51341711903259202</v>
      </c>
      <c r="G42" s="8" t="e">
        <f t="shared" si="25"/>
        <v>#DIV/0!</v>
      </c>
      <c r="H42" s="2" t="e">
        <f t="shared" si="26"/>
        <v>#DIV/0!</v>
      </c>
      <c r="J42" s="8">
        <f t="shared" si="27"/>
        <v>0.65743216948515415</v>
      </c>
      <c r="K42" s="2">
        <f t="shared" si="28"/>
        <v>0.65743216948515415</v>
      </c>
      <c r="M42" s="8">
        <f t="shared" si="29"/>
        <v>0.6</v>
      </c>
      <c r="N42" s="2">
        <f t="shared" si="30"/>
        <v>0.6</v>
      </c>
      <c r="P42" s="8">
        <f t="shared" si="31"/>
        <v>0.51341711903259202</v>
      </c>
      <c r="Q42" s="2">
        <f t="shared" si="32"/>
        <v>0.51341711903259202</v>
      </c>
      <c r="S42" s="8">
        <f t="shared" si="33"/>
        <v>0.65743216948515415</v>
      </c>
      <c r="T42" s="2">
        <f t="shared" si="34"/>
        <v>0.65743216948515415</v>
      </c>
      <c r="W42" s="8" t="e">
        <f t="shared" si="35"/>
        <v>#DIV/0!</v>
      </c>
      <c r="X42" s="2" t="e">
        <f t="shared" si="43"/>
        <v>#DIV/0!</v>
      </c>
      <c r="Y42" s="2" t="e">
        <f t="shared" si="44"/>
        <v>#DIV/0!</v>
      </c>
      <c r="AA42" s="8" t="e">
        <f t="shared" si="36"/>
        <v>#DIV/0!</v>
      </c>
      <c r="AB42" s="2" t="e">
        <f t="shared" si="45"/>
        <v>#DIV/0!</v>
      </c>
      <c r="AC42" s="2" t="e">
        <f t="shared" si="46"/>
        <v>#DIV/0!</v>
      </c>
      <c r="AE42" s="8" t="e">
        <f t="shared" si="37"/>
        <v>#DIV/0!</v>
      </c>
      <c r="AF42" s="2" t="e">
        <f t="shared" si="47"/>
        <v>#DIV/0!</v>
      </c>
      <c r="AG42" s="2" t="e">
        <f t="shared" si="48"/>
        <v>#DIV/0!</v>
      </c>
      <c r="AI42" s="8" t="e">
        <f t="shared" si="38"/>
        <v>#DIV/0!</v>
      </c>
      <c r="AJ42" s="2" t="e">
        <f t="shared" si="49"/>
        <v>#DIV/0!</v>
      </c>
      <c r="AK42" s="2" t="e">
        <f t="shared" si="50"/>
        <v>#DIV/0!</v>
      </c>
      <c r="AN42" s="8" t="e">
        <f t="shared" si="39"/>
        <v>#DIV/0!</v>
      </c>
      <c r="AO42" s="2" t="e">
        <f t="shared" si="51"/>
        <v>#DIV/0!</v>
      </c>
      <c r="AP42" s="2" t="e">
        <f t="shared" si="52"/>
        <v>#DIV/0!</v>
      </c>
      <c r="AS42" s="8" t="e">
        <f t="shared" si="40"/>
        <v>#DIV/0!</v>
      </c>
      <c r="AT42" s="2" t="e">
        <f t="shared" si="53"/>
        <v>#DIV/0!</v>
      </c>
      <c r="AU42" s="2" t="e">
        <f t="shared" si="54"/>
        <v>#DIV/0!</v>
      </c>
    </row>
    <row r="43" spans="1:47" x14ac:dyDescent="0.2">
      <c r="A43" s="2">
        <f t="shared" si="41"/>
        <v>0.75</v>
      </c>
      <c r="B43" s="2">
        <f t="shared" si="42"/>
        <v>0.47236655274101469</v>
      </c>
      <c r="C43" s="2">
        <f t="shared" si="22"/>
        <v>0.47236655274101469</v>
      </c>
      <c r="D43" s="8">
        <f t="shared" si="23"/>
        <v>0.47236655274101469</v>
      </c>
      <c r="E43" s="2">
        <f t="shared" si="24"/>
        <v>0.47236655274101469</v>
      </c>
      <c r="G43" s="8" t="e">
        <f t="shared" si="25"/>
        <v>#DIV/0!</v>
      </c>
      <c r="H43" s="2" t="e">
        <f t="shared" si="26"/>
        <v>#DIV/0!</v>
      </c>
      <c r="J43" s="8">
        <f t="shared" si="27"/>
        <v>0.61320494286590277</v>
      </c>
      <c r="K43" s="2">
        <f t="shared" si="28"/>
        <v>0.61320494286590277</v>
      </c>
      <c r="M43" s="8">
        <f t="shared" si="29"/>
        <v>0.5714285714285714</v>
      </c>
      <c r="N43" s="2">
        <f t="shared" si="30"/>
        <v>0.5714285714285714</v>
      </c>
      <c r="P43" s="8">
        <f t="shared" si="31"/>
        <v>0.47236655274101469</v>
      </c>
      <c r="Q43" s="2">
        <f t="shared" si="32"/>
        <v>0.47236655274101469</v>
      </c>
      <c r="S43" s="8">
        <f t="shared" si="33"/>
        <v>0.61320494286590277</v>
      </c>
      <c r="T43" s="2">
        <f t="shared" si="34"/>
        <v>0.61320494286590277</v>
      </c>
      <c r="W43" s="8" t="e">
        <f t="shared" si="35"/>
        <v>#DIV/0!</v>
      </c>
      <c r="X43" s="2" t="e">
        <f t="shared" si="43"/>
        <v>#DIV/0!</v>
      </c>
      <c r="Y43" s="2" t="e">
        <f t="shared" si="44"/>
        <v>#DIV/0!</v>
      </c>
      <c r="AA43" s="8" t="e">
        <f t="shared" si="36"/>
        <v>#DIV/0!</v>
      </c>
      <c r="AB43" s="2" t="e">
        <f t="shared" si="45"/>
        <v>#DIV/0!</v>
      </c>
      <c r="AC43" s="2" t="e">
        <f t="shared" si="46"/>
        <v>#DIV/0!</v>
      </c>
      <c r="AE43" s="8" t="e">
        <f t="shared" si="37"/>
        <v>#DIV/0!</v>
      </c>
      <c r="AF43" s="2" t="e">
        <f t="shared" si="47"/>
        <v>#DIV/0!</v>
      </c>
      <c r="AG43" s="2" t="e">
        <f t="shared" si="48"/>
        <v>#DIV/0!</v>
      </c>
      <c r="AI43" s="8" t="e">
        <f t="shared" si="38"/>
        <v>#DIV/0!</v>
      </c>
      <c r="AJ43" s="2" t="e">
        <f t="shared" si="49"/>
        <v>#DIV/0!</v>
      </c>
      <c r="AK43" s="2" t="e">
        <f t="shared" si="50"/>
        <v>#DIV/0!</v>
      </c>
      <c r="AN43" s="8" t="e">
        <f t="shared" si="39"/>
        <v>#DIV/0!</v>
      </c>
      <c r="AO43" s="2" t="e">
        <f t="shared" si="51"/>
        <v>#DIV/0!</v>
      </c>
      <c r="AP43" s="2" t="e">
        <f t="shared" si="52"/>
        <v>#DIV/0!</v>
      </c>
      <c r="AS43" s="8" t="e">
        <f t="shared" si="40"/>
        <v>#DIV/0!</v>
      </c>
      <c r="AT43" s="2" t="e">
        <f t="shared" si="53"/>
        <v>#DIV/0!</v>
      </c>
      <c r="AU43" s="2" t="e">
        <f t="shared" si="54"/>
        <v>#DIV/0!</v>
      </c>
    </row>
    <row r="44" spans="1:47" x14ac:dyDescent="0.2">
      <c r="A44" s="2">
        <f t="shared" si="41"/>
        <v>0.83333333333333337</v>
      </c>
      <c r="B44" s="2">
        <f t="shared" si="42"/>
        <v>0.4345982085070782</v>
      </c>
      <c r="C44" s="2">
        <f t="shared" si="22"/>
        <v>0.4345982085070782</v>
      </c>
      <c r="D44" s="8">
        <f t="shared" si="23"/>
        <v>0.4345982085070782</v>
      </c>
      <c r="E44" s="2">
        <f t="shared" si="24"/>
        <v>0.4345982085070782</v>
      </c>
      <c r="G44" s="8" t="e">
        <f t="shared" si="25"/>
        <v>#DIV/0!</v>
      </c>
      <c r="H44" s="2" t="e">
        <f t="shared" si="26"/>
        <v>#DIV/0!</v>
      </c>
      <c r="J44" s="8">
        <f t="shared" si="27"/>
        <v>0.57233480883676835</v>
      </c>
      <c r="K44" s="2">
        <f t="shared" si="28"/>
        <v>0.57233480883676835</v>
      </c>
      <c r="M44" s="8">
        <f t="shared" si="29"/>
        <v>0.54545454545454541</v>
      </c>
      <c r="N44" s="2">
        <f t="shared" si="30"/>
        <v>0.54545454545454541</v>
      </c>
      <c r="P44" s="8">
        <f t="shared" si="31"/>
        <v>0.4345982085070782</v>
      </c>
      <c r="Q44" s="2">
        <f t="shared" si="32"/>
        <v>0.4345982085070782</v>
      </c>
      <c r="S44" s="8">
        <f t="shared" si="33"/>
        <v>0.57233480883676835</v>
      </c>
      <c r="T44" s="2">
        <f t="shared" si="34"/>
        <v>0.57233480883676835</v>
      </c>
      <c r="W44" s="8" t="e">
        <f t="shared" si="35"/>
        <v>#DIV/0!</v>
      </c>
      <c r="X44" s="2" t="e">
        <f t="shared" si="43"/>
        <v>#DIV/0!</v>
      </c>
      <c r="Y44" s="2" t="e">
        <f t="shared" si="44"/>
        <v>#DIV/0!</v>
      </c>
      <c r="AA44" s="8" t="e">
        <f t="shared" si="36"/>
        <v>#DIV/0!</v>
      </c>
      <c r="AB44" s="2" t="e">
        <f t="shared" si="45"/>
        <v>#DIV/0!</v>
      </c>
      <c r="AC44" s="2" t="e">
        <f t="shared" si="46"/>
        <v>#DIV/0!</v>
      </c>
      <c r="AE44" s="8" t="e">
        <f t="shared" si="37"/>
        <v>#DIV/0!</v>
      </c>
      <c r="AF44" s="2" t="e">
        <f t="shared" si="47"/>
        <v>#DIV/0!</v>
      </c>
      <c r="AG44" s="2" t="e">
        <f t="shared" si="48"/>
        <v>#DIV/0!</v>
      </c>
      <c r="AI44" s="8" t="e">
        <f t="shared" si="38"/>
        <v>#DIV/0!</v>
      </c>
      <c r="AJ44" s="2" t="e">
        <f t="shared" si="49"/>
        <v>#DIV/0!</v>
      </c>
      <c r="AK44" s="2" t="e">
        <f t="shared" si="50"/>
        <v>#DIV/0!</v>
      </c>
      <c r="AN44" s="8" t="e">
        <f t="shared" si="39"/>
        <v>#DIV/0!</v>
      </c>
      <c r="AO44" s="2" t="e">
        <f t="shared" si="51"/>
        <v>#DIV/0!</v>
      </c>
      <c r="AP44" s="2" t="e">
        <f t="shared" si="52"/>
        <v>#DIV/0!</v>
      </c>
      <c r="AS44" s="8" t="e">
        <f t="shared" si="40"/>
        <v>#DIV/0!</v>
      </c>
      <c r="AT44" s="2" t="e">
        <f t="shared" si="53"/>
        <v>#DIV/0!</v>
      </c>
      <c r="AU44" s="2" t="e">
        <f t="shared" si="54"/>
        <v>#DIV/0!</v>
      </c>
    </row>
    <row r="45" spans="1:47" x14ac:dyDescent="0.2">
      <c r="A45" s="2">
        <f t="shared" si="41"/>
        <v>0.91666666666666674</v>
      </c>
      <c r="B45" s="2">
        <f t="shared" si="42"/>
        <v>0.39984965434484732</v>
      </c>
      <c r="C45" s="2">
        <f t="shared" si="22"/>
        <v>0.39984965434484732</v>
      </c>
      <c r="D45" s="8">
        <f t="shared" si="23"/>
        <v>0.39984965434484732</v>
      </c>
      <c r="E45" s="2">
        <f t="shared" si="24"/>
        <v>0.39984965434484732</v>
      </c>
      <c r="G45" s="8" t="e">
        <f t="shared" si="25"/>
        <v>#DIV/0!</v>
      </c>
      <c r="H45" s="2" t="e">
        <f t="shared" si="26"/>
        <v>#DIV/0!</v>
      </c>
      <c r="J45" s="8">
        <f t="shared" si="27"/>
        <v>0.53466876556118026</v>
      </c>
      <c r="K45" s="2">
        <f t="shared" si="28"/>
        <v>0.53466876556118026</v>
      </c>
      <c r="M45" s="8">
        <f t="shared" si="29"/>
        <v>0.52173913043478259</v>
      </c>
      <c r="N45" s="2">
        <f t="shared" si="30"/>
        <v>0.52173913043478259</v>
      </c>
      <c r="P45" s="8">
        <f t="shared" si="31"/>
        <v>0.39984965434484732</v>
      </c>
      <c r="Q45" s="2">
        <f t="shared" si="32"/>
        <v>0.39984965434484732</v>
      </c>
      <c r="S45" s="8">
        <f t="shared" si="33"/>
        <v>0.53466876556118026</v>
      </c>
      <c r="T45" s="2">
        <f t="shared" si="34"/>
        <v>0.53466876556118026</v>
      </c>
      <c r="W45" s="8" t="e">
        <f t="shared" si="35"/>
        <v>#DIV/0!</v>
      </c>
      <c r="X45" s="2" t="e">
        <f t="shared" si="43"/>
        <v>#DIV/0!</v>
      </c>
      <c r="Y45" s="2" t="e">
        <f t="shared" si="44"/>
        <v>#DIV/0!</v>
      </c>
      <c r="AA45" s="8" t="e">
        <f t="shared" si="36"/>
        <v>#DIV/0!</v>
      </c>
      <c r="AB45" s="2" t="e">
        <f t="shared" si="45"/>
        <v>#DIV/0!</v>
      </c>
      <c r="AC45" s="2" t="e">
        <f t="shared" si="46"/>
        <v>#DIV/0!</v>
      </c>
      <c r="AE45" s="8" t="e">
        <f t="shared" si="37"/>
        <v>#DIV/0!</v>
      </c>
      <c r="AF45" s="2" t="e">
        <f t="shared" si="47"/>
        <v>#DIV/0!</v>
      </c>
      <c r="AG45" s="2" t="e">
        <f t="shared" si="48"/>
        <v>#DIV/0!</v>
      </c>
      <c r="AI45" s="8" t="e">
        <f t="shared" si="38"/>
        <v>#DIV/0!</v>
      </c>
      <c r="AJ45" s="2" t="e">
        <f t="shared" si="49"/>
        <v>#DIV/0!</v>
      </c>
      <c r="AK45" s="2" t="e">
        <f t="shared" si="50"/>
        <v>#DIV/0!</v>
      </c>
      <c r="AN45" s="8" t="e">
        <f t="shared" si="39"/>
        <v>#DIV/0!</v>
      </c>
      <c r="AO45" s="2" t="e">
        <f t="shared" si="51"/>
        <v>#DIV/0!</v>
      </c>
      <c r="AP45" s="2" t="e">
        <f t="shared" si="52"/>
        <v>#DIV/0!</v>
      </c>
      <c r="AS45" s="8" t="e">
        <f t="shared" si="40"/>
        <v>#DIV/0!</v>
      </c>
      <c r="AT45" s="2" t="e">
        <f t="shared" si="53"/>
        <v>#DIV/0!</v>
      </c>
      <c r="AU45" s="2" t="e">
        <f t="shared" si="54"/>
        <v>#DIV/0!</v>
      </c>
    </row>
    <row r="46" spans="1:47" x14ac:dyDescent="0.2">
      <c r="A46" s="2">
        <f t="shared" si="41"/>
        <v>1</v>
      </c>
      <c r="B46" s="2">
        <f t="shared" si="42"/>
        <v>0.36787944117144233</v>
      </c>
      <c r="C46" s="2">
        <f t="shared" si="22"/>
        <v>0.36787944117144233</v>
      </c>
      <c r="D46" s="8">
        <f t="shared" si="23"/>
        <v>0.36787944117144233</v>
      </c>
      <c r="E46" s="2">
        <f t="shared" si="24"/>
        <v>0.36787944117144233</v>
      </c>
      <c r="G46" s="8" t="e">
        <f t="shared" si="25"/>
        <v>#DIV/0!</v>
      </c>
      <c r="H46" s="2" t="e">
        <f t="shared" si="26"/>
        <v>#DIV/0!</v>
      </c>
      <c r="J46" s="8">
        <f t="shared" si="27"/>
        <v>0.5</v>
      </c>
      <c r="K46" s="2">
        <f t="shared" si="28"/>
        <v>0.5</v>
      </c>
      <c r="M46" s="8">
        <f t="shared" si="29"/>
        <v>0.5</v>
      </c>
      <c r="N46" s="2">
        <f t="shared" si="30"/>
        <v>0.5</v>
      </c>
      <c r="P46" s="8">
        <f t="shared" si="31"/>
        <v>0.36787944117144233</v>
      </c>
      <c r="Q46" s="2">
        <f t="shared" si="32"/>
        <v>0.36787944117144233</v>
      </c>
      <c r="S46" s="8">
        <f t="shared" si="33"/>
        <v>0.5</v>
      </c>
      <c r="T46" s="2">
        <f t="shared" si="34"/>
        <v>0.5</v>
      </c>
      <c r="W46" s="8" t="e">
        <f t="shared" si="35"/>
        <v>#DIV/0!</v>
      </c>
      <c r="X46" s="2" t="e">
        <f t="shared" si="43"/>
        <v>#DIV/0!</v>
      </c>
      <c r="Y46" s="2" t="e">
        <f t="shared" si="44"/>
        <v>#DIV/0!</v>
      </c>
      <c r="AA46" s="8" t="e">
        <f t="shared" si="36"/>
        <v>#DIV/0!</v>
      </c>
      <c r="AB46" s="2" t="e">
        <f t="shared" si="45"/>
        <v>#DIV/0!</v>
      </c>
      <c r="AC46" s="2" t="e">
        <f t="shared" si="46"/>
        <v>#DIV/0!</v>
      </c>
      <c r="AE46" s="8" t="e">
        <f t="shared" si="37"/>
        <v>#DIV/0!</v>
      </c>
      <c r="AF46" s="2" t="e">
        <f t="shared" si="47"/>
        <v>#DIV/0!</v>
      </c>
      <c r="AG46" s="2" t="e">
        <f t="shared" si="48"/>
        <v>#DIV/0!</v>
      </c>
      <c r="AI46" s="8" t="e">
        <f t="shared" si="38"/>
        <v>#DIV/0!</v>
      </c>
      <c r="AJ46" s="2" t="e">
        <f t="shared" si="49"/>
        <v>#DIV/0!</v>
      </c>
      <c r="AK46" s="2" t="e">
        <f t="shared" si="50"/>
        <v>#DIV/0!</v>
      </c>
      <c r="AN46" s="8" t="e">
        <f t="shared" si="39"/>
        <v>#DIV/0!</v>
      </c>
      <c r="AO46" s="2" t="e">
        <f t="shared" si="51"/>
        <v>#DIV/0!</v>
      </c>
      <c r="AP46" s="2" t="e">
        <f t="shared" si="52"/>
        <v>#DIV/0!</v>
      </c>
      <c r="AS46" s="8" t="e">
        <f t="shared" si="40"/>
        <v>#DIV/0!</v>
      </c>
      <c r="AT46" s="2" t="e">
        <f t="shared" si="53"/>
        <v>#DIV/0!</v>
      </c>
      <c r="AU46" s="2" t="e">
        <f t="shared" si="54"/>
        <v>#DIV/0!</v>
      </c>
    </row>
    <row r="47" spans="1:47" x14ac:dyDescent="0.2">
      <c r="A47" s="2">
        <f t="shared" si="41"/>
        <v>1.0833333333333333</v>
      </c>
      <c r="B47" s="2">
        <f t="shared" si="42"/>
        <v>0.33846542510674221</v>
      </c>
      <c r="C47" s="2">
        <f t="shared" si="22"/>
        <v>0.33846542510674221</v>
      </c>
      <c r="D47" s="8">
        <f t="shared" si="23"/>
        <v>0.33846542510674221</v>
      </c>
      <c r="E47" s="2">
        <f t="shared" si="24"/>
        <v>0.33846542510674221</v>
      </c>
      <c r="G47" s="8" t="e">
        <f t="shared" si="25"/>
        <v>#DIV/0!</v>
      </c>
      <c r="H47" s="2" t="e">
        <f t="shared" si="26"/>
        <v>#DIV/0!</v>
      </c>
      <c r="J47" s="8">
        <f t="shared" si="27"/>
        <v>0.46810164455248771</v>
      </c>
      <c r="K47" s="2">
        <f t="shared" si="28"/>
        <v>0.46810164455248771</v>
      </c>
      <c r="M47" s="8">
        <f t="shared" si="29"/>
        <v>0.48</v>
      </c>
      <c r="N47" s="2">
        <f t="shared" si="30"/>
        <v>0.48</v>
      </c>
      <c r="P47" s="8">
        <f t="shared" si="31"/>
        <v>0.33846542510674227</v>
      </c>
      <c r="Q47" s="2">
        <f t="shared" si="32"/>
        <v>0.33846542510674227</v>
      </c>
      <c r="S47" s="8">
        <f t="shared" si="33"/>
        <v>0.46810164455248771</v>
      </c>
      <c r="T47" s="2">
        <f t="shared" si="34"/>
        <v>0.46810164455248771</v>
      </c>
      <c r="W47" s="8" t="e">
        <f t="shared" si="35"/>
        <v>#DIV/0!</v>
      </c>
      <c r="X47" s="2" t="e">
        <f t="shared" si="43"/>
        <v>#DIV/0!</v>
      </c>
      <c r="Y47" s="2" t="e">
        <f t="shared" si="44"/>
        <v>#DIV/0!</v>
      </c>
      <c r="AA47" s="8" t="e">
        <f t="shared" si="36"/>
        <v>#DIV/0!</v>
      </c>
      <c r="AB47" s="2" t="e">
        <f t="shared" si="45"/>
        <v>#DIV/0!</v>
      </c>
      <c r="AC47" s="2" t="e">
        <f t="shared" si="46"/>
        <v>#DIV/0!</v>
      </c>
      <c r="AE47" s="8" t="e">
        <f t="shared" si="37"/>
        <v>#DIV/0!</v>
      </c>
      <c r="AF47" s="2" t="e">
        <f t="shared" si="47"/>
        <v>#DIV/0!</v>
      </c>
      <c r="AG47" s="2" t="e">
        <f t="shared" si="48"/>
        <v>#DIV/0!</v>
      </c>
      <c r="AI47" s="8" t="e">
        <f t="shared" si="38"/>
        <v>#DIV/0!</v>
      </c>
      <c r="AJ47" s="2" t="e">
        <f t="shared" si="49"/>
        <v>#DIV/0!</v>
      </c>
      <c r="AK47" s="2" t="e">
        <f t="shared" si="50"/>
        <v>#DIV/0!</v>
      </c>
      <c r="AN47" s="8" t="e">
        <f t="shared" si="39"/>
        <v>#DIV/0!</v>
      </c>
      <c r="AO47" s="2" t="e">
        <f t="shared" si="51"/>
        <v>#DIV/0!</v>
      </c>
      <c r="AP47" s="2" t="e">
        <f t="shared" si="52"/>
        <v>#DIV/0!</v>
      </c>
      <c r="AS47" s="8" t="e">
        <f t="shared" si="40"/>
        <v>#DIV/0!</v>
      </c>
      <c r="AT47" s="2" t="e">
        <f t="shared" si="53"/>
        <v>#DIV/0!</v>
      </c>
      <c r="AU47" s="2" t="e">
        <f t="shared" si="54"/>
        <v>#DIV/0!</v>
      </c>
    </row>
    <row r="48" spans="1:47" x14ac:dyDescent="0.2">
      <c r="A48" s="2">
        <f t="shared" si="41"/>
        <v>1.1666666666666665</v>
      </c>
      <c r="B48" s="2">
        <f t="shared" si="42"/>
        <v>0.31140322391459774</v>
      </c>
      <c r="C48" s="2">
        <f t="shared" si="22"/>
        <v>0.31140322391459774</v>
      </c>
      <c r="D48" s="8">
        <f t="shared" si="23"/>
        <v>0.31140322391459774</v>
      </c>
      <c r="E48" s="2">
        <f t="shared" si="24"/>
        <v>0.31140322391459774</v>
      </c>
      <c r="G48" s="8" t="e">
        <f t="shared" si="25"/>
        <v>#DIV/0!</v>
      </c>
      <c r="H48" s="2" t="e">
        <f t="shared" si="26"/>
        <v>#DIV/0!</v>
      </c>
      <c r="J48" s="8">
        <f t="shared" si="27"/>
        <v>0.4387454645331279</v>
      </c>
      <c r="K48" s="2">
        <f t="shared" si="28"/>
        <v>0.4387454645331279</v>
      </c>
      <c r="M48" s="8">
        <f t="shared" si="29"/>
        <v>0.46153846153846156</v>
      </c>
      <c r="N48" s="2">
        <f t="shared" si="30"/>
        <v>0.46153846153846156</v>
      </c>
      <c r="P48" s="8">
        <f t="shared" si="31"/>
        <v>0.31140322391459774</v>
      </c>
      <c r="Q48" s="2">
        <f t="shared" si="32"/>
        <v>0.31140322391459774</v>
      </c>
      <c r="S48" s="8">
        <f t="shared" si="33"/>
        <v>0.4387454645331279</v>
      </c>
      <c r="T48" s="2">
        <f t="shared" si="34"/>
        <v>0.4387454645331279</v>
      </c>
      <c r="W48" s="8" t="e">
        <f t="shared" si="35"/>
        <v>#DIV/0!</v>
      </c>
      <c r="X48" s="2" t="e">
        <f t="shared" si="43"/>
        <v>#DIV/0!</v>
      </c>
      <c r="Y48" s="2" t="e">
        <f t="shared" si="44"/>
        <v>#DIV/0!</v>
      </c>
      <c r="AA48" s="8" t="e">
        <f t="shared" si="36"/>
        <v>#DIV/0!</v>
      </c>
      <c r="AB48" s="2" t="e">
        <f t="shared" si="45"/>
        <v>#DIV/0!</v>
      </c>
      <c r="AC48" s="2" t="e">
        <f t="shared" si="46"/>
        <v>#DIV/0!</v>
      </c>
      <c r="AE48" s="8" t="e">
        <f t="shared" si="37"/>
        <v>#DIV/0!</v>
      </c>
      <c r="AF48" s="2" t="e">
        <f t="shared" si="47"/>
        <v>#DIV/0!</v>
      </c>
      <c r="AG48" s="2" t="e">
        <f t="shared" si="48"/>
        <v>#DIV/0!</v>
      </c>
      <c r="AI48" s="8" t="e">
        <f t="shared" si="38"/>
        <v>#DIV/0!</v>
      </c>
      <c r="AJ48" s="2" t="e">
        <f t="shared" si="49"/>
        <v>#DIV/0!</v>
      </c>
      <c r="AK48" s="2" t="e">
        <f t="shared" si="50"/>
        <v>#DIV/0!</v>
      </c>
      <c r="AN48" s="8" t="e">
        <f t="shared" si="39"/>
        <v>#DIV/0!</v>
      </c>
      <c r="AO48" s="2" t="e">
        <f t="shared" si="51"/>
        <v>#DIV/0!</v>
      </c>
      <c r="AP48" s="2" t="e">
        <f t="shared" si="52"/>
        <v>#DIV/0!</v>
      </c>
      <c r="AS48" s="8" t="e">
        <f t="shared" si="40"/>
        <v>#DIV/0!</v>
      </c>
      <c r="AT48" s="2" t="e">
        <f t="shared" si="53"/>
        <v>#DIV/0!</v>
      </c>
      <c r="AU48" s="2" t="e">
        <f t="shared" si="54"/>
        <v>#DIV/0!</v>
      </c>
    </row>
    <row r="49" spans="1:47" x14ac:dyDescent="0.2">
      <c r="A49" s="2">
        <f t="shared" si="41"/>
        <v>1.2499999999999998</v>
      </c>
      <c r="B49" s="2">
        <f t="shared" si="42"/>
        <v>0.28650479686019015</v>
      </c>
      <c r="C49" s="2">
        <f t="shared" si="22"/>
        <v>0.28650479686019015</v>
      </c>
      <c r="D49" s="8">
        <f t="shared" si="23"/>
        <v>0.28650479686019015</v>
      </c>
      <c r="E49" s="2">
        <f t="shared" si="24"/>
        <v>0.28650479686019015</v>
      </c>
      <c r="G49" s="8" t="e">
        <f t="shared" si="25"/>
        <v>#DIV/0!</v>
      </c>
      <c r="H49" s="2" t="e">
        <f t="shared" si="26"/>
        <v>#DIV/0!</v>
      </c>
      <c r="J49" s="8">
        <f t="shared" si="27"/>
        <v>0.41171189185745494</v>
      </c>
      <c r="K49" s="2">
        <f t="shared" si="28"/>
        <v>0.41171189185745494</v>
      </c>
      <c r="M49" s="8">
        <f t="shared" si="29"/>
        <v>0.44444444444444453</v>
      </c>
      <c r="N49" s="2">
        <f t="shared" si="30"/>
        <v>0.44444444444444453</v>
      </c>
      <c r="P49" s="8">
        <f t="shared" si="31"/>
        <v>0.28650479686019015</v>
      </c>
      <c r="Q49" s="2">
        <f t="shared" si="32"/>
        <v>0.28650479686019015</v>
      </c>
      <c r="S49" s="8">
        <f t="shared" si="33"/>
        <v>0.41171189185745494</v>
      </c>
      <c r="T49" s="2">
        <f t="shared" si="34"/>
        <v>0.41171189185745494</v>
      </c>
      <c r="W49" s="8" t="e">
        <f t="shared" si="35"/>
        <v>#DIV/0!</v>
      </c>
      <c r="X49" s="2" t="e">
        <f t="shared" si="43"/>
        <v>#DIV/0!</v>
      </c>
      <c r="Y49" s="2" t="e">
        <f t="shared" si="44"/>
        <v>#DIV/0!</v>
      </c>
      <c r="AA49" s="8" t="e">
        <f t="shared" si="36"/>
        <v>#DIV/0!</v>
      </c>
      <c r="AB49" s="2" t="e">
        <f t="shared" si="45"/>
        <v>#DIV/0!</v>
      </c>
      <c r="AC49" s="2" t="e">
        <f t="shared" si="46"/>
        <v>#DIV/0!</v>
      </c>
      <c r="AE49" s="8" t="e">
        <f t="shared" si="37"/>
        <v>#DIV/0!</v>
      </c>
      <c r="AF49" s="2" t="e">
        <f t="shared" si="47"/>
        <v>#DIV/0!</v>
      </c>
      <c r="AG49" s="2" t="e">
        <f t="shared" si="48"/>
        <v>#DIV/0!</v>
      </c>
      <c r="AI49" s="8" t="e">
        <f t="shared" si="38"/>
        <v>#DIV/0!</v>
      </c>
      <c r="AJ49" s="2" t="e">
        <f t="shared" si="49"/>
        <v>#DIV/0!</v>
      </c>
      <c r="AK49" s="2" t="e">
        <f t="shared" si="50"/>
        <v>#DIV/0!</v>
      </c>
      <c r="AN49" s="8" t="e">
        <f t="shared" si="39"/>
        <v>#DIV/0!</v>
      </c>
      <c r="AO49" s="2" t="e">
        <f t="shared" si="51"/>
        <v>#DIV/0!</v>
      </c>
      <c r="AP49" s="2" t="e">
        <f t="shared" si="52"/>
        <v>#DIV/0!</v>
      </c>
      <c r="AS49" s="8" t="e">
        <f t="shared" si="40"/>
        <v>#DIV/0!</v>
      </c>
      <c r="AT49" s="2" t="e">
        <f t="shared" si="53"/>
        <v>#DIV/0!</v>
      </c>
      <c r="AU49" s="2" t="e">
        <f t="shared" si="54"/>
        <v>#DIV/0!</v>
      </c>
    </row>
    <row r="50" spans="1:47" x14ac:dyDescent="0.2">
      <c r="A50" s="2">
        <f t="shared" si="41"/>
        <v>1.333333333333333</v>
      </c>
      <c r="B50" s="2">
        <f t="shared" si="42"/>
        <v>0.26359713811572683</v>
      </c>
      <c r="C50" s="2">
        <f t="shared" si="22"/>
        <v>0.26359713811572683</v>
      </c>
      <c r="D50" s="8">
        <f t="shared" si="23"/>
        <v>0.26359713811572683</v>
      </c>
      <c r="E50" s="2">
        <f t="shared" si="24"/>
        <v>0.26359713811572683</v>
      </c>
      <c r="G50" s="8" t="e">
        <f t="shared" si="25"/>
        <v>#DIV/0!</v>
      </c>
      <c r="H50" s="2" t="e">
        <f t="shared" si="26"/>
        <v>#DIV/0!</v>
      </c>
      <c r="J50" s="8">
        <f t="shared" si="27"/>
        <v>0.38679505713409734</v>
      </c>
      <c r="K50" s="2">
        <f t="shared" si="28"/>
        <v>0.38679505713409734</v>
      </c>
      <c r="M50" s="8">
        <f t="shared" si="29"/>
        <v>0.4285714285714286</v>
      </c>
      <c r="N50" s="2">
        <f t="shared" si="30"/>
        <v>0.4285714285714286</v>
      </c>
      <c r="P50" s="8">
        <f t="shared" si="31"/>
        <v>0.26359713811572683</v>
      </c>
      <c r="Q50" s="2">
        <f t="shared" si="32"/>
        <v>0.26359713811572683</v>
      </c>
      <c r="S50" s="8">
        <f t="shared" si="33"/>
        <v>0.38679505713409734</v>
      </c>
      <c r="T50" s="2">
        <f t="shared" si="34"/>
        <v>0.38679505713409734</v>
      </c>
      <c r="W50" s="8" t="e">
        <f t="shared" si="35"/>
        <v>#DIV/0!</v>
      </c>
      <c r="X50" s="2" t="e">
        <f t="shared" si="43"/>
        <v>#DIV/0!</v>
      </c>
      <c r="Y50" s="2" t="e">
        <f t="shared" si="44"/>
        <v>#DIV/0!</v>
      </c>
      <c r="AA50" s="8" t="e">
        <f t="shared" si="36"/>
        <v>#DIV/0!</v>
      </c>
      <c r="AB50" s="2" t="e">
        <f t="shared" si="45"/>
        <v>#DIV/0!</v>
      </c>
      <c r="AC50" s="2" t="e">
        <f t="shared" si="46"/>
        <v>#DIV/0!</v>
      </c>
      <c r="AE50" s="8" t="e">
        <f t="shared" si="37"/>
        <v>#DIV/0!</v>
      </c>
      <c r="AF50" s="2" t="e">
        <f t="shared" si="47"/>
        <v>#DIV/0!</v>
      </c>
      <c r="AG50" s="2" t="e">
        <f t="shared" si="48"/>
        <v>#DIV/0!</v>
      </c>
      <c r="AI50" s="8" t="e">
        <f t="shared" si="38"/>
        <v>#DIV/0!</v>
      </c>
      <c r="AJ50" s="2" t="e">
        <f t="shared" si="49"/>
        <v>#DIV/0!</v>
      </c>
      <c r="AK50" s="2" t="e">
        <f t="shared" si="50"/>
        <v>#DIV/0!</v>
      </c>
      <c r="AN50" s="8" t="e">
        <f t="shared" si="39"/>
        <v>#DIV/0!</v>
      </c>
      <c r="AO50" s="2" t="e">
        <f t="shared" si="51"/>
        <v>#DIV/0!</v>
      </c>
      <c r="AP50" s="2" t="e">
        <f t="shared" si="52"/>
        <v>#DIV/0!</v>
      </c>
      <c r="AS50" s="8" t="e">
        <f t="shared" si="40"/>
        <v>#DIV/0!</v>
      </c>
      <c r="AT50" s="2" t="e">
        <f t="shared" si="53"/>
        <v>#DIV/0!</v>
      </c>
      <c r="AU50" s="2" t="e">
        <f t="shared" si="54"/>
        <v>#DIV/0!</v>
      </c>
    </row>
    <row r="51" spans="1:47" x14ac:dyDescent="0.2">
      <c r="A51" s="2">
        <f t="shared" si="41"/>
        <v>1.4166666666666663</v>
      </c>
      <c r="B51" s="2">
        <f t="shared" si="42"/>
        <v>0.24252107463564879</v>
      </c>
      <c r="C51" s="2">
        <f t="shared" si="22"/>
        <v>0.24252107463564879</v>
      </c>
      <c r="D51" s="8">
        <f t="shared" si="23"/>
        <v>0.24252107463564879</v>
      </c>
      <c r="E51" s="2">
        <f t="shared" si="24"/>
        <v>0.24252107463564879</v>
      </c>
      <c r="G51" s="8" t="e">
        <f t="shared" si="25"/>
        <v>#DIV/0!</v>
      </c>
      <c r="H51" s="2" t="e">
        <f t="shared" si="26"/>
        <v>#DIV/0!</v>
      </c>
      <c r="J51" s="8">
        <f t="shared" si="27"/>
        <v>0.36380493347416765</v>
      </c>
      <c r="K51" s="2">
        <f t="shared" si="28"/>
        <v>0.36380493347416765</v>
      </c>
      <c r="M51" s="8">
        <f t="shared" si="29"/>
        <v>0.41379310344827591</v>
      </c>
      <c r="N51" s="2">
        <f t="shared" si="30"/>
        <v>0.41379310344827591</v>
      </c>
      <c r="P51" s="8">
        <f t="shared" si="31"/>
        <v>0.24252107463564876</v>
      </c>
      <c r="Q51" s="2">
        <f t="shared" si="32"/>
        <v>0.24252107463564876</v>
      </c>
      <c r="S51" s="8">
        <f t="shared" si="33"/>
        <v>0.36380493347416765</v>
      </c>
      <c r="T51" s="2">
        <f t="shared" si="34"/>
        <v>0.36380493347416765</v>
      </c>
      <c r="W51" s="8" t="e">
        <f t="shared" si="35"/>
        <v>#DIV/0!</v>
      </c>
      <c r="X51" s="2" t="e">
        <f t="shared" si="43"/>
        <v>#DIV/0!</v>
      </c>
      <c r="Y51" s="2" t="e">
        <f t="shared" si="44"/>
        <v>#DIV/0!</v>
      </c>
      <c r="AA51" s="8" t="e">
        <f t="shared" si="36"/>
        <v>#DIV/0!</v>
      </c>
      <c r="AB51" s="2" t="e">
        <f t="shared" si="45"/>
        <v>#DIV/0!</v>
      </c>
      <c r="AC51" s="2" t="e">
        <f t="shared" si="46"/>
        <v>#DIV/0!</v>
      </c>
      <c r="AE51" s="8" t="e">
        <f t="shared" si="37"/>
        <v>#DIV/0!</v>
      </c>
      <c r="AF51" s="2" t="e">
        <f t="shared" si="47"/>
        <v>#DIV/0!</v>
      </c>
      <c r="AG51" s="2" t="e">
        <f t="shared" si="48"/>
        <v>#DIV/0!</v>
      </c>
      <c r="AI51" s="8" t="e">
        <f t="shared" si="38"/>
        <v>#DIV/0!</v>
      </c>
      <c r="AJ51" s="2" t="e">
        <f t="shared" si="49"/>
        <v>#DIV/0!</v>
      </c>
      <c r="AK51" s="2" t="e">
        <f t="shared" si="50"/>
        <v>#DIV/0!</v>
      </c>
      <c r="AN51" s="8" t="e">
        <f t="shared" si="39"/>
        <v>#DIV/0!</v>
      </c>
      <c r="AO51" s="2" t="e">
        <f t="shared" si="51"/>
        <v>#DIV/0!</v>
      </c>
      <c r="AP51" s="2" t="e">
        <f t="shared" si="52"/>
        <v>#DIV/0!</v>
      </c>
      <c r="AS51" s="8" t="e">
        <f t="shared" si="40"/>
        <v>#DIV/0!</v>
      </c>
      <c r="AT51" s="2" t="e">
        <f t="shared" si="53"/>
        <v>#DIV/0!</v>
      </c>
      <c r="AU51" s="2" t="e">
        <f t="shared" si="54"/>
        <v>#DIV/0!</v>
      </c>
    </row>
    <row r="52" spans="1:47" x14ac:dyDescent="0.2">
      <c r="A52" s="2">
        <f t="shared" si="41"/>
        <v>1.4999999999999996</v>
      </c>
      <c r="B52" s="2">
        <f t="shared" si="42"/>
        <v>0.22313016014842993</v>
      </c>
      <c r="C52" s="2">
        <f t="shared" si="22"/>
        <v>0.22313016014842993</v>
      </c>
      <c r="D52" s="8">
        <f t="shared" si="23"/>
        <v>0.22313016014842993</v>
      </c>
      <c r="E52" s="2">
        <f t="shared" si="24"/>
        <v>0.22313016014842993</v>
      </c>
      <c r="G52" s="8" t="e">
        <f t="shared" si="25"/>
        <v>#DIV/0!</v>
      </c>
      <c r="H52" s="2" t="e">
        <f t="shared" si="26"/>
        <v>#DIV/0!</v>
      </c>
      <c r="J52" s="8">
        <f t="shared" si="27"/>
        <v>0.34256783051484596</v>
      </c>
      <c r="K52" s="2">
        <f t="shared" si="28"/>
        <v>0.34256783051484596</v>
      </c>
      <c r="M52" s="8">
        <f t="shared" si="29"/>
        <v>0.40000000000000013</v>
      </c>
      <c r="N52" s="2">
        <f t="shared" si="30"/>
        <v>0.40000000000000013</v>
      </c>
      <c r="P52" s="8">
        <f t="shared" si="31"/>
        <v>0.2231301601484299</v>
      </c>
      <c r="Q52" s="2">
        <f t="shared" si="32"/>
        <v>0.2231301601484299</v>
      </c>
      <c r="S52" s="8">
        <f t="shared" si="33"/>
        <v>0.34256783051484596</v>
      </c>
      <c r="T52" s="2">
        <f t="shared" si="34"/>
        <v>0.34256783051484596</v>
      </c>
      <c r="W52" s="8" t="e">
        <f t="shared" si="35"/>
        <v>#DIV/0!</v>
      </c>
      <c r="X52" s="2" t="e">
        <f t="shared" si="43"/>
        <v>#DIV/0!</v>
      </c>
      <c r="Y52" s="2" t="e">
        <f t="shared" ref="Y52:Y67" si="55">EXP(-EXP($W52+Z$29))</f>
        <v>#DIV/0!</v>
      </c>
      <c r="AA52" s="8" t="e">
        <f t="shared" si="36"/>
        <v>#DIV/0!</v>
      </c>
      <c r="AB52" s="2" t="e">
        <f t="shared" si="45"/>
        <v>#DIV/0!</v>
      </c>
      <c r="AC52" s="2" t="e">
        <f t="shared" ref="AC52:AC67" si="56">1-(EXP($AA52+AD$29)/(1 + EXP($AA52+AD$29)))</f>
        <v>#DIV/0!</v>
      </c>
      <c r="AE52" s="8" t="e">
        <f t="shared" si="37"/>
        <v>#DIV/0!</v>
      </c>
      <c r="AF52" s="2" t="e">
        <f t="shared" si="47"/>
        <v>#DIV/0!</v>
      </c>
      <c r="AG52" s="2" t="e">
        <f t="shared" ref="AG52:AG67" si="57">1-NORMSDIST($AE52+AH$29)</f>
        <v>#DIV/0!</v>
      </c>
      <c r="AI52" s="8" t="e">
        <f t="shared" si="38"/>
        <v>#DIV/0!</v>
      </c>
      <c r="AJ52" s="2" t="e">
        <f t="shared" si="49"/>
        <v>#DIV/0!</v>
      </c>
      <c r="AK52" s="2" t="e">
        <f t="shared" si="50"/>
        <v>#DIV/0!</v>
      </c>
      <c r="AN52" s="8" t="e">
        <f t="shared" si="39"/>
        <v>#DIV/0!</v>
      </c>
      <c r="AO52" s="2" t="e">
        <f t="shared" si="51"/>
        <v>#DIV/0!</v>
      </c>
      <c r="AP52" s="2" t="e">
        <f t="shared" ref="AP52:AP115" si="58">1-(EXP($AN52+AR$29)/(1 + EXP($AN52+AR$29)))</f>
        <v>#DIV/0!</v>
      </c>
      <c r="AS52" s="8" t="e">
        <f t="shared" si="40"/>
        <v>#DIV/0!</v>
      </c>
      <c r="AT52" s="2" t="e">
        <f t="shared" si="53"/>
        <v>#DIV/0!</v>
      </c>
      <c r="AU52" s="2" t="e">
        <f t="shared" si="54"/>
        <v>#DIV/0!</v>
      </c>
    </row>
    <row r="53" spans="1:47" x14ac:dyDescent="0.2">
      <c r="A53" s="2">
        <f t="shared" si="41"/>
        <v>1.5833333333333328</v>
      </c>
      <c r="B53" s="2">
        <f t="shared" si="42"/>
        <v>0.20528965757990938</v>
      </c>
      <c r="C53" s="2">
        <f t="shared" si="22"/>
        <v>0.20528965757990938</v>
      </c>
      <c r="D53" s="8">
        <f t="shared" si="23"/>
        <v>0.20528965757990938</v>
      </c>
      <c r="E53" s="2">
        <f t="shared" si="24"/>
        <v>0.20528965757990938</v>
      </c>
      <c r="G53" s="8" t="e">
        <f t="shared" si="25"/>
        <v>#DIV/0!</v>
      </c>
      <c r="H53" s="2" t="e">
        <f t="shared" si="26"/>
        <v>#DIV/0!</v>
      </c>
      <c r="J53" s="8">
        <f t="shared" si="27"/>
        <v>0.32292597074484819</v>
      </c>
      <c r="K53" s="2">
        <f t="shared" si="28"/>
        <v>0.32292597074484819</v>
      </c>
      <c r="M53" s="8">
        <f t="shared" si="29"/>
        <v>0.38709677419354849</v>
      </c>
      <c r="N53" s="2">
        <f t="shared" si="30"/>
        <v>0.38709677419354849</v>
      </c>
      <c r="P53" s="8">
        <f t="shared" si="31"/>
        <v>0.20528965757990936</v>
      </c>
      <c r="Q53" s="2">
        <f t="shared" si="32"/>
        <v>0.20528965757990936</v>
      </c>
      <c r="S53" s="8">
        <f t="shared" si="33"/>
        <v>0.32292597074484819</v>
      </c>
      <c r="T53" s="2">
        <f t="shared" si="34"/>
        <v>0.32292597074484819</v>
      </c>
      <c r="W53" s="8" t="e">
        <f t="shared" si="35"/>
        <v>#DIV/0!</v>
      </c>
      <c r="X53" s="2" t="e">
        <f t="shared" si="43"/>
        <v>#DIV/0!</v>
      </c>
      <c r="Y53" s="2" t="e">
        <f t="shared" si="55"/>
        <v>#DIV/0!</v>
      </c>
      <c r="AA53" s="8" t="e">
        <f t="shared" si="36"/>
        <v>#DIV/0!</v>
      </c>
      <c r="AB53" s="2" t="e">
        <f t="shared" si="45"/>
        <v>#DIV/0!</v>
      </c>
      <c r="AC53" s="2" t="e">
        <f t="shared" si="56"/>
        <v>#DIV/0!</v>
      </c>
      <c r="AE53" s="8" t="e">
        <f t="shared" si="37"/>
        <v>#DIV/0!</v>
      </c>
      <c r="AF53" s="2" t="e">
        <f t="shared" si="47"/>
        <v>#DIV/0!</v>
      </c>
      <c r="AG53" s="2" t="e">
        <f t="shared" si="57"/>
        <v>#DIV/0!</v>
      </c>
      <c r="AI53" s="8" t="e">
        <f t="shared" si="38"/>
        <v>#DIV/0!</v>
      </c>
      <c r="AJ53" s="2" t="e">
        <f t="shared" si="49"/>
        <v>#DIV/0!</v>
      </c>
      <c r="AK53" s="2" t="e">
        <f t="shared" si="50"/>
        <v>#DIV/0!</v>
      </c>
      <c r="AN53" s="8" t="e">
        <f t="shared" si="39"/>
        <v>#DIV/0!</v>
      </c>
      <c r="AO53" s="2" t="e">
        <f t="shared" si="51"/>
        <v>#DIV/0!</v>
      </c>
      <c r="AP53" s="2" t="e">
        <f t="shared" si="58"/>
        <v>#DIV/0!</v>
      </c>
      <c r="AS53" s="8" t="e">
        <f t="shared" si="40"/>
        <v>#DIV/0!</v>
      </c>
      <c r="AT53" s="2" t="e">
        <f t="shared" si="53"/>
        <v>#DIV/0!</v>
      </c>
      <c r="AU53" s="2" t="e">
        <f t="shared" si="54"/>
        <v>#DIV/0!</v>
      </c>
    </row>
    <row r="54" spans="1:47" x14ac:dyDescent="0.2">
      <c r="A54" s="2">
        <f t="shared" si="41"/>
        <v>1.6666666666666661</v>
      </c>
      <c r="B54" s="2">
        <f t="shared" si="42"/>
        <v>0.18887560283756194</v>
      </c>
      <c r="C54" s="2">
        <f t="shared" si="22"/>
        <v>0.18887560283756194</v>
      </c>
      <c r="D54" s="8">
        <f t="shared" si="23"/>
        <v>0.18887560283756194</v>
      </c>
      <c r="E54" s="2">
        <f t="shared" si="24"/>
        <v>0.18887560283756194</v>
      </c>
      <c r="G54" s="8" t="e">
        <f t="shared" si="25"/>
        <v>#DIV/0!</v>
      </c>
      <c r="H54" s="2" t="e">
        <f t="shared" si="26"/>
        <v>#DIV/0!</v>
      </c>
      <c r="J54" s="8">
        <f t="shared" si="27"/>
        <v>0.30473658251023183</v>
      </c>
      <c r="K54" s="2">
        <f t="shared" si="28"/>
        <v>0.30473658251023183</v>
      </c>
      <c r="M54" s="8">
        <f t="shared" si="29"/>
        <v>0.375</v>
      </c>
      <c r="N54" s="2">
        <f t="shared" si="30"/>
        <v>0.375</v>
      </c>
      <c r="P54" s="8">
        <f t="shared" si="31"/>
        <v>0.188875602837562</v>
      </c>
      <c r="Q54" s="2">
        <f t="shared" si="32"/>
        <v>0.188875602837562</v>
      </c>
      <c r="S54" s="8">
        <f t="shared" si="33"/>
        <v>0.30473658251023183</v>
      </c>
      <c r="T54" s="2">
        <f t="shared" si="34"/>
        <v>0.30473658251023183</v>
      </c>
      <c r="W54" s="8" t="e">
        <f t="shared" si="35"/>
        <v>#DIV/0!</v>
      </c>
      <c r="X54" s="2" t="e">
        <f t="shared" si="43"/>
        <v>#DIV/0!</v>
      </c>
      <c r="Y54" s="2" t="e">
        <f t="shared" si="55"/>
        <v>#DIV/0!</v>
      </c>
      <c r="AA54" s="8" t="e">
        <f t="shared" si="36"/>
        <v>#DIV/0!</v>
      </c>
      <c r="AB54" s="2" t="e">
        <f t="shared" si="45"/>
        <v>#DIV/0!</v>
      </c>
      <c r="AC54" s="2" t="e">
        <f t="shared" si="56"/>
        <v>#DIV/0!</v>
      </c>
      <c r="AE54" s="8" t="e">
        <f t="shared" si="37"/>
        <v>#DIV/0!</v>
      </c>
      <c r="AF54" s="2" t="e">
        <f t="shared" si="47"/>
        <v>#DIV/0!</v>
      </c>
      <c r="AG54" s="2" t="e">
        <f t="shared" si="57"/>
        <v>#DIV/0!</v>
      </c>
      <c r="AI54" s="8" t="e">
        <f t="shared" si="38"/>
        <v>#DIV/0!</v>
      </c>
      <c r="AJ54" s="2" t="e">
        <f t="shared" si="49"/>
        <v>#DIV/0!</v>
      </c>
      <c r="AK54" s="2" t="e">
        <f t="shared" si="50"/>
        <v>#DIV/0!</v>
      </c>
      <c r="AN54" s="8" t="e">
        <f t="shared" si="39"/>
        <v>#DIV/0!</v>
      </c>
      <c r="AO54" s="2" t="e">
        <f t="shared" si="51"/>
        <v>#DIV/0!</v>
      </c>
      <c r="AP54" s="2" t="e">
        <f t="shared" si="58"/>
        <v>#DIV/0!</v>
      </c>
      <c r="AS54" s="8" t="e">
        <f t="shared" si="40"/>
        <v>#DIV/0!</v>
      </c>
      <c r="AT54" s="2" t="e">
        <f t="shared" si="53"/>
        <v>#DIV/0!</v>
      </c>
      <c r="AU54" s="2" t="e">
        <f t="shared" si="54"/>
        <v>#DIV/0!</v>
      </c>
    </row>
    <row r="55" spans="1:47" x14ac:dyDescent="0.2">
      <c r="A55" s="2">
        <f t="shared" si="41"/>
        <v>1.7499999999999993</v>
      </c>
      <c r="B55" s="2">
        <f t="shared" si="42"/>
        <v>0.17377394345044525</v>
      </c>
      <c r="C55" s="2">
        <f t="shared" si="22"/>
        <v>0.17377394345044525</v>
      </c>
      <c r="D55" s="8">
        <f t="shared" si="23"/>
        <v>0.17377394345044525</v>
      </c>
      <c r="E55" s="2">
        <f t="shared" si="24"/>
        <v>0.17377394345044525</v>
      </c>
      <c r="G55" s="8" t="e">
        <f t="shared" si="25"/>
        <v>#DIV/0!</v>
      </c>
      <c r="H55" s="2" t="e">
        <f t="shared" si="26"/>
        <v>#DIV/0!</v>
      </c>
      <c r="J55" s="8">
        <f t="shared" si="27"/>
        <v>0.28787076684992507</v>
      </c>
      <c r="K55" s="2">
        <f t="shared" si="28"/>
        <v>0.28787076684992507</v>
      </c>
      <c r="M55" s="8">
        <f t="shared" si="29"/>
        <v>0.36363636363636376</v>
      </c>
      <c r="N55" s="2">
        <f t="shared" si="30"/>
        <v>0.36363636363636376</v>
      </c>
      <c r="P55" s="8">
        <f t="shared" si="31"/>
        <v>0.17377394345044528</v>
      </c>
      <c r="Q55" s="2">
        <f t="shared" si="32"/>
        <v>0.17377394345044528</v>
      </c>
      <c r="S55" s="8">
        <f t="shared" si="33"/>
        <v>0.28787076684992507</v>
      </c>
      <c r="T55" s="2">
        <f t="shared" si="34"/>
        <v>0.28787076684992507</v>
      </c>
      <c r="W55" s="8" t="e">
        <f t="shared" si="35"/>
        <v>#DIV/0!</v>
      </c>
      <c r="X55" s="2" t="e">
        <f t="shared" si="43"/>
        <v>#DIV/0!</v>
      </c>
      <c r="Y55" s="2" t="e">
        <f t="shared" si="55"/>
        <v>#DIV/0!</v>
      </c>
      <c r="AA55" s="8" t="e">
        <f t="shared" si="36"/>
        <v>#DIV/0!</v>
      </c>
      <c r="AB55" s="2" t="e">
        <f t="shared" si="45"/>
        <v>#DIV/0!</v>
      </c>
      <c r="AC55" s="2" t="e">
        <f t="shared" si="56"/>
        <v>#DIV/0!</v>
      </c>
      <c r="AE55" s="8" t="e">
        <f t="shared" si="37"/>
        <v>#DIV/0!</v>
      </c>
      <c r="AF55" s="2" t="e">
        <f t="shared" si="47"/>
        <v>#DIV/0!</v>
      </c>
      <c r="AG55" s="2" t="e">
        <f t="shared" si="57"/>
        <v>#DIV/0!</v>
      </c>
      <c r="AI55" s="8" t="e">
        <f t="shared" si="38"/>
        <v>#DIV/0!</v>
      </c>
      <c r="AJ55" s="2" t="e">
        <f t="shared" si="49"/>
        <v>#DIV/0!</v>
      </c>
      <c r="AK55" s="2" t="e">
        <f t="shared" si="50"/>
        <v>#DIV/0!</v>
      </c>
      <c r="AN55" s="8" t="e">
        <f t="shared" si="39"/>
        <v>#DIV/0!</v>
      </c>
      <c r="AO55" s="2" t="e">
        <f t="shared" si="51"/>
        <v>#DIV/0!</v>
      </c>
      <c r="AP55" s="2" t="e">
        <f t="shared" si="58"/>
        <v>#DIV/0!</v>
      </c>
      <c r="AS55" s="8" t="e">
        <f t="shared" si="40"/>
        <v>#DIV/0!</v>
      </c>
      <c r="AT55" s="2" t="e">
        <f t="shared" si="53"/>
        <v>#DIV/0!</v>
      </c>
      <c r="AU55" s="2" t="e">
        <f t="shared" si="54"/>
        <v>#DIV/0!</v>
      </c>
    </row>
    <row r="56" spans="1:47" x14ac:dyDescent="0.2">
      <c r="A56" s="2">
        <f t="shared" si="41"/>
        <v>1.8333333333333326</v>
      </c>
      <c r="B56" s="2">
        <f t="shared" si="42"/>
        <v>0.15987974607969402</v>
      </c>
      <c r="C56" s="2">
        <f t="shared" si="22"/>
        <v>0.15987974607969402</v>
      </c>
      <c r="D56" s="8">
        <f t="shared" si="23"/>
        <v>0.15987974607969402</v>
      </c>
      <c r="E56" s="2">
        <f t="shared" si="24"/>
        <v>0.15987974607969402</v>
      </c>
      <c r="G56" s="8" t="e">
        <f t="shared" si="25"/>
        <v>#DIV/0!</v>
      </c>
      <c r="H56" s="2" t="e">
        <f t="shared" si="26"/>
        <v>#DIV/0!</v>
      </c>
      <c r="J56" s="8">
        <f t="shared" si="27"/>
        <v>0.27221228880193415</v>
      </c>
      <c r="K56" s="2">
        <f t="shared" si="28"/>
        <v>0.27221228880193415</v>
      </c>
      <c r="M56" s="8">
        <f t="shared" si="29"/>
        <v>0.35294117647058831</v>
      </c>
      <c r="N56" s="2">
        <f t="shared" si="30"/>
        <v>0.35294117647058831</v>
      </c>
      <c r="P56" s="8">
        <f t="shared" si="31"/>
        <v>0.15987974607969402</v>
      </c>
      <c r="Q56" s="2">
        <f t="shared" si="32"/>
        <v>0.15987974607969402</v>
      </c>
      <c r="S56" s="8">
        <f t="shared" si="33"/>
        <v>0.27221228880193415</v>
      </c>
      <c r="T56" s="2">
        <f t="shared" si="34"/>
        <v>0.27221228880193415</v>
      </c>
      <c r="W56" s="8" t="e">
        <f t="shared" si="35"/>
        <v>#DIV/0!</v>
      </c>
      <c r="X56" s="2" t="e">
        <f t="shared" si="43"/>
        <v>#DIV/0!</v>
      </c>
      <c r="Y56" s="2" t="e">
        <f t="shared" si="55"/>
        <v>#DIV/0!</v>
      </c>
      <c r="AA56" s="8" t="e">
        <f t="shared" si="36"/>
        <v>#DIV/0!</v>
      </c>
      <c r="AB56" s="2" t="e">
        <f t="shared" si="45"/>
        <v>#DIV/0!</v>
      </c>
      <c r="AC56" s="2" t="e">
        <f t="shared" si="56"/>
        <v>#DIV/0!</v>
      </c>
      <c r="AE56" s="8" t="e">
        <f t="shared" si="37"/>
        <v>#DIV/0!</v>
      </c>
      <c r="AF56" s="2" t="e">
        <f t="shared" si="47"/>
        <v>#DIV/0!</v>
      </c>
      <c r="AG56" s="2" t="e">
        <f t="shared" si="57"/>
        <v>#DIV/0!</v>
      </c>
      <c r="AI56" s="8" t="e">
        <f t="shared" si="38"/>
        <v>#DIV/0!</v>
      </c>
      <c r="AJ56" s="2" t="e">
        <f t="shared" si="49"/>
        <v>#DIV/0!</v>
      </c>
      <c r="AK56" s="2" t="e">
        <f t="shared" si="50"/>
        <v>#DIV/0!</v>
      </c>
      <c r="AN56" s="8" t="e">
        <f t="shared" si="39"/>
        <v>#DIV/0!</v>
      </c>
      <c r="AO56" s="2" t="e">
        <f t="shared" si="51"/>
        <v>#DIV/0!</v>
      </c>
      <c r="AP56" s="2" t="e">
        <f t="shared" si="58"/>
        <v>#DIV/0!</v>
      </c>
      <c r="AS56" s="8" t="e">
        <f t="shared" si="40"/>
        <v>#DIV/0!</v>
      </c>
      <c r="AT56" s="2" t="e">
        <f t="shared" si="53"/>
        <v>#DIV/0!</v>
      </c>
      <c r="AU56" s="2" t="e">
        <f t="shared" si="54"/>
        <v>#DIV/0!</v>
      </c>
    </row>
    <row r="57" spans="1:47" x14ac:dyDescent="0.2">
      <c r="A57" s="2">
        <f t="shared" si="41"/>
        <v>1.9166666666666659</v>
      </c>
      <c r="B57" s="2">
        <f t="shared" si="42"/>
        <v>0.14709646739297694</v>
      </c>
      <c r="C57" s="2">
        <f t="shared" si="22"/>
        <v>0.14709646739297694</v>
      </c>
      <c r="D57" s="8">
        <f t="shared" si="23"/>
        <v>0.14709646739297694</v>
      </c>
      <c r="E57" s="2">
        <f t="shared" si="24"/>
        <v>0.14709646739297694</v>
      </c>
      <c r="G57" s="8" t="e">
        <f t="shared" si="25"/>
        <v>#DIV/0!</v>
      </c>
      <c r="H57" s="2" t="e">
        <f t="shared" si="26"/>
        <v>#DIV/0!</v>
      </c>
      <c r="J57" s="8">
        <f t="shared" si="27"/>
        <v>0.25765637942693465</v>
      </c>
      <c r="K57" s="2">
        <f t="shared" si="28"/>
        <v>0.25765637942693465</v>
      </c>
      <c r="M57" s="8">
        <f t="shared" si="29"/>
        <v>0.34285714285714286</v>
      </c>
      <c r="N57" s="2">
        <f t="shared" si="30"/>
        <v>0.34285714285714286</v>
      </c>
      <c r="P57" s="8">
        <f t="shared" si="31"/>
        <v>0.14709646739297688</v>
      </c>
      <c r="Q57" s="2">
        <f t="shared" si="32"/>
        <v>0.14709646739297688</v>
      </c>
      <c r="S57" s="8">
        <f t="shared" si="33"/>
        <v>0.25765637942693465</v>
      </c>
      <c r="T57" s="2">
        <f t="shared" si="34"/>
        <v>0.25765637942693465</v>
      </c>
      <c r="W57" s="8" t="e">
        <f t="shared" si="35"/>
        <v>#DIV/0!</v>
      </c>
      <c r="X57" s="2" t="e">
        <f t="shared" si="43"/>
        <v>#DIV/0!</v>
      </c>
      <c r="Y57" s="2" t="e">
        <f t="shared" si="55"/>
        <v>#DIV/0!</v>
      </c>
      <c r="AA57" s="8" t="e">
        <f t="shared" si="36"/>
        <v>#DIV/0!</v>
      </c>
      <c r="AB57" s="2" t="e">
        <f t="shared" si="45"/>
        <v>#DIV/0!</v>
      </c>
      <c r="AC57" s="2" t="e">
        <f t="shared" si="56"/>
        <v>#DIV/0!</v>
      </c>
      <c r="AE57" s="8" t="e">
        <f t="shared" si="37"/>
        <v>#DIV/0!</v>
      </c>
      <c r="AF57" s="2" t="e">
        <f t="shared" si="47"/>
        <v>#DIV/0!</v>
      </c>
      <c r="AG57" s="2" t="e">
        <f t="shared" si="57"/>
        <v>#DIV/0!</v>
      </c>
      <c r="AI57" s="8" t="e">
        <f t="shared" si="38"/>
        <v>#DIV/0!</v>
      </c>
      <c r="AJ57" s="2" t="e">
        <f t="shared" si="49"/>
        <v>#DIV/0!</v>
      </c>
      <c r="AK57" s="2" t="e">
        <f t="shared" si="50"/>
        <v>#DIV/0!</v>
      </c>
      <c r="AN57" s="8" t="e">
        <f t="shared" si="39"/>
        <v>#DIV/0!</v>
      </c>
      <c r="AO57" s="2" t="e">
        <f t="shared" si="51"/>
        <v>#DIV/0!</v>
      </c>
      <c r="AP57" s="2" t="e">
        <f t="shared" si="58"/>
        <v>#DIV/0!</v>
      </c>
      <c r="AS57" s="8" t="e">
        <f t="shared" si="40"/>
        <v>#DIV/0!</v>
      </c>
      <c r="AT57" s="2" t="e">
        <f t="shared" si="53"/>
        <v>#DIV/0!</v>
      </c>
      <c r="AU57" s="2" t="e">
        <f t="shared" si="54"/>
        <v>#DIV/0!</v>
      </c>
    </row>
    <row r="58" spans="1:47" x14ac:dyDescent="0.2">
      <c r="A58" s="2">
        <f t="shared" si="41"/>
        <v>1.9999999999999991</v>
      </c>
      <c r="B58" s="2">
        <f t="shared" si="42"/>
        <v>0.13533528323661281</v>
      </c>
      <c r="C58" s="2">
        <f t="shared" si="22"/>
        <v>0.13533528323661281</v>
      </c>
      <c r="D58" s="8">
        <f t="shared" si="23"/>
        <v>0.13533528323661281</v>
      </c>
      <c r="E58" s="2">
        <f t="shared" si="24"/>
        <v>0.13533528323661281</v>
      </c>
      <c r="G58" s="8" t="e">
        <f t="shared" si="25"/>
        <v>#DIV/0!</v>
      </c>
      <c r="H58" s="2" t="e">
        <f t="shared" si="26"/>
        <v>#DIV/0!</v>
      </c>
      <c r="J58" s="8">
        <f t="shared" si="27"/>
        <v>0.24410859578558286</v>
      </c>
      <c r="K58" s="2">
        <f t="shared" si="28"/>
        <v>0.24410859578558286</v>
      </c>
      <c r="M58" s="8">
        <f t="shared" si="29"/>
        <v>0.33333333333333348</v>
      </c>
      <c r="N58" s="2">
        <f t="shared" si="30"/>
        <v>0.33333333333333348</v>
      </c>
      <c r="P58" s="8">
        <f t="shared" si="31"/>
        <v>0.13533528323661281</v>
      </c>
      <c r="Q58" s="2">
        <f t="shared" si="32"/>
        <v>0.13533528323661281</v>
      </c>
      <c r="S58" s="8">
        <f t="shared" si="33"/>
        <v>0.24410859578558286</v>
      </c>
      <c r="T58" s="2">
        <f t="shared" si="34"/>
        <v>0.24410859578558286</v>
      </c>
      <c r="W58" s="8" t="e">
        <f t="shared" si="35"/>
        <v>#DIV/0!</v>
      </c>
      <c r="X58" s="2" t="e">
        <f t="shared" si="43"/>
        <v>#DIV/0!</v>
      </c>
      <c r="Y58" s="2" t="e">
        <f t="shared" si="55"/>
        <v>#DIV/0!</v>
      </c>
      <c r="AA58" s="8" t="e">
        <f t="shared" si="36"/>
        <v>#DIV/0!</v>
      </c>
      <c r="AB58" s="2" t="e">
        <f t="shared" si="45"/>
        <v>#DIV/0!</v>
      </c>
      <c r="AC58" s="2" t="e">
        <f t="shared" si="56"/>
        <v>#DIV/0!</v>
      </c>
      <c r="AE58" s="8" t="e">
        <f t="shared" si="37"/>
        <v>#DIV/0!</v>
      </c>
      <c r="AF58" s="2" t="e">
        <f t="shared" si="47"/>
        <v>#DIV/0!</v>
      </c>
      <c r="AG58" s="2" t="e">
        <f t="shared" si="57"/>
        <v>#DIV/0!</v>
      </c>
      <c r="AI58" s="8" t="e">
        <f t="shared" si="38"/>
        <v>#DIV/0!</v>
      </c>
      <c r="AJ58" s="2" t="e">
        <f t="shared" si="49"/>
        <v>#DIV/0!</v>
      </c>
      <c r="AK58" s="2" t="e">
        <f t="shared" si="50"/>
        <v>#DIV/0!</v>
      </c>
      <c r="AN58" s="8" t="e">
        <f t="shared" si="39"/>
        <v>#DIV/0!</v>
      </c>
      <c r="AO58" s="2" t="e">
        <f t="shared" si="51"/>
        <v>#DIV/0!</v>
      </c>
      <c r="AP58" s="2" t="e">
        <f t="shared" si="58"/>
        <v>#DIV/0!</v>
      </c>
      <c r="AS58" s="8" t="e">
        <f t="shared" si="40"/>
        <v>#DIV/0!</v>
      </c>
      <c r="AT58" s="2" t="e">
        <f t="shared" si="53"/>
        <v>#DIV/0!</v>
      </c>
      <c r="AU58" s="2" t="e">
        <f t="shared" si="54"/>
        <v>#DIV/0!</v>
      </c>
    </row>
    <row r="59" spans="1:47" x14ac:dyDescent="0.2">
      <c r="A59" s="2">
        <f t="shared" si="41"/>
        <v>2.0833333333333326</v>
      </c>
      <c r="B59" s="2">
        <f t="shared" si="42"/>
        <v>0.12451447144412307</v>
      </c>
      <c r="C59" s="2">
        <f t="shared" si="22"/>
        <v>0.12451447144412307</v>
      </c>
      <c r="D59" s="8">
        <f t="shared" si="23"/>
        <v>0.12451447144412307</v>
      </c>
      <c r="E59" s="2">
        <f t="shared" si="24"/>
        <v>0.12451447144412307</v>
      </c>
      <c r="G59" s="8" t="e">
        <f t="shared" si="25"/>
        <v>#DIV/0!</v>
      </c>
      <c r="H59" s="2" t="e">
        <f t="shared" si="26"/>
        <v>#DIV/0!</v>
      </c>
      <c r="J59" s="8">
        <f t="shared" si="27"/>
        <v>0.23148376254423575</v>
      </c>
      <c r="K59" s="2">
        <f t="shared" si="28"/>
        <v>0.23148376254423575</v>
      </c>
      <c r="M59" s="8">
        <f t="shared" si="29"/>
        <v>0.32432432432432445</v>
      </c>
      <c r="N59" s="2">
        <f t="shared" si="30"/>
        <v>0.32432432432432445</v>
      </c>
      <c r="P59" s="8">
        <f t="shared" si="31"/>
        <v>0.12451447144412309</v>
      </c>
      <c r="Q59" s="2">
        <f t="shared" si="32"/>
        <v>0.12451447144412309</v>
      </c>
      <c r="S59" s="8">
        <f t="shared" si="33"/>
        <v>0.23148376254423575</v>
      </c>
      <c r="T59" s="2">
        <f t="shared" si="34"/>
        <v>0.23148376254423575</v>
      </c>
      <c r="W59" s="8" t="e">
        <f t="shared" si="35"/>
        <v>#DIV/0!</v>
      </c>
      <c r="X59" s="2" t="e">
        <f t="shared" si="43"/>
        <v>#DIV/0!</v>
      </c>
      <c r="Y59" s="2" t="e">
        <f t="shared" si="55"/>
        <v>#DIV/0!</v>
      </c>
      <c r="AA59" s="8" t="e">
        <f t="shared" si="36"/>
        <v>#DIV/0!</v>
      </c>
      <c r="AB59" s="2" t="e">
        <f t="shared" si="45"/>
        <v>#DIV/0!</v>
      </c>
      <c r="AC59" s="2" t="e">
        <f t="shared" si="56"/>
        <v>#DIV/0!</v>
      </c>
      <c r="AE59" s="8" t="e">
        <f t="shared" si="37"/>
        <v>#DIV/0!</v>
      </c>
      <c r="AF59" s="2" t="e">
        <f t="shared" si="47"/>
        <v>#DIV/0!</v>
      </c>
      <c r="AG59" s="2" t="e">
        <f t="shared" si="57"/>
        <v>#DIV/0!</v>
      </c>
      <c r="AI59" s="8" t="e">
        <f t="shared" si="38"/>
        <v>#DIV/0!</v>
      </c>
      <c r="AJ59" s="2" t="e">
        <f t="shared" si="49"/>
        <v>#DIV/0!</v>
      </c>
      <c r="AK59" s="2" t="e">
        <f t="shared" si="50"/>
        <v>#DIV/0!</v>
      </c>
      <c r="AN59" s="8" t="e">
        <f t="shared" si="39"/>
        <v>#DIV/0!</v>
      </c>
      <c r="AO59" s="2" t="e">
        <f t="shared" si="51"/>
        <v>#DIV/0!</v>
      </c>
      <c r="AP59" s="2" t="e">
        <f t="shared" si="58"/>
        <v>#DIV/0!</v>
      </c>
      <c r="AS59" s="8" t="e">
        <f t="shared" si="40"/>
        <v>#DIV/0!</v>
      </c>
      <c r="AT59" s="2" t="e">
        <f t="shared" si="53"/>
        <v>#DIV/0!</v>
      </c>
      <c r="AU59" s="2" t="e">
        <f t="shared" si="54"/>
        <v>#DIV/0!</v>
      </c>
    </row>
    <row r="60" spans="1:47" x14ac:dyDescent="0.2">
      <c r="A60" s="2">
        <f t="shared" si="41"/>
        <v>2.1666666666666661</v>
      </c>
      <c r="B60" s="2">
        <f t="shared" si="42"/>
        <v>0.11455884399268779</v>
      </c>
      <c r="C60" s="2">
        <f t="shared" si="22"/>
        <v>0.11455884399268779</v>
      </c>
      <c r="D60" s="8">
        <f t="shared" si="23"/>
        <v>0.11455884399268779</v>
      </c>
      <c r="E60" s="2">
        <f t="shared" si="24"/>
        <v>0.11455884399268779</v>
      </c>
      <c r="G60" s="8" t="e">
        <f t="shared" si="25"/>
        <v>#DIV/0!</v>
      </c>
      <c r="H60" s="2" t="e">
        <f t="shared" si="26"/>
        <v>#DIV/0!</v>
      </c>
      <c r="J60" s="8">
        <f t="shared" si="27"/>
        <v>0.21970500479146426</v>
      </c>
      <c r="K60" s="2">
        <f t="shared" si="28"/>
        <v>0.21970500479146426</v>
      </c>
      <c r="M60" s="8">
        <f t="shared" si="29"/>
        <v>0.31578947368421062</v>
      </c>
      <c r="N60" s="2">
        <f t="shared" si="30"/>
        <v>0.31578947368421062</v>
      </c>
      <c r="P60" s="8">
        <f t="shared" si="31"/>
        <v>0.11455884399268779</v>
      </c>
      <c r="Q60" s="2">
        <f t="shared" si="32"/>
        <v>0.11455884399268779</v>
      </c>
      <c r="S60" s="8">
        <f t="shared" si="33"/>
        <v>0.21970500479146426</v>
      </c>
      <c r="T60" s="2">
        <f t="shared" si="34"/>
        <v>0.21970500479146426</v>
      </c>
      <c r="W60" s="8" t="e">
        <f t="shared" si="35"/>
        <v>#DIV/0!</v>
      </c>
      <c r="X60" s="2" t="e">
        <f t="shared" si="43"/>
        <v>#DIV/0!</v>
      </c>
      <c r="Y60" s="2" t="e">
        <f t="shared" si="55"/>
        <v>#DIV/0!</v>
      </c>
      <c r="AA60" s="8" t="e">
        <f t="shared" si="36"/>
        <v>#DIV/0!</v>
      </c>
      <c r="AB60" s="2" t="e">
        <f t="shared" si="45"/>
        <v>#DIV/0!</v>
      </c>
      <c r="AC60" s="2" t="e">
        <f t="shared" si="56"/>
        <v>#DIV/0!</v>
      </c>
      <c r="AE60" s="8" t="e">
        <f t="shared" si="37"/>
        <v>#DIV/0!</v>
      </c>
      <c r="AF60" s="2" t="e">
        <f t="shared" si="47"/>
        <v>#DIV/0!</v>
      </c>
      <c r="AG60" s="2" t="e">
        <f t="shared" si="57"/>
        <v>#DIV/0!</v>
      </c>
      <c r="AI60" s="8" t="e">
        <f t="shared" si="38"/>
        <v>#DIV/0!</v>
      </c>
      <c r="AJ60" s="2" t="e">
        <f t="shared" si="49"/>
        <v>#DIV/0!</v>
      </c>
      <c r="AK60" s="2" t="e">
        <f t="shared" si="50"/>
        <v>#DIV/0!</v>
      </c>
      <c r="AN60" s="8" t="e">
        <f t="shared" si="39"/>
        <v>#DIV/0!</v>
      </c>
      <c r="AO60" s="2" t="e">
        <f t="shared" si="51"/>
        <v>#DIV/0!</v>
      </c>
      <c r="AP60" s="2" t="e">
        <f t="shared" si="58"/>
        <v>#DIV/0!</v>
      </c>
      <c r="AS60" s="8" t="e">
        <f t="shared" si="40"/>
        <v>#DIV/0!</v>
      </c>
      <c r="AT60" s="2" t="e">
        <f t="shared" si="53"/>
        <v>#DIV/0!</v>
      </c>
      <c r="AU60" s="2" t="e">
        <f t="shared" si="54"/>
        <v>#DIV/0!</v>
      </c>
    </row>
    <row r="61" spans="1:47" x14ac:dyDescent="0.2">
      <c r="A61" s="2">
        <f t="shared" si="41"/>
        <v>2.2499999999999996</v>
      </c>
      <c r="B61" s="2">
        <f t="shared" si="42"/>
        <v>0.10539922456186439</v>
      </c>
      <c r="C61" s="2">
        <f t="shared" si="22"/>
        <v>0.10539922456186439</v>
      </c>
      <c r="D61" s="8">
        <f t="shared" si="23"/>
        <v>0.10539922456186439</v>
      </c>
      <c r="E61" s="2">
        <f t="shared" si="24"/>
        <v>0.10539922456186439</v>
      </c>
      <c r="G61" s="8" t="e">
        <f t="shared" si="25"/>
        <v>#DIV/0!</v>
      </c>
      <c r="H61" s="2" t="e">
        <f t="shared" si="26"/>
        <v>#DIV/0!</v>
      </c>
      <c r="J61" s="8">
        <f t="shared" si="27"/>
        <v>0.20870287338447135</v>
      </c>
      <c r="K61" s="2">
        <f t="shared" si="28"/>
        <v>0.20870287338447135</v>
      </c>
      <c r="M61" s="8">
        <f t="shared" si="29"/>
        <v>0.30769230769230782</v>
      </c>
      <c r="N61" s="2">
        <f t="shared" si="30"/>
        <v>0.30769230769230782</v>
      </c>
      <c r="P61" s="8">
        <f t="shared" si="31"/>
        <v>0.10539922456186435</v>
      </c>
      <c r="Q61" s="2">
        <f t="shared" si="32"/>
        <v>0.10539922456186435</v>
      </c>
      <c r="S61" s="8">
        <f t="shared" si="33"/>
        <v>0.20870287338447135</v>
      </c>
      <c r="T61" s="2">
        <f t="shared" si="34"/>
        <v>0.20870287338447135</v>
      </c>
      <c r="W61" s="8" t="e">
        <f t="shared" si="35"/>
        <v>#DIV/0!</v>
      </c>
      <c r="X61" s="2" t="e">
        <f t="shared" si="43"/>
        <v>#DIV/0!</v>
      </c>
      <c r="Y61" s="2" t="e">
        <f t="shared" si="55"/>
        <v>#DIV/0!</v>
      </c>
      <c r="AA61" s="8" t="e">
        <f t="shared" si="36"/>
        <v>#DIV/0!</v>
      </c>
      <c r="AB61" s="2" t="e">
        <f t="shared" si="45"/>
        <v>#DIV/0!</v>
      </c>
      <c r="AC61" s="2" t="e">
        <f t="shared" si="56"/>
        <v>#DIV/0!</v>
      </c>
      <c r="AE61" s="8" t="e">
        <f t="shared" si="37"/>
        <v>#DIV/0!</v>
      </c>
      <c r="AF61" s="2" t="e">
        <f t="shared" si="47"/>
        <v>#DIV/0!</v>
      </c>
      <c r="AG61" s="2" t="e">
        <f t="shared" si="57"/>
        <v>#DIV/0!</v>
      </c>
      <c r="AI61" s="8" t="e">
        <f t="shared" si="38"/>
        <v>#DIV/0!</v>
      </c>
      <c r="AJ61" s="2" t="e">
        <f t="shared" si="49"/>
        <v>#DIV/0!</v>
      </c>
      <c r="AK61" s="2" t="e">
        <f t="shared" si="50"/>
        <v>#DIV/0!</v>
      </c>
      <c r="AN61" s="8" t="e">
        <f t="shared" si="39"/>
        <v>#DIV/0!</v>
      </c>
      <c r="AO61" s="2" t="e">
        <f t="shared" si="51"/>
        <v>#DIV/0!</v>
      </c>
      <c r="AP61" s="2" t="e">
        <f t="shared" si="58"/>
        <v>#DIV/0!</v>
      </c>
      <c r="AS61" s="8" t="e">
        <f t="shared" si="40"/>
        <v>#DIV/0!</v>
      </c>
      <c r="AT61" s="2" t="e">
        <f t="shared" si="53"/>
        <v>#DIV/0!</v>
      </c>
      <c r="AU61" s="2" t="e">
        <f t="shared" si="54"/>
        <v>#DIV/0!</v>
      </c>
    </row>
    <row r="62" spans="1:47" x14ac:dyDescent="0.2">
      <c r="A62" s="2">
        <f t="shared" si="41"/>
        <v>2.333333333333333</v>
      </c>
      <c r="B62" s="2">
        <f t="shared" si="42"/>
        <v>9.6971967864405095E-2</v>
      </c>
      <c r="C62" s="2">
        <f t="shared" si="22"/>
        <v>9.6971967864405095E-2</v>
      </c>
      <c r="D62" s="8">
        <f t="shared" si="23"/>
        <v>9.6971967864405095E-2</v>
      </c>
      <c r="E62" s="2">
        <f t="shared" si="24"/>
        <v>9.6971967864405095E-2</v>
      </c>
      <c r="G62" s="8" t="e">
        <f t="shared" si="25"/>
        <v>#DIV/0!</v>
      </c>
      <c r="H62" s="2" t="e">
        <f t="shared" si="26"/>
        <v>#DIV/0!</v>
      </c>
      <c r="J62" s="8">
        <f t="shared" si="27"/>
        <v>0.19841455947264197</v>
      </c>
      <c r="K62" s="2">
        <f t="shared" si="28"/>
        <v>0.19841455947264197</v>
      </c>
      <c r="M62" s="8">
        <f t="shared" si="29"/>
        <v>0.30000000000000004</v>
      </c>
      <c r="N62" s="2">
        <f t="shared" si="30"/>
        <v>0.30000000000000004</v>
      </c>
      <c r="P62" s="8">
        <f t="shared" si="31"/>
        <v>9.6971967864405095E-2</v>
      </c>
      <c r="Q62" s="2">
        <f t="shared" si="32"/>
        <v>9.6971967864405095E-2</v>
      </c>
      <c r="S62" s="8">
        <f t="shared" si="33"/>
        <v>0.19841455947264197</v>
      </c>
      <c r="T62" s="2">
        <f t="shared" si="34"/>
        <v>0.19841455947264197</v>
      </c>
      <c r="W62" s="8" t="e">
        <f t="shared" si="35"/>
        <v>#DIV/0!</v>
      </c>
      <c r="X62" s="2" t="e">
        <f t="shared" si="43"/>
        <v>#DIV/0!</v>
      </c>
      <c r="Y62" s="2" t="e">
        <f t="shared" si="55"/>
        <v>#DIV/0!</v>
      </c>
      <c r="AA62" s="8" t="e">
        <f t="shared" si="36"/>
        <v>#DIV/0!</v>
      </c>
      <c r="AB62" s="2" t="e">
        <f t="shared" si="45"/>
        <v>#DIV/0!</v>
      </c>
      <c r="AC62" s="2" t="e">
        <f t="shared" si="56"/>
        <v>#DIV/0!</v>
      </c>
      <c r="AE62" s="8" t="e">
        <f t="shared" si="37"/>
        <v>#DIV/0!</v>
      </c>
      <c r="AF62" s="2" t="e">
        <f t="shared" si="47"/>
        <v>#DIV/0!</v>
      </c>
      <c r="AG62" s="2" t="e">
        <f t="shared" si="57"/>
        <v>#DIV/0!</v>
      </c>
      <c r="AI62" s="8" t="e">
        <f t="shared" si="38"/>
        <v>#DIV/0!</v>
      </c>
      <c r="AJ62" s="2" t="e">
        <f t="shared" si="49"/>
        <v>#DIV/0!</v>
      </c>
      <c r="AK62" s="2" t="e">
        <f t="shared" si="50"/>
        <v>#DIV/0!</v>
      </c>
      <c r="AN62" s="8" t="e">
        <f t="shared" si="39"/>
        <v>#DIV/0!</v>
      </c>
      <c r="AO62" s="2" t="e">
        <f t="shared" si="51"/>
        <v>#DIV/0!</v>
      </c>
      <c r="AP62" s="2" t="e">
        <f t="shared" si="58"/>
        <v>#DIV/0!</v>
      </c>
      <c r="AS62" s="8" t="e">
        <f t="shared" si="40"/>
        <v>#DIV/0!</v>
      </c>
      <c r="AT62" s="2" t="e">
        <f t="shared" si="53"/>
        <v>#DIV/0!</v>
      </c>
      <c r="AU62" s="2" t="e">
        <f t="shared" si="54"/>
        <v>#DIV/0!</v>
      </c>
    </row>
    <row r="63" spans="1:47" x14ac:dyDescent="0.2">
      <c r="A63" s="2">
        <f t="shared" si="41"/>
        <v>2.4166666666666665</v>
      </c>
      <c r="B63" s="2">
        <f t="shared" si="42"/>
        <v>8.9218517409260109E-2</v>
      </c>
      <c r="C63" s="2">
        <f t="shared" si="22"/>
        <v>8.9218517409260109E-2</v>
      </c>
      <c r="D63" s="8">
        <f t="shared" si="23"/>
        <v>8.9218517409260109E-2</v>
      </c>
      <c r="E63" s="2">
        <f t="shared" si="24"/>
        <v>8.9218517409260109E-2</v>
      </c>
      <c r="G63" s="8" t="e">
        <f t="shared" si="25"/>
        <v>#DIV/0!</v>
      </c>
      <c r="H63" s="2" t="e">
        <f t="shared" si="26"/>
        <v>#DIV/0!</v>
      </c>
      <c r="J63" s="8">
        <f t="shared" si="27"/>
        <v>0.18878319237896202</v>
      </c>
      <c r="K63" s="2">
        <f t="shared" si="28"/>
        <v>0.18878319237896202</v>
      </c>
      <c r="M63" s="8">
        <f t="shared" si="29"/>
        <v>0.29268292682926822</v>
      </c>
      <c r="N63" s="2">
        <f t="shared" si="30"/>
        <v>0.29268292682926822</v>
      </c>
      <c r="P63" s="8">
        <f t="shared" si="31"/>
        <v>8.9218517409260123E-2</v>
      </c>
      <c r="Q63" s="2">
        <f t="shared" si="32"/>
        <v>8.9218517409260123E-2</v>
      </c>
      <c r="S63" s="8">
        <f t="shared" si="33"/>
        <v>0.18878319237896202</v>
      </c>
      <c r="T63" s="2">
        <f t="shared" si="34"/>
        <v>0.18878319237896202</v>
      </c>
      <c r="W63" s="8" t="e">
        <f t="shared" si="35"/>
        <v>#DIV/0!</v>
      </c>
      <c r="X63" s="2" t="e">
        <f t="shared" si="43"/>
        <v>#DIV/0!</v>
      </c>
      <c r="Y63" s="2" t="e">
        <f t="shared" si="55"/>
        <v>#DIV/0!</v>
      </c>
      <c r="AA63" s="8" t="e">
        <f t="shared" si="36"/>
        <v>#DIV/0!</v>
      </c>
      <c r="AB63" s="2" t="e">
        <f t="shared" si="45"/>
        <v>#DIV/0!</v>
      </c>
      <c r="AC63" s="2" t="e">
        <f t="shared" si="56"/>
        <v>#DIV/0!</v>
      </c>
      <c r="AE63" s="8" t="e">
        <f t="shared" si="37"/>
        <v>#DIV/0!</v>
      </c>
      <c r="AF63" s="2" t="e">
        <f t="shared" si="47"/>
        <v>#DIV/0!</v>
      </c>
      <c r="AG63" s="2" t="e">
        <f t="shared" si="57"/>
        <v>#DIV/0!</v>
      </c>
      <c r="AI63" s="8" t="e">
        <f t="shared" si="38"/>
        <v>#DIV/0!</v>
      </c>
      <c r="AJ63" s="2" t="e">
        <f t="shared" si="49"/>
        <v>#DIV/0!</v>
      </c>
      <c r="AK63" s="2" t="e">
        <f t="shared" si="50"/>
        <v>#DIV/0!</v>
      </c>
      <c r="AN63" s="8" t="e">
        <f t="shared" si="39"/>
        <v>#DIV/0!</v>
      </c>
      <c r="AO63" s="2" t="e">
        <f t="shared" si="51"/>
        <v>#DIV/0!</v>
      </c>
      <c r="AP63" s="2" t="e">
        <f t="shared" si="58"/>
        <v>#DIV/0!</v>
      </c>
      <c r="AS63" s="8" t="e">
        <f t="shared" si="40"/>
        <v>#DIV/0!</v>
      </c>
      <c r="AT63" s="2" t="e">
        <f t="shared" si="53"/>
        <v>#DIV/0!</v>
      </c>
      <c r="AU63" s="2" t="e">
        <f t="shared" si="54"/>
        <v>#DIV/0!</v>
      </c>
    </row>
    <row r="64" spans="1:47" x14ac:dyDescent="0.2">
      <c r="A64" s="2">
        <f t="shared" si="41"/>
        <v>2.5</v>
      </c>
      <c r="B64" s="2">
        <f t="shared" si="42"/>
        <v>8.20849986238988E-2</v>
      </c>
      <c r="C64" s="2">
        <f t="shared" si="22"/>
        <v>8.20849986238988E-2</v>
      </c>
      <c r="D64" s="8">
        <f t="shared" si="23"/>
        <v>8.20849986238988E-2</v>
      </c>
      <c r="E64" s="2">
        <f t="shared" si="24"/>
        <v>8.20849986238988E-2</v>
      </c>
      <c r="G64" s="8" t="e">
        <f t="shared" si="25"/>
        <v>#DIV/0!</v>
      </c>
      <c r="H64" s="2" t="e">
        <f t="shared" si="26"/>
        <v>#DIV/0!</v>
      </c>
      <c r="J64" s="8">
        <f t="shared" si="27"/>
        <v>0.17975721389578536</v>
      </c>
      <c r="K64" s="2">
        <f t="shared" si="28"/>
        <v>0.17975721389578536</v>
      </c>
      <c r="M64" s="8">
        <f t="shared" si="29"/>
        <v>0.2857142857142857</v>
      </c>
      <c r="N64" s="2">
        <f t="shared" si="30"/>
        <v>0.2857142857142857</v>
      </c>
      <c r="P64" s="8">
        <f t="shared" si="31"/>
        <v>8.2084998623898842E-2</v>
      </c>
      <c r="Q64" s="2">
        <f t="shared" si="32"/>
        <v>8.2084998623898842E-2</v>
      </c>
      <c r="S64" s="8">
        <f t="shared" si="33"/>
        <v>0.17975721389578536</v>
      </c>
      <c r="T64" s="2">
        <f t="shared" si="34"/>
        <v>0.17975721389578536</v>
      </c>
      <c r="W64" s="8" t="e">
        <f t="shared" si="35"/>
        <v>#DIV/0!</v>
      </c>
      <c r="X64" s="2" t="e">
        <f t="shared" si="43"/>
        <v>#DIV/0!</v>
      </c>
      <c r="Y64" s="2" t="e">
        <f t="shared" si="55"/>
        <v>#DIV/0!</v>
      </c>
      <c r="AA64" s="8" t="e">
        <f t="shared" si="36"/>
        <v>#DIV/0!</v>
      </c>
      <c r="AB64" s="2" t="e">
        <f t="shared" si="45"/>
        <v>#DIV/0!</v>
      </c>
      <c r="AC64" s="2" t="e">
        <f t="shared" si="56"/>
        <v>#DIV/0!</v>
      </c>
      <c r="AE64" s="8" t="e">
        <f t="shared" si="37"/>
        <v>#DIV/0!</v>
      </c>
      <c r="AF64" s="2" t="e">
        <f t="shared" si="47"/>
        <v>#DIV/0!</v>
      </c>
      <c r="AG64" s="2" t="e">
        <f t="shared" si="57"/>
        <v>#DIV/0!</v>
      </c>
      <c r="AI64" s="8" t="e">
        <f t="shared" si="38"/>
        <v>#DIV/0!</v>
      </c>
      <c r="AJ64" s="2" t="e">
        <f t="shared" si="49"/>
        <v>#DIV/0!</v>
      </c>
      <c r="AK64" s="2" t="e">
        <f t="shared" si="50"/>
        <v>#DIV/0!</v>
      </c>
      <c r="AN64" s="8" t="e">
        <f t="shared" si="39"/>
        <v>#DIV/0!</v>
      </c>
      <c r="AO64" s="2" t="e">
        <f t="shared" si="51"/>
        <v>#DIV/0!</v>
      </c>
      <c r="AP64" s="2" t="e">
        <f t="shared" si="58"/>
        <v>#DIV/0!</v>
      </c>
      <c r="AS64" s="8" t="e">
        <f t="shared" si="40"/>
        <v>#DIV/0!</v>
      </c>
      <c r="AT64" s="2" t="e">
        <f t="shared" si="53"/>
        <v>#DIV/0!</v>
      </c>
      <c r="AU64" s="2" t="e">
        <f t="shared" si="54"/>
        <v>#DIV/0!</v>
      </c>
    </row>
    <row r="65" spans="1:47" x14ac:dyDescent="0.2">
      <c r="A65" s="2">
        <f t="shared" si="41"/>
        <v>2.5833333333333335</v>
      </c>
      <c r="B65" s="2">
        <f t="shared" si="42"/>
        <v>7.5521844508773764E-2</v>
      </c>
      <c r="C65" s="2">
        <f t="shared" si="22"/>
        <v>7.5521844508773764E-2</v>
      </c>
      <c r="D65" s="8">
        <f t="shared" si="23"/>
        <v>7.5521844508773764E-2</v>
      </c>
      <c r="E65" s="2">
        <f t="shared" si="24"/>
        <v>7.5521844508773764E-2</v>
      </c>
      <c r="G65" s="8" t="e">
        <f t="shared" si="25"/>
        <v>#DIV/0!</v>
      </c>
      <c r="H65" s="2" t="e">
        <f t="shared" si="26"/>
        <v>#DIV/0!</v>
      </c>
      <c r="J65" s="8">
        <f t="shared" si="27"/>
        <v>0.17128982173014684</v>
      </c>
      <c r="K65" s="2">
        <f t="shared" si="28"/>
        <v>0.17128982173014684</v>
      </c>
      <c r="M65" s="8">
        <f t="shared" si="29"/>
        <v>0.27906976744186052</v>
      </c>
      <c r="N65" s="2">
        <f t="shared" si="30"/>
        <v>0.27906976744186052</v>
      </c>
      <c r="P65" s="8">
        <f t="shared" si="31"/>
        <v>7.552184450877375E-2</v>
      </c>
      <c r="Q65" s="2">
        <f t="shared" si="32"/>
        <v>7.552184450877375E-2</v>
      </c>
      <c r="S65" s="8">
        <f t="shared" si="33"/>
        <v>0.17128982173014684</v>
      </c>
      <c r="T65" s="2">
        <f t="shared" si="34"/>
        <v>0.17128982173014684</v>
      </c>
      <c r="W65" s="8" t="e">
        <f t="shared" si="35"/>
        <v>#DIV/0!</v>
      </c>
      <c r="X65" s="2" t="e">
        <f t="shared" si="43"/>
        <v>#DIV/0!</v>
      </c>
      <c r="Y65" s="2" t="e">
        <f t="shared" si="55"/>
        <v>#DIV/0!</v>
      </c>
      <c r="AA65" s="8" t="e">
        <f t="shared" si="36"/>
        <v>#DIV/0!</v>
      </c>
      <c r="AB65" s="2" t="e">
        <f t="shared" si="45"/>
        <v>#DIV/0!</v>
      </c>
      <c r="AC65" s="2" t="e">
        <f t="shared" si="56"/>
        <v>#DIV/0!</v>
      </c>
      <c r="AE65" s="8" t="e">
        <f t="shared" si="37"/>
        <v>#DIV/0!</v>
      </c>
      <c r="AF65" s="2" t="e">
        <f t="shared" si="47"/>
        <v>#DIV/0!</v>
      </c>
      <c r="AG65" s="2" t="e">
        <f t="shared" si="57"/>
        <v>#DIV/0!</v>
      </c>
      <c r="AI65" s="8" t="e">
        <f t="shared" si="38"/>
        <v>#DIV/0!</v>
      </c>
      <c r="AJ65" s="2" t="e">
        <f t="shared" si="49"/>
        <v>#DIV/0!</v>
      </c>
      <c r="AK65" s="2" t="e">
        <f t="shared" si="50"/>
        <v>#DIV/0!</v>
      </c>
      <c r="AN65" s="8" t="e">
        <f t="shared" si="39"/>
        <v>#DIV/0!</v>
      </c>
      <c r="AO65" s="2" t="e">
        <f t="shared" si="51"/>
        <v>#DIV/0!</v>
      </c>
      <c r="AP65" s="2" t="e">
        <f t="shared" si="58"/>
        <v>#DIV/0!</v>
      </c>
      <c r="AS65" s="8" t="e">
        <f t="shared" si="40"/>
        <v>#DIV/0!</v>
      </c>
      <c r="AT65" s="2" t="e">
        <f t="shared" si="53"/>
        <v>#DIV/0!</v>
      </c>
      <c r="AU65" s="2" t="e">
        <f t="shared" si="54"/>
        <v>#DIV/0!</v>
      </c>
    </row>
    <row r="66" spans="1:47" x14ac:dyDescent="0.2">
      <c r="A66" s="2">
        <f t="shared" si="41"/>
        <v>2.666666666666667</v>
      </c>
      <c r="B66" s="2">
        <f t="shared" si="42"/>
        <v>6.9483451222801515E-2</v>
      </c>
      <c r="C66" s="2">
        <f t="shared" si="22"/>
        <v>6.9483451222801515E-2</v>
      </c>
      <c r="D66" s="8">
        <f t="shared" si="23"/>
        <v>6.9483451222801515E-2</v>
      </c>
      <c r="E66" s="2">
        <f t="shared" si="24"/>
        <v>6.9483451222801515E-2</v>
      </c>
      <c r="G66" s="8" t="e">
        <f t="shared" si="25"/>
        <v>#DIV/0!</v>
      </c>
      <c r="H66" s="2" t="e">
        <f t="shared" si="26"/>
        <v>#DIV/0!</v>
      </c>
      <c r="J66" s="8">
        <f t="shared" si="27"/>
        <v>0.16333847497860055</v>
      </c>
      <c r="K66" s="2">
        <f t="shared" si="28"/>
        <v>0.16333847497860055</v>
      </c>
      <c r="M66" s="8">
        <f t="shared" si="29"/>
        <v>0.27272727272727271</v>
      </c>
      <c r="N66" s="2">
        <f t="shared" si="30"/>
        <v>0.27272727272727271</v>
      </c>
      <c r="P66" s="8">
        <f t="shared" si="31"/>
        <v>6.9483451222801529E-2</v>
      </c>
      <c r="Q66" s="2">
        <f t="shared" si="32"/>
        <v>6.9483451222801529E-2</v>
      </c>
      <c r="S66" s="8">
        <f t="shared" si="33"/>
        <v>0.16333847497860055</v>
      </c>
      <c r="T66" s="2">
        <f t="shared" si="34"/>
        <v>0.16333847497860055</v>
      </c>
      <c r="W66" s="8" t="e">
        <f t="shared" si="35"/>
        <v>#DIV/0!</v>
      </c>
      <c r="X66" s="2" t="e">
        <f t="shared" si="43"/>
        <v>#DIV/0!</v>
      </c>
      <c r="Y66" s="2" t="e">
        <f t="shared" si="55"/>
        <v>#DIV/0!</v>
      </c>
      <c r="AA66" s="8" t="e">
        <f t="shared" si="36"/>
        <v>#DIV/0!</v>
      </c>
      <c r="AB66" s="2" t="e">
        <f t="shared" si="45"/>
        <v>#DIV/0!</v>
      </c>
      <c r="AC66" s="2" t="e">
        <f t="shared" si="56"/>
        <v>#DIV/0!</v>
      </c>
      <c r="AE66" s="8" t="e">
        <f t="shared" si="37"/>
        <v>#DIV/0!</v>
      </c>
      <c r="AF66" s="2" t="e">
        <f t="shared" si="47"/>
        <v>#DIV/0!</v>
      </c>
      <c r="AG66" s="2" t="e">
        <f t="shared" si="57"/>
        <v>#DIV/0!</v>
      </c>
      <c r="AI66" s="8" t="e">
        <f t="shared" si="38"/>
        <v>#DIV/0!</v>
      </c>
      <c r="AJ66" s="2" t="e">
        <f t="shared" si="49"/>
        <v>#DIV/0!</v>
      </c>
      <c r="AK66" s="2" t="e">
        <f t="shared" si="50"/>
        <v>#DIV/0!</v>
      </c>
      <c r="AN66" s="8" t="e">
        <f t="shared" si="39"/>
        <v>#DIV/0!</v>
      </c>
      <c r="AO66" s="2" t="e">
        <f t="shared" si="51"/>
        <v>#DIV/0!</v>
      </c>
      <c r="AP66" s="2" t="e">
        <f t="shared" si="58"/>
        <v>#DIV/0!</v>
      </c>
      <c r="AS66" s="8" t="e">
        <f t="shared" si="40"/>
        <v>#DIV/0!</v>
      </c>
      <c r="AT66" s="2" t="e">
        <f t="shared" si="53"/>
        <v>#DIV/0!</v>
      </c>
      <c r="AU66" s="2" t="e">
        <f t="shared" si="54"/>
        <v>#DIV/0!</v>
      </c>
    </row>
    <row r="67" spans="1:47" x14ac:dyDescent="0.2">
      <c r="A67" s="2">
        <f t="shared" si="41"/>
        <v>2.7500000000000004</v>
      </c>
      <c r="B67" s="2">
        <f t="shared" si="42"/>
        <v>6.3927861206707542E-2</v>
      </c>
      <c r="C67" s="2">
        <f t="shared" ref="C67:C98" si="59">EXP(-$A67*$B$29*C$29)</f>
        <v>6.3927861206707542E-2</v>
      </c>
      <c r="D67" s="8">
        <f t="shared" ref="D67:D98" si="60">EXP(-(($A67*$E$29)^$D$29))</f>
        <v>6.3927861206707542E-2</v>
      </c>
      <c r="E67" s="2">
        <f t="shared" ref="E67:E98" si="61">EXP(-(($A67*$E$29*F$29)^$D$29))</f>
        <v>6.3927861206707542E-2</v>
      </c>
      <c r="G67" s="8" t="e">
        <f t="shared" ref="G67:G98" si="62">EXP(-(($H$29)/$G$29)*(EXP($G$29*$A67)-1))</f>
        <v>#DIV/0!</v>
      </c>
      <c r="H67" s="2" t="e">
        <f t="shared" ref="H67:H98" si="63">EXP(-(($H$29*I$29)/$G$29)*(EXP($G$29*$A67)-1))</f>
        <v>#DIV/0!</v>
      </c>
      <c r="J67" s="8">
        <f t="shared" ref="J67:J98" si="64">1-_xlfn.NORM.S.DIST((LN($A67)-$J$29)/$K$29,TRUE)</f>
        <v>0.15586445491256917</v>
      </c>
      <c r="K67" s="2">
        <f t="shared" ref="K67:K98" si="65">1-_xlfn.NORM.S.DIST((LN($A67)-$J$29-L$29)/$K$29,TRUE)</f>
        <v>0.15586445491256917</v>
      </c>
      <c r="M67" s="8">
        <f t="shared" ref="M67:M98" si="66">1-(1/(1+($A67/($N$29))^(-$M$29)))</f>
        <v>0.26666666666666661</v>
      </c>
      <c r="N67" s="2">
        <f t="shared" ref="N67:N98" si="67">1-(1/(1+($A67/($N$29*O$29))^(-$M$29)))</f>
        <v>0.26666666666666661</v>
      </c>
      <c r="P67" s="8">
        <f t="shared" ref="P67:P98" si="68">1-(_xlfn.GAMMA.DIST($Q$29*$A67,$P$29,1,TRUE)*EXP(GAMMALN($P$29)))/EXP(GAMMALN($P$29))</f>
        <v>6.392786120670757E-2</v>
      </c>
      <c r="Q67" s="2">
        <f t="shared" ref="Q67:Q98" si="69">1-(_xlfn.GAMMA.DIST($Q$29*R$29*$A67,$P$29,1,TRUE)*EXP(GAMMALN($P$29)))/EXP(GAMMALN($P$29))</f>
        <v>6.392786120670757E-2</v>
      </c>
      <c r="S67" s="8">
        <f t="shared" ref="S67:S98" si="70">IF(ABS($U$29)&lt;0.05,
        1-_xlfn.NORM.S.DIST((LN($A67)-$S$29)/$T$29,TRUE),
        IF(0=1-
            IF($U$29&gt;0,
                    _xlfn.GAMMA.DIST(EXP($U$29*((LN($A67)-$S$29)/$T$29))*($U$29^(-2)),($U$29^(-2)),1, TRUE),
                    1-_xlfn.GAMMA.DIST(EXP($U$29*((LN($A67)-$S$29)/$T$29))*($U$29^(-2)),($U$29^(-2)),1, TRUE)),
            0,
            EXP(LN(1-
                IF($U$29&gt;0,
                    _xlfn.GAMMA.DIST(EXP($U$29*((LN($A67)-$S$29)/$T$29))*($U$29^(-2)),($U$29^(-2)),1, TRUE),
                    1-_xlfn.GAMMA.DIST(EXP($U$29*((LN($A67)-$S$29)/$T$29))*($U$29^(-2)),($U$29^(-2)),1, TRUE))))))</f>
        <v>0.15586445491256917</v>
      </c>
      <c r="T67" s="2">
        <f t="shared" ref="T67:T98" si="71">IF(ABS($U$29)&lt;0.05,
        1-_xlfn.NORM.S.DIST((LN($A67)-($S$29+V$29))/$T$29,TRUE),
        IF(0=1-
            IF($U$29&gt;0,
                    _xlfn.GAMMA.DIST(EXP($U$29*((LN($A67)-($S$29+V$29))/$T$29))*($U$29^(-2)),($U$29^(-2)),1, TRUE),
                    1-_xlfn.GAMMA.DIST(EXP($U$29*((LN($A67)-($S$29+V$29))/$T$29))*($U$29^(-2)),($U$29^(-2)),1, TRUE)),
            0,
            EXP(LN(1-
                IF($U$29&gt;0,
                    _xlfn.GAMMA.DIST(EXP($U$29*((LN($A67)-($S$29+V$29))/$T$29))*($U$29^(-2)),($U$29^(-2)),1, TRUE),
                    1-_xlfn.GAMMA.DIST(EXP($U$29*((LN($A67)-($S$29+V$29))/$T$29))*($U$29^(-2)),($U$29^(-2)),1, TRUE))))))</f>
        <v>0.15586445491256917</v>
      </c>
      <c r="W67" s="8" t="e">
        <f t="shared" ref="W67:W98" si="72">W$29+
X$29*LN($A67)+
Y$29*(MAX(LN($A67)-X$9,0)^3-Y$31*MAX(LN($A67)-W$9,0)^3-(1-Y$31)*MAX(LN($A67)-Y$9,0)^3)</f>
        <v>#DIV/0!</v>
      </c>
      <c r="X67" s="2" t="e">
        <f t="shared" si="43"/>
        <v>#DIV/0!</v>
      </c>
      <c r="Y67" s="2" t="e">
        <f t="shared" si="55"/>
        <v>#DIV/0!</v>
      </c>
      <c r="AA67" s="8" t="e">
        <f t="shared" ref="AA67:AA98" si="73">AA$29+
AB$29*LN($A67)+
AC$29*(MAX(LN($A67)-AB$9,0)^3-AC$31*MAX(LN($A67)-AA$9,0)^3-(1-AC$31)*MAX(LN($A67)-AC$9,0)^3)</f>
        <v>#DIV/0!</v>
      </c>
      <c r="AB67" s="2" t="e">
        <f t="shared" si="45"/>
        <v>#DIV/0!</v>
      </c>
      <c r="AC67" s="2" t="e">
        <f t="shared" si="56"/>
        <v>#DIV/0!</v>
      </c>
      <c r="AE67" s="8" t="e">
        <f t="shared" ref="AE67:AE98" si="74">AE$29+
AF$29*LN($A67)+
AG$29*(MAX(LN($A67)-AF$9,0)^3-AG$31*MAX(LN($A67)-AE$9,0)^3-(1-AG$31)*MAX(LN($A67)-AG$9,0)^3)</f>
        <v>#DIV/0!</v>
      </c>
      <c r="AF67" s="2" t="e">
        <f t="shared" si="47"/>
        <v>#DIV/0!</v>
      </c>
      <c r="AG67" s="2" t="e">
        <f t="shared" si="57"/>
        <v>#DIV/0!</v>
      </c>
      <c r="AI67" s="8" t="e">
        <f t="shared" ref="AI67:AI98" si="75">AI$29+
AJ$29*LN($A67)+
AK$29*(MAX(LN($A67)-AJ$9,0)^3-AK$31*MAX(LN($A67)-AI$9,0)^3-(1-AK$31)*MAX(LN($A67)-AL$9,0)^3)+
AL$29*(MAX(LN($A67)-AK$9,0)^3-AL$31*MAX(LN($A67)-AI$9,0)^3-(1-AL$31)*MAX(LN($A67)-AL$9,0)^3)</f>
        <v>#DIV/0!</v>
      </c>
      <c r="AJ67" s="2" t="e">
        <f t="shared" si="49"/>
        <v>#DIV/0!</v>
      </c>
      <c r="AK67" s="2" t="e">
        <f t="shared" si="50"/>
        <v>#DIV/0!</v>
      </c>
      <c r="AN67" s="8" t="e">
        <f t="shared" ref="AN67:AN98" si="76">AN$29+
AO$29*LN($A67)+
AP$29*(MAX(LN($A67)-AO$9,0)^3-AP$31*MAX(LN($A67)-AN$9,0)^3-(1-AP$31)*MAX(LN($A67)-AQ$9,0)^3)+
AQ$29*(MAX(LN($A67)-AP$9,0)^3-AQ$31*MAX(LN($A67)-AN$9,0)^3-(1-AQ$31)*MAX(LN($A67)-AQ$9,0)^3)</f>
        <v>#DIV/0!</v>
      </c>
      <c r="AO67" s="2" t="e">
        <f t="shared" si="51"/>
        <v>#DIV/0!</v>
      </c>
      <c r="AP67" s="2" t="e">
        <f t="shared" si="58"/>
        <v>#DIV/0!</v>
      </c>
      <c r="AS67" s="8" t="e">
        <f t="shared" ref="AS67:AS98" si="77">AS$29+
AT$29*LN($A67)+
AU$29*(MAX(LN($A67)-AT$9,0)^3-AU$31*MAX(LN($A67)-AS$9,0)^3-(1-AU$31)*MAX(LN($A67)-AV$9,0)^3)+
AV$29*(MAX(LN($A67)-AU$9,0)^3-AV$31*MAX(LN($A67)-AS$9,0)^3-(1-AV$31)*MAX(LN($A67)-AV$9,0)^3)</f>
        <v>#DIV/0!</v>
      </c>
      <c r="AT67" s="2" t="e">
        <f t="shared" si="53"/>
        <v>#DIV/0!</v>
      </c>
      <c r="AU67" s="2" t="e">
        <f t="shared" si="54"/>
        <v>#DIV/0!</v>
      </c>
    </row>
    <row r="68" spans="1:47" x14ac:dyDescent="0.2">
      <c r="A68" s="2">
        <f t="shared" si="41"/>
        <v>2.8333333333333339</v>
      </c>
      <c r="B68" s="2">
        <f t="shared" si="42"/>
        <v>5.8816471642429854E-2</v>
      </c>
      <c r="C68" s="2">
        <f t="shared" si="59"/>
        <v>5.8816471642429854E-2</v>
      </c>
      <c r="D68" s="8">
        <f t="shared" si="60"/>
        <v>5.8816471642429854E-2</v>
      </c>
      <c r="E68" s="2">
        <f t="shared" si="61"/>
        <v>5.8816471642429854E-2</v>
      </c>
      <c r="G68" s="8" t="e">
        <f t="shared" si="62"/>
        <v>#DIV/0!</v>
      </c>
      <c r="H68" s="2" t="e">
        <f t="shared" si="63"/>
        <v>#DIV/0!</v>
      </c>
      <c r="J68" s="8">
        <f t="shared" si="64"/>
        <v>0.14883247488282902</v>
      </c>
      <c r="K68" s="2">
        <f t="shared" si="65"/>
        <v>0.14883247488282902</v>
      </c>
      <c r="M68" s="8">
        <f t="shared" si="66"/>
        <v>0.26086956521739124</v>
      </c>
      <c r="N68" s="2">
        <f t="shared" si="67"/>
        <v>0.26086956521739124</v>
      </c>
      <c r="P68" s="8">
        <f t="shared" si="68"/>
        <v>5.8816471642429868E-2</v>
      </c>
      <c r="Q68" s="2">
        <f t="shared" si="69"/>
        <v>5.8816471642429868E-2</v>
      </c>
      <c r="S68" s="8">
        <f t="shared" si="70"/>
        <v>0.14883247488282902</v>
      </c>
      <c r="T68" s="2">
        <f t="shared" si="71"/>
        <v>0.14883247488282902</v>
      </c>
      <c r="W68" s="8" t="e">
        <f t="shared" si="72"/>
        <v>#DIV/0!</v>
      </c>
      <c r="X68" s="2" t="e">
        <f t="shared" si="43"/>
        <v>#DIV/0!</v>
      </c>
      <c r="Y68" s="2" t="e">
        <f t="shared" ref="Y68:Y83" si="78">EXP(-EXP($W68+Z$29))</f>
        <v>#DIV/0!</v>
      </c>
      <c r="AA68" s="8" t="e">
        <f t="shared" si="73"/>
        <v>#DIV/0!</v>
      </c>
      <c r="AB68" s="2" t="e">
        <f t="shared" si="45"/>
        <v>#DIV/0!</v>
      </c>
      <c r="AC68" s="2" t="e">
        <f t="shared" ref="AC68:AC83" si="79">1-(EXP($AA68+AD$29)/(1 + EXP($AA68+AD$29)))</f>
        <v>#DIV/0!</v>
      </c>
      <c r="AE68" s="8" t="e">
        <f t="shared" si="74"/>
        <v>#DIV/0!</v>
      </c>
      <c r="AF68" s="2" t="e">
        <f t="shared" si="47"/>
        <v>#DIV/0!</v>
      </c>
      <c r="AG68" s="2" t="e">
        <f t="shared" ref="AG68:AG83" si="80">1-NORMSDIST($AE68+AH$29)</f>
        <v>#DIV/0!</v>
      </c>
      <c r="AI68" s="8" t="e">
        <f t="shared" si="75"/>
        <v>#DIV/0!</v>
      </c>
      <c r="AJ68" s="2" t="e">
        <f t="shared" si="49"/>
        <v>#DIV/0!</v>
      </c>
      <c r="AK68" s="2" t="e">
        <f t="shared" si="50"/>
        <v>#DIV/0!</v>
      </c>
      <c r="AN68" s="8" t="e">
        <f t="shared" si="76"/>
        <v>#DIV/0!</v>
      </c>
      <c r="AO68" s="2" t="e">
        <f t="shared" si="51"/>
        <v>#DIV/0!</v>
      </c>
      <c r="AP68" s="2" t="e">
        <f t="shared" si="58"/>
        <v>#DIV/0!</v>
      </c>
      <c r="AS68" s="8" t="e">
        <f t="shared" si="77"/>
        <v>#DIV/0!</v>
      </c>
      <c r="AT68" s="2" t="e">
        <f t="shared" si="53"/>
        <v>#DIV/0!</v>
      </c>
      <c r="AU68" s="2" t="e">
        <f t="shared" si="54"/>
        <v>#DIV/0!</v>
      </c>
    </row>
    <row r="69" spans="1:47" x14ac:dyDescent="0.2">
      <c r="A69" s="2">
        <f t="shared" si="41"/>
        <v>2.9166666666666674</v>
      </c>
      <c r="B69" s="2">
        <f t="shared" si="42"/>
        <v>5.411376622282156E-2</v>
      </c>
      <c r="C69" s="2">
        <f t="shared" si="59"/>
        <v>5.411376622282156E-2</v>
      </c>
      <c r="D69" s="8">
        <f t="shared" si="60"/>
        <v>5.411376622282156E-2</v>
      </c>
      <c r="E69" s="2">
        <f t="shared" si="61"/>
        <v>5.411376622282156E-2</v>
      </c>
      <c r="G69" s="8" t="e">
        <f t="shared" si="62"/>
        <v>#DIV/0!</v>
      </c>
      <c r="H69" s="2" t="e">
        <f t="shared" si="63"/>
        <v>#DIV/0!</v>
      </c>
      <c r="J69" s="8">
        <f t="shared" si="64"/>
        <v>0.14221033372714587</v>
      </c>
      <c r="K69" s="2">
        <f t="shared" si="65"/>
        <v>0.14221033372714587</v>
      </c>
      <c r="M69" s="8">
        <f t="shared" si="66"/>
        <v>0.25531914893617014</v>
      </c>
      <c r="N69" s="2">
        <f t="shared" si="67"/>
        <v>0.25531914893617014</v>
      </c>
      <c r="P69" s="8">
        <f t="shared" si="68"/>
        <v>5.4113766222821602E-2</v>
      </c>
      <c r="Q69" s="2">
        <f t="shared" si="69"/>
        <v>5.4113766222821602E-2</v>
      </c>
      <c r="S69" s="8">
        <f t="shared" si="70"/>
        <v>0.14221033372714587</v>
      </c>
      <c r="T69" s="2">
        <f t="shared" si="71"/>
        <v>0.14221033372714587</v>
      </c>
      <c r="W69" s="8" t="e">
        <f t="shared" si="72"/>
        <v>#DIV/0!</v>
      </c>
      <c r="X69" s="2" t="e">
        <f t="shared" si="43"/>
        <v>#DIV/0!</v>
      </c>
      <c r="Y69" s="2" t="e">
        <f t="shared" si="78"/>
        <v>#DIV/0!</v>
      </c>
      <c r="AA69" s="8" t="e">
        <f t="shared" si="73"/>
        <v>#DIV/0!</v>
      </c>
      <c r="AB69" s="2" t="e">
        <f t="shared" si="45"/>
        <v>#DIV/0!</v>
      </c>
      <c r="AC69" s="2" t="e">
        <f t="shared" si="79"/>
        <v>#DIV/0!</v>
      </c>
      <c r="AE69" s="8" t="e">
        <f t="shared" si="74"/>
        <v>#DIV/0!</v>
      </c>
      <c r="AF69" s="2" t="e">
        <f t="shared" si="47"/>
        <v>#DIV/0!</v>
      </c>
      <c r="AG69" s="2" t="e">
        <f t="shared" si="80"/>
        <v>#DIV/0!</v>
      </c>
      <c r="AI69" s="8" t="e">
        <f t="shared" si="75"/>
        <v>#DIV/0!</v>
      </c>
      <c r="AJ69" s="2" t="e">
        <f t="shared" si="49"/>
        <v>#DIV/0!</v>
      </c>
      <c r="AK69" s="2" t="e">
        <f t="shared" si="50"/>
        <v>#DIV/0!</v>
      </c>
      <c r="AN69" s="8" t="e">
        <f t="shared" si="76"/>
        <v>#DIV/0!</v>
      </c>
      <c r="AO69" s="2" t="e">
        <f t="shared" si="51"/>
        <v>#DIV/0!</v>
      </c>
      <c r="AP69" s="2" t="e">
        <f t="shared" si="58"/>
        <v>#DIV/0!</v>
      </c>
      <c r="AS69" s="8" t="e">
        <f t="shared" si="77"/>
        <v>#DIV/0!</v>
      </c>
      <c r="AT69" s="2" t="e">
        <f t="shared" si="53"/>
        <v>#DIV/0!</v>
      </c>
      <c r="AU69" s="2" t="e">
        <f t="shared" si="54"/>
        <v>#DIV/0!</v>
      </c>
    </row>
    <row r="70" spans="1:47" x14ac:dyDescent="0.2">
      <c r="A70" s="2">
        <f t="shared" si="41"/>
        <v>3.0000000000000009</v>
      </c>
      <c r="B70" s="2">
        <f t="shared" si="42"/>
        <v>4.9787068367863896E-2</v>
      </c>
      <c r="C70" s="2">
        <f t="shared" si="59"/>
        <v>4.9787068367863896E-2</v>
      </c>
      <c r="D70" s="8">
        <f t="shared" si="60"/>
        <v>4.9787068367863896E-2</v>
      </c>
      <c r="E70" s="2">
        <f t="shared" si="61"/>
        <v>4.9787068367863896E-2</v>
      </c>
      <c r="G70" s="8" t="e">
        <f t="shared" si="62"/>
        <v>#DIV/0!</v>
      </c>
      <c r="H70" s="2" t="e">
        <f t="shared" si="63"/>
        <v>#DIV/0!</v>
      </c>
      <c r="J70" s="8">
        <f t="shared" si="64"/>
        <v>0.13596860764142438</v>
      </c>
      <c r="K70" s="2">
        <f t="shared" si="65"/>
        <v>0.13596860764142438</v>
      </c>
      <c r="M70" s="8">
        <f t="shared" si="66"/>
        <v>0.25</v>
      </c>
      <c r="N70" s="2">
        <f t="shared" si="67"/>
        <v>0.25</v>
      </c>
      <c r="P70" s="8">
        <f t="shared" si="68"/>
        <v>4.978706836786384E-2</v>
      </c>
      <c r="Q70" s="2">
        <f t="shared" si="69"/>
        <v>4.978706836786384E-2</v>
      </c>
      <c r="S70" s="8">
        <f t="shared" si="70"/>
        <v>0.13596860764142438</v>
      </c>
      <c r="T70" s="2">
        <f t="shared" si="71"/>
        <v>0.13596860764142438</v>
      </c>
      <c r="W70" s="8" t="e">
        <f t="shared" si="72"/>
        <v>#DIV/0!</v>
      </c>
      <c r="X70" s="2" t="e">
        <f t="shared" si="43"/>
        <v>#DIV/0!</v>
      </c>
      <c r="Y70" s="2" t="e">
        <f t="shared" si="78"/>
        <v>#DIV/0!</v>
      </c>
      <c r="AA70" s="8" t="e">
        <f t="shared" si="73"/>
        <v>#DIV/0!</v>
      </c>
      <c r="AB70" s="2" t="e">
        <f t="shared" si="45"/>
        <v>#DIV/0!</v>
      </c>
      <c r="AC70" s="2" t="e">
        <f t="shared" si="79"/>
        <v>#DIV/0!</v>
      </c>
      <c r="AE70" s="8" t="e">
        <f t="shared" si="74"/>
        <v>#DIV/0!</v>
      </c>
      <c r="AF70" s="2" t="e">
        <f t="shared" si="47"/>
        <v>#DIV/0!</v>
      </c>
      <c r="AG70" s="2" t="e">
        <f t="shared" si="80"/>
        <v>#DIV/0!</v>
      </c>
      <c r="AI70" s="8" t="e">
        <f t="shared" si="75"/>
        <v>#DIV/0!</v>
      </c>
      <c r="AJ70" s="2" t="e">
        <f t="shared" si="49"/>
        <v>#DIV/0!</v>
      </c>
      <c r="AK70" s="2" t="e">
        <f t="shared" si="50"/>
        <v>#DIV/0!</v>
      </c>
      <c r="AN70" s="8" t="e">
        <f t="shared" si="76"/>
        <v>#DIV/0!</v>
      </c>
      <c r="AO70" s="2" t="e">
        <f t="shared" si="51"/>
        <v>#DIV/0!</v>
      </c>
      <c r="AP70" s="2" t="e">
        <f t="shared" si="58"/>
        <v>#DIV/0!</v>
      </c>
      <c r="AS70" s="8" t="e">
        <f t="shared" si="77"/>
        <v>#DIV/0!</v>
      </c>
      <c r="AT70" s="2" t="e">
        <f t="shared" si="53"/>
        <v>#DIV/0!</v>
      </c>
      <c r="AU70" s="2" t="e">
        <f t="shared" si="54"/>
        <v>#DIV/0!</v>
      </c>
    </row>
    <row r="71" spans="1:47" x14ac:dyDescent="0.2">
      <c r="A71" s="2">
        <f t="shared" si="41"/>
        <v>3.0833333333333344</v>
      </c>
      <c r="B71" s="2">
        <f t="shared" si="42"/>
        <v>4.5806314172621432E-2</v>
      </c>
      <c r="C71" s="2">
        <f t="shared" si="59"/>
        <v>4.5806314172621432E-2</v>
      </c>
      <c r="D71" s="8">
        <f t="shared" si="60"/>
        <v>4.5806314172621432E-2</v>
      </c>
      <c r="E71" s="2">
        <f t="shared" si="61"/>
        <v>4.5806314172621432E-2</v>
      </c>
      <c r="G71" s="8" t="e">
        <f t="shared" si="62"/>
        <v>#DIV/0!</v>
      </c>
      <c r="H71" s="2" t="e">
        <f t="shared" si="63"/>
        <v>#DIV/0!</v>
      </c>
      <c r="J71" s="8">
        <f t="shared" si="64"/>
        <v>0.13008037602547573</v>
      </c>
      <c r="K71" s="2">
        <f t="shared" si="65"/>
        <v>0.13008037602547573</v>
      </c>
      <c r="M71" s="8">
        <f t="shared" si="66"/>
        <v>0.24489795918367341</v>
      </c>
      <c r="N71" s="2">
        <f t="shared" si="67"/>
        <v>0.24489795918367341</v>
      </c>
      <c r="P71" s="8">
        <f t="shared" si="68"/>
        <v>4.5806314172621487E-2</v>
      </c>
      <c r="Q71" s="2">
        <f t="shared" si="69"/>
        <v>4.5806314172621487E-2</v>
      </c>
      <c r="S71" s="8">
        <f t="shared" si="70"/>
        <v>0.13008037602547573</v>
      </c>
      <c r="T71" s="2">
        <f t="shared" si="71"/>
        <v>0.13008037602547573</v>
      </c>
      <c r="W71" s="8" t="e">
        <f t="shared" si="72"/>
        <v>#DIV/0!</v>
      </c>
      <c r="X71" s="2" t="e">
        <f t="shared" si="43"/>
        <v>#DIV/0!</v>
      </c>
      <c r="Y71" s="2" t="e">
        <f t="shared" si="78"/>
        <v>#DIV/0!</v>
      </c>
      <c r="AA71" s="8" t="e">
        <f t="shared" si="73"/>
        <v>#DIV/0!</v>
      </c>
      <c r="AB71" s="2" t="e">
        <f t="shared" si="45"/>
        <v>#DIV/0!</v>
      </c>
      <c r="AC71" s="2" t="e">
        <f t="shared" si="79"/>
        <v>#DIV/0!</v>
      </c>
      <c r="AE71" s="8" t="e">
        <f t="shared" si="74"/>
        <v>#DIV/0!</v>
      </c>
      <c r="AF71" s="2" t="e">
        <f t="shared" si="47"/>
        <v>#DIV/0!</v>
      </c>
      <c r="AG71" s="2" t="e">
        <f t="shared" si="80"/>
        <v>#DIV/0!</v>
      </c>
      <c r="AI71" s="8" t="e">
        <f t="shared" si="75"/>
        <v>#DIV/0!</v>
      </c>
      <c r="AJ71" s="2" t="e">
        <f t="shared" si="49"/>
        <v>#DIV/0!</v>
      </c>
      <c r="AK71" s="2" t="e">
        <f t="shared" si="50"/>
        <v>#DIV/0!</v>
      </c>
      <c r="AN71" s="8" t="e">
        <f t="shared" si="76"/>
        <v>#DIV/0!</v>
      </c>
      <c r="AO71" s="2" t="e">
        <f t="shared" si="51"/>
        <v>#DIV/0!</v>
      </c>
      <c r="AP71" s="2" t="e">
        <f t="shared" si="58"/>
        <v>#DIV/0!</v>
      </c>
      <c r="AS71" s="8" t="e">
        <f t="shared" si="77"/>
        <v>#DIV/0!</v>
      </c>
      <c r="AT71" s="2" t="e">
        <f t="shared" si="53"/>
        <v>#DIV/0!</v>
      </c>
      <c r="AU71" s="2" t="e">
        <f t="shared" si="54"/>
        <v>#DIV/0!</v>
      </c>
    </row>
    <row r="72" spans="1:47" x14ac:dyDescent="0.2">
      <c r="A72" s="2">
        <f t="shared" si="41"/>
        <v>3.1666666666666679</v>
      </c>
      <c r="B72" s="2">
        <f t="shared" si="42"/>
        <v>4.2143843509276351E-2</v>
      </c>
      <c r="C72" s="2">
        <f t="shared" si="59"/>
        <v>4.2143843509276351E-2</v>
      </c>
      <c r="D72" s="8">
        <f t="shared" si="60"/>
        <v>4.2143843509276351E-2</v>
      </c>
      <c r="E72" s="2">
        <f t="shared" si="61"/>
        <v>4.2143843509276351E-2</v>
      </c>
      <c r="G72" s="8" t="e">
        <f t="shared" si="62"/>
        <v>#DIV/0!</v>
      </c>
      <c r="H72" s="2" t="e">
        <f t="shared" si="63"/>
        <v>#DIV/0!</v>
      </c>
      <c r="J72" s="8">
        <f t="shared" si="64"/>
        <v>0.12452097732570455</v>
      </c>
      <c r="K72" s="2">
        <f t="shared" si="65"/>
        <v>0.12452097732570455</v>
      </c>
      <c r="M72" s="8">
        <f t="shared" si="66"/>
        <v>0.23999999999999988</v>
      </c>
      <c r="N72" s="2">
        <f t="shared" si="67"/>
        <v>0.23999999999999988</v>
      </c>
      <c r="P72" s="8">
        <f t="shared" si="68"/>
        <v>4.2143843509276357E-2</v>
      </c>
      <c r="Q72" s="2">
        <f t="shared" si="69"/>
        <v>4.2143843509276357E-2</v>
      </c>
      <c r="S72" s="8">
        <f t="shared" si="70"/>
        <v>0.12452097732570455</v>
      </c>
      <c r="T72" s="2">
        <f t="shared" si="71"/>
        <v>0.12452097732570455</v>
      </c>
      <c r="W72" s="8" t="e">
        <f t="shared" si="72"/>
        <v>#DIV/0!</v>
      </c>
      <c r="X72" s="2" t="e">
        <f t="shared" si="43"/>
        <v>#DIV/0!</v>
      </c>
      <c r="Y72" s="2" t="e">
        <f t="shared" si="78"/>
        <v>#DIV/0!</v>
      </c>
      <c r="AA72" s="8" t="e">
        <f t="shared" si="73"/>
        <v>#DIV/0!</v>
      </c>
      <c r="AB72" s="2" t="e">
        <f t="shared" si="45"/>
        <v>#DIV/0!</v>
      </c>
      <c r="AC72" s="2" t="e">
        <f t="shared" si="79"/>
        <v>#DIV/0!</v>
      </c>
      <c r="AE72" s="8" t="e">
        <f t="shared" si="74"/>
        <v>#DIV/0!</v>
      </c>
      <c r="AF72" s="2" t="e">
        <f t="shared" si="47"/>
        <v>#DIV/0!</v>
      </c>
      <c r="AG72" s="2" t="e">
        <f t="shared" si="80"/>
        <v>#DIV/0!</v>
      </c>
      <c r="AI72" s="8" t="e">
        <f t="shared" si="75"/>
        <v>#DIV/0!</v>
      </c>
      <c r="AJ72" s="2" t="e">
        <f t="shared" si="49"/>
        <v>#DIV/0!</v>
      </c>
      <c r="AK72" s="2" t="e">
        <f t="shared" si="50"/>
        <v>#DIV/0!</v>
      </c>
      <c r="AN72" s="8" t="e">
        <f t="shared" si="76"/>
        <v>#DIV/0!</v>
      </c>
      <c r="AO72" s="2" t="e">
        <f t="shared" si="51"/>
        <v>#DIV/0!</v>
      </c>
      <c r="AP72" s="2" t="e">
        <f t="shared" si="58"/>
        <v>#DIV/0!</v>
      </c>
      <c r="AS72" s="8" t="e">
        <f t="shared" si="77"/>
        <v>#DIV/0!</v>
      </c>
      <c r="AT72" s="2" t="e">
        <f t="shared" si="53"/>
        <v>#DIV/0!</v>
      </c>
      <c r="AU72" s="2" t="e">
        <f t="shared" si="54"/>
        <v>#DIV/0!</v>
      </c>
    </row>
    <row r="73" spans="1:47" x14ac:dyDescent="0.2">
      <c r="A73" s="2">
        <f t="shared" si="41"/>
        <v>3.2500000000000013</v>
      </c>
      <c r="B73" s="2">
        <f t="shared" si="42"/>
        <v>3.877420783172196E-2</v>
      </c>
      <c r="C73" s="2">
        <f t="shared" si="59"/>
        <v>3.877420783172196E-2</v>
      </c>
      <c r="D73" s="8">
        <f t="shared" si="60"/>
        <v>3.877420783172196E-2</v>
      </c>
      <c r="E73" s="2">
        <f t="shared" si="61"/>
        <v>3.877420783172196E-2</v>
      </c>
      <c r="G73" s="8" t="e">
        <f t="shared" si="62"/>
        <v>#DIV/0!</v>
      </c>
      <c r="H73" s="2" t="e">
        <f t="shared" si="63"/>
        <v>#DIV/0!</v>
      </c>
      <c r="J73" s="8">
        <f t="shared" si="64"/>
        <v>0.11926779136256527</v>
      </c>
      <c r="K73" s="2">
        <f t="shared" si="65"/>
        <v>0.11926779136256527</v>
      </c>
      <c r="M73" s="8">
        <f t="shared" si="66"/>
        <v>0.23529411764705865</v>
      </c>
      <c r="N73" s="2">
        <f t="shared" si="67"/>
        <v>0.23529411764705865</v>
      </c>
      <c r="P73" s="8">
        <f t="shared" si="68"/>
        <v>3.8774207831721919E-2</v>
      </c>
      <c r="Q73" s="2">
        <f t="shared" si="69"/>
        <v>3.8774207831721919E-2</v>
      </c>
      <c r="S73" s="8">
        <f t="shared" si="70"/>
        <v>0.11926779136256527</v>
      </c>
      <c r="T73" s="2">
        <f t="shared" si="71"/>
        <v>0.11926779136256527</v>
      </c>
      <c r="W73" s="8" t="e">
        <f t="shared" si="72"/>
        <v>#DIV/0!</v>
      </c>
      <c r="X73" s="2" t="e">
        <f t="shared" si="43"/>
        <v>#DIV/0!</v>
      </c>
      <c r="Y73" s="2" t="e">
        <f t="shared" si="78"/>
        <v>#DIV/0!</v>
      </c>
      <c r="AA73" s="8" t="e">
        <f t="shared" si="73"/>
        <v>#DIV/0!</v>
      </c>
      <c r="AB73" s="2" t="e">
        <f t="shared" si="45"/>
        <v>#DIV/0!</v>
      </c>
      <c r="AC73" s="2" t="e">
        <f t="shared" si="79"/>
        <v>#DIV/0!</v>
      </c>
      <c r="AE73" s="8" t="e">
        <f t="shared" si="74"/>
        <v>#DIV/0!</v>
      </c>
      <c r="AF73" s="2" t="e">
        <f t="shared" si="47"/>
        <v>#DIV/0!</v>
      </c>
      <c r="AG73" s="2" t="e">
        <f t="shared" si="80"/>
        <v>#DIV/0!</v>
      </c>
      <c r="AI73" s="8" t="e">
        <f t="shared" si="75"/>
        <v>#DIV/0!</v>
      </c>
      <c r="AJ73" s="2" t="e">
        <f t="shared" si="49"/>
        <v>#DIV/0!</v>
      </c>
      <c r="AK73" s="2" t="e">
        <f t="shared" si="50"/>
        <v>#DIV/0!</v>
      </c>
      <c r="AN73" s="8" t="e">
        <f t="shared" si="76"/>
        <v>#DIV/0!</v>
      </c>
      <c r="AO73" s="2" t="e">
        <f t="shared" si="51"/>
        <v>#DIV/0!</v>
      </c>
      <c r="AP73" s="2" t="e">
        <f t="shared" si="58"/>
        <v>#DIV/0!</v>
      </c>
      <c r="AS73" s="8" t="e">
        <f t="shared" si="77"/>
        <v>#DIV/0!</v>
      </c>
      <c r="AT73" s="2" t="e">
        <f t="shared" si="53"/>
        <v>#DIV/0!</v>
      </c>
      <c r="AU73" s="2" t="e">
        <f t="shared" si="54"/>
        <v>#DIV/0!</v>
      </c>
    </row>
    <row r="74" spans="1:47" x14ac:dyDescent="0.2">
      <c r="A74" s="2">
        <f t="shared" si="41"/>
        <v>3.3333333333333348</v>
      </c>
      <c r="B74" s="2">
        <f t="shared" si="42"/>
        <v>3.5673993347252346E-2</v>
      </c>
      <c r="C74" s="2">
        <f t="shared" si="59"/>
        <v>3.5673993347252346E-2</v>
      </c>
      <c r="D74" s="8">
        <f t="shared" si="60"/>
        <v>3.5673993347252346E-2</v>
      </c>
      <c r="E74" s="2">
        <f t="shared" si="61"/>
        <v>3.5673993347252346E-2</v>
      </c>
      <c r="G74" s="8" t="e">
        <f t="shared" si="62"/>
        <v>#DIV/0!</v>
      </c>
      <c r="H74" s="2" t="e">
        <f t="shared" si="63"/>
        <v>#DIV/0!</v>
      </c>
      <c r="J74" s="8">
        <f t="shared" si="64"/>
        <v>0.11430004504915148</v>
      </c>
      <c r="K74" s="2">
        <f t="shared" si="65"/>
        <v>0.11430004504915148</v>
      </c>
      <c r="M74" s="8">
        <f t="shared" si="66"/>
        <v>0.23076923076923062</v>
      </c>
      <c r="N74" s="2">
        <f t="shared" si="67"/>
        <v>0.23076923076923062</v>
      </c>
      <c r="P74" s="8">
        <f t="shared" si="68"/>
        <v>3.5673993347252297E-2</v>
      </c>
      <c r="Q74" s="2">
        <f t="shared" si="69"/>
        <v>3.5673993347252297E-2</v>
      </c>
      <c r="S74" s="8">
        <f t="shared" si="70"/>
        <v>0.11430004504915148</v>
      </c>
      <c r="T74" s="2">
        <f t="shared" si="71"/>
        <v>0.11430004504915148</v>
      </c>
      <c r="W74" s="8" t="e">
        <f t="shared" si="72"/>
        <v>#DIV/0!</v>
      </c>
      <c r="X74" s="2" t="e">
        <f t="shared" si="43"/>
        <v>#DIV/0!</v>
      </c>
      <c r="Y74" s="2" t="e">
        <f t="shared" si="78"/>
        <v>#DIV/0!</v>
      </c>
      <c r="AA74" s="8" t="e">
        <f t="shared" si="73"/>
        <v>#DIV/0!</v>
      </c>
      <c r="AB74" s="2" t="e">
        <f t="shared" si="45"/>
        <v>#DIV/0!</v>
      </c>
      <c r="AC74" s="2" t="e">
        <f t="shared" si="79"/>
        <v>#DIV/0!</v>
      </c>
      <c r="AE74" s="8" t="e">
        <f t="shared" si="74"/>
        <v>#DIV/0!</v>
      </c>
      <c r="AF74" s="2" t="e">
        <f t="shared" si="47"/>
        <v>#DIV/0!</v>
      </c>
      <c r="AG74" s="2" t="e">
        <f t="shared" si="80"/>
        <v>#DIV/0!</v>
      </c>
      <c r="AI74" s="8" t="e">
        <f t="shared" si="75"/>
        <v>#DIV/0!</v>
      </c>
      <c r="AJ74" s="2" t="e">
        <f t="shared" si="49"/>
        <v>#DIV/0!</v>
      </c>
      <c r="AK74" s="2" t="e">
        <f t="shared" si="50"/>
        <v>#DIV/0!</v>
      </c>
      <c r="AN74" s="8" t="e">
        <f t="shared" si="76"/>
        <v>#DIV/0!</v>
      </c>
      <c r="AO74" s="2" t="e">
        <f t="shared" si="51"/>
        <v>#DIV/0!</v>
      </c>
      <c r="AP74" s="2" t="e">
        <f t="shared" si="58"/>
        <v>#DIV/0!</v>
      </c>
      <c r="AS74" s="8" t="e">
        <f t="shared" si="77"/>
        <v>#DIV/0!</v>
      </c>
      <c r="AT74" s="2" t="e">
        <f t="shared" si="53"/>
        <v>#DIV/0!</v>
      </c>
      <c r="AU74" s="2" t="e">
        <f t="shared" si="54"/>
        <v>#DIV/0!</v>
      </c>
    </row>
    <row r="75" spans="1:47" x14ac:dyDescent="0.2">
      <c r="A75" s="2">
        <f t="shared" si="41"/>
        <v>3.4166666666666683</v>
      </c>
      <c r="B75" s="2">
        <f t="shared" si="42"/>
        <v>3.2821658326663151E-2</v>
      </c>
      <c r="C75" s="2">
        <f t="shared" si="59"/>
        <v>3.2821658326663151E-2</v>
      </c>
      <c r="D75" s="8">
        <f t="shared" si="60"/>
        <v>3.2821658326663151E-2</v>
      </c>
      <c r="E75" s="2">
        <f t="shared" si="61"/>
        <v>3.2821658326663151E-2</v>
      </c>
      <c r="G75" s="8" t="e">
        <f t="shared" si="62"/>
        <v>#DIV/0!</v>
      </c>
      <c r="H75" s="2" t="e">
        <f t="shared" si="63"/>
        <v>#DIV/0!</v>
      </c>
      <c r="J75" s="8">
        <f t="shared" si="64"/>
        <v>0.10959863878011067</v>
      </c>
      <c r="K75" s="2">
        <f t="shared" si="65"/>
        <v>0.10959863878011067</v>
      </c>
      <c r="M75" s="8">
        <f t="shared" si="66"/>
        <v>0.22641509433962248</v>
      </c>
      <c r="N75" s="2">
        <f t="shared" si="67"/>
        <v>0.22641509433962248</v>
      </c>
      <c r="P75" s="8">
        <f t="shared" si="68"/>
        <v>3.2821658326663172E-2</v>
      </c>
      <c r="Q75" s="2">
        <f t="shared" si="69"/>
        <v>3.2821658326663172E-2</v>
      </c>
      <c r="S75" s="8">
        <f t="shared" si="70"/>
        <v>0.10959863878011067</v>
      </c>
      <c r="T75" s="2">
        <f t="shared" si="71"/>
        <v>0.10959863878011067</v>
      </c>
      <c r="W75" s="8" t="e">
        <f t="shared" si="72"/>
        <v>#DIV/0!</v>
      </c>
      <c r="X75" s="2" t="e">
        <f t="shared" si="43"/>
        <v>#DIV/0!</v>
      </c>
      <c r="Y75" s="2" t="e">
        <f t="shared" si="78"/>
        <v>#DIV/0!</v>
      </c>
      <c r="AA75" s="8" t="e">
        <f t="shared" si="73"/>
        <v>#DIV/0!</v>
      </c>
      <c r="AB75" s="2" t="e">
        <f t="shared" si="45"/>
        <v>#DIV/0!</v>
      </c>
      <c r="AC75" s="2" t="e">
        <f t="shared" si="79"/>
        <v>#DIV/0!</v>
      </c>
      <c r="AE75" s="8" t="e">
        <f t="shared" si="74"/>
        <v>#DIV/0!</v>
      </c>
      <c r="AF75" s="2" t="e">
        <f t="shared" si="47"/>
        <v>#DIV/0!</v>
      </c>
      <c r="AG75" s="2" t="e">
        <f t="shared" si="80"/>
        <v>#DIV/0!</v>
      </c>
      <c r="AI75" s="8" t="e">
        <f t="shared" si="75"/>
        <v>#DIV/0!</v>
      </c>
      <c r="AJ75" s="2" t="e">
        <f t="shared" si="49"/>
        <v>#DIV/0!</v>
      </c>
      <c r="AK75" s="2" t="e">
        <f t="shared" si="50"/>
        <v>#DIV/0!</v>
      </c>
      <c r="AN75" s="8" t="e">
        <f t="shared" si="76"/>
        <v>#DIV/0!</v>
      </c>
      <c r="AO75" s="2" t="e">
        <f t="shared" si="51"/>
        <v>#DIV/0!</v>
      </c>
      <c r="AP75" s="2" t="e">
        <f t="shared" si="58"/>
        <v>#DIV/0!</v>
      </c>
      <c r="AS75" s="8" t="e">
        <f t="shared" si="77"/>
        <v>#DIV/0!</v>
      </c>
      <c r="AT75" s="2" t="e">
        <f t="shared" si="53"/>
        <v>#DIV/0!</v>
      </c>
      <c r="AU75" s="2" t="e">
        <f t="shared" si="54"/>
        <v>#DIV/0!</v>
      </c>
    </row>
    <row r="76" spans="1:47" x14ac:dyDescent="0.2">
      <c r="A76" s="2">
        <f t="shared" si="41"/>
        <v>3.5000000000000018</v>
      </c>
      <c r="B76" s="2">
        <f t="shared" si="42"/>
        <v>3.0197383422318449E-2</v>
      </c>
      <c r="C76" s="2">
        <f t="shared" si="59"/>
        <v>3.0197383422318449E-2</v>
      </c>
      <c r="D76" s="8">
        <f t="shared" si="60"/>
        <v>3.0197383422318449E-2</v>
      </c>
      <c r="E76" s="2">
        <f t="shared" si="61"/>
        <v>3.0197383422318449E-2</v>
      </c>
      <c r="G76" s="8" t="e">
        <f t="shared" si="62"/>
        <v>#DIV/0!</v>
      </c>
      <c r="H76" s="2" t="e">
        <f t="shared" si="63"/>
        <v>#DIV/0!</v>
      </c>
      <c r="J76" s="8">
        <f t="shared" si="64"/>
        <v>0.10514599110011469</v>
      </c>
      <c r="K76" s="2">
        <f t="shared" si="65"/>
        <v>0.10514599110011469</v>
      </c>
      <c r="M76" s="8">
        <f t="shared" si="66"/>
        <v>0.2222222222222221</v>
      </c>
      <c r="N76" s="2">
        <f t="shared" si="67"/>
        <v>0.2222222222222221</v>
      </c>
      <c r="P76" s="8">
        <f t="shared" si="68"/>
        <v>3.019738342231848E-2</v>
      </c>
      <c r="Q76" s="2">
        <f t="shared" si="69"/>
        <v>3.019738342231848E-2</v>
      </c>
      <c r="S76" s="8">
        <f t="shared" si="70"/>
        <v>0.10514599110011469</v>
      </c>
      <c r="T76" s="2">
        <f t="shared" si="71"/>
        <v>0.10514599110011469</v>
      </c>
      <c r="W76" s="8" t="e">
        <f t="shared" si="72"/>
        <v>#DIV/0!</v>
      </c>
      <c r="X76" s="2" t="e">
        <f t="shared" si="43"/>
        <v>#DIV/0!</v>
      </c>
      <c r="Y76" s="2" t="e">
        <f t="shared" si="78"/>
        <v>#DIV/0!</v>
      </c>
      <c r="AA76" s="8" t="e">
        <f t="shared" si="73"/>
        <v>#DIV/0!</v>
      </c>
      <c r="AB76" s="2" t="e">
        <f t="shared" si="45"/>
        <v>#DIV/0!</v>
      </c>
      <c r="AC76" s="2" t="e">
        <f t="shared" si="79"/>
        <v>#DIV/0!</v>
      </c>
      <c r="AE76" s="8" t="e">
        <f t="shared" si="74"/>
        <v>#DIV/0!</v>
      </c>
      <c r="AF76" s="2" t="e">
        <f t="shared" si="47"/>
        <v>#DIV/0!</v>
      </c>
      <c r="AG76" s="2" t="e">
        <f t="shared" si="80"/>
        <v>#DIV/0!</v>
      </c>
      <c r="AI76" s="8" t="e">
        <f t="shared" si="75"/>
        <v>#DIV/0!</v>
      </c>
      <c r="AJ76" s="2" t="e">
        <f t="shared" si="49"/>
        <v>#DIV/0!</v>
      </c>
      <c r="AK76" s="2" t="e">
        <f t="shared" si="50"/>
        <v>#DIV/0!</v>
      </c>
      <c r="AN76" s="8" t="e">
        <f t="shared" si="76"/>
        <v>#DIV/0!</v>
      </c>
      <c r="AO76" s="2" t="e">
        <f t="shared" si="51"/>
        <v>#DIV/0!</v>
      </c>
      <c r="AP76" s="2" t="e">
        <f t="shared" si="58"/>
        <v>#DIV/0!</v>
      </c>
      <c r="AS76" s="8" t="e">
        <f t="shared" si="77"/>
        <v>#DIV/0!</v>
      </c>
      <c r="AT76" s="2" t="e">
        <f t="shared" si="53"/>
        <v>#DIV/0!</v>
      </c>
      <c r="AU76" s="2" t="e">
        <f t="shared" si="54"/>
        <v>#DIV/0!</v>
      </c>
    </row>
    <row r="77" spans="1:47" x14ac:dyDescent="0.2">
      <c r="A77" s="2">
        <f t="shared" si="41"/>
        <v>3.5833333333333353</v>
      </c>
      <c r="B77" s="2">
        <f t="shared" si="42"/>
        <v>2.7782933954124202E-2</v>
      </c>
      <c r="C77" s="2">
        <f t="shared" si="59"/>
        <v>2.7782933954124202E-2</v>
      </c>
      <c r="D77" s="8">
        <f t="shared" si="60"/>
        <v>2.7782933954124202E-2</v>
      </c>
      <c r="E77" s="2">
        <f t="shared" si="61"/>
        <v>2.7782933954124202E-2</v>
      </c>
      <c r="G77" s="8" t="e">
        <f t="shared" si="62"/>
        <v>#DIV/0!</v>
      </c>
      <c r="H77" s="2" t="e">
        <f t="shared" si="63"/>
        <v>#DIV/0!</v>
      </c>
      <c r="J77" s="8">
        <f t="shared" si="64"/>
        <v>0.10092589955193287</v>
      </c>
      <c r="K77" s="2">
        <f t="shared" si="65"/>
        <v>0.10092589955193287</v>
      </c>
      <c r="M77" s="8">
        <f t="shared" si="66"/>
        <v>0.21818181818181803</v>
      </c>
      <c r="N77" s="2">
        <f t="shared" si="67"/>
        <v>0.21818181818181803</v>
      </c>
      <c r="P77" s="8">
        <f t="shared" si="68"/>
        <v>2.7782933954124234E-2</v>
      </c>
      <c r="Q77" s="2">
        <f t="shared" si="69"/>
        <v>2.7782933954124234E-2</v>
      </c>
      <c r="S77" s="8">
        <f t="shared" si="70"/>
        <v>0.10092589955193287</v>
      </c>
      <c r="T77" s="2">
        <f t="shared" si="71"/>
        <v>0.10092589955193287</v>
      </c>
      <c r="W77" s="8" t="e">
        <f t="shared" si="72"/>
        <v>#DIV/0!</v>
      </c>
      <c r="X77" s="2" t="e">
        <f t="shared" si="43"/>
        <v>#DIV/0!</v>
      </c>
      <c r="Y77" s="2" t="e">
        <f t="shared" si="78"/>
        <v>#DIV/0!</v>
      </c>
      <c r="AA77" s="8" t="e">
        <f t="shared" si="73"/>
        <v>#DIV/0!</v>
      </c>
      <c r="AB77" s="2" t="e">
        <f t="shared" si="45"/>
        <v>#DIV/0!</v>
      </c>
      <c r="AC77" s="2" t="e">
        <f t="shared" si="79"/>
        <v>#DIV/0!</v>
      </c>
      <c r="AE77" s="8" t="e">
        <f t="shared" si="74"/>
        <v>#DIV/0!</v>
      </c>
      <c r="AF77" s="2" t="e">
        <f t="shared" si="47"/>
        <v>#DIV/0!</v>
      </c>
      <c r="AG77" s="2" t="e">
        <f t="shared" si="80"/>
        <v>#DIV/0!</v>
      </c>
      <c r="AI77" s="8" t="e">
        <f t="shared" si="75"/>
        <v>#DIV/0!</v>
      </c>
      <c r="AJ77" s="2" t="e">
        <f t="shared" si="49"/>
        <v>#DIV/0!</v>
      </c>
      <c r="AK77" s="2" t="e">
        <f t="shared" si="50"/>
        <v>#DIV/0!</v>
      </c>
      <c r="AN77" s="8" t="e">
        <f t="shared" si="76"/>
        <v>#DIV/0!</v>
      </c>
      <c r="AO77" s="2" t="e">
        <f t="shared" si="51"/>
        <v>#DIV/0!</v>
      </c>
      <c r="AP77" s="2" t="e">
        <f t="shared" si="58"/>
        <v>#DIV/0!</v>
      </c>
      <c r="AS77" s="8" t="e">
        <f t="shared" si="77"/>
        <v>#DIV/0!</v>
      </c>
      <c r="AT77" s="2" t="e">
        <f t="shared" si="53"/>
        <v>#DIV/0!</v>
      </c>
      <c r="AU77" s="2" t="e">
        <f t="shared" si="54"/>
        <v>#DIV/0!</v>
      </c>
    </row>
    <row r="78" spans="1:47" x14ac:dyDescent="0.2">
      <c r="A78" s="2">
        <f t="shared" si="41"/>
        <v>3.6666666666666687</v>
      </c>
      <c r="B78" s="2">
        <f t="shared" si="42"/>
        <v>2.5561533206507347E-2</v>
      </c>
      <c r="C78" s="2">
        <f t="shared" si="59"/>
        <v>2.5561533206507347E-2</v>
      </c>
      <c r="D78" s="8">
        <f t="shared" si="60"/>
        <v>2.5561533206507347E-2</v>
      </c>
      <c r="E78" s="2">
        <f t="shared" si="61"/>
        <v>2.5561533206507347E-2</v>
      </c>
      <c r="G78" s="8" t="e">
        <f t="shared" si="62"/>
        <v>#DIV/0!</v>
      </c>
      <c r="H78" s="2" t="e">
        <f t="shared" si="63"/>
        <v>#DIV/0!</v>
      </c>
      <c r="J78" s="8">
        <f t="shared" si="64"/>
        <v>9.6923415859640039E-2</v>
      </c>
      <c r="K78" s="2">
        <f t="shared" si="65"/>
        <v>9.6923415859640039E-2</v>
      </c>
      <c r="M78" s="8">
        <f t="shared" si="66"/>
        <v>0.21428571428571419</v>
      </c>
      <c r="N78" s="2">
        <f t="shared" si="67"/>
        <v>0.21428571428571419</v>
      </c>
      <c r="P78" s="8">
        <f t="shared" si="68"/>
        <v>2.5561533206507336E-2</v>
      </c>
      <c r="Q78" s="2">
        <f t="shared" si="69"/>
        <v>2.5561533206507336E-2</v>
      </c>
      <c r="S78" s="8">
        <f t="shared" si="70"/>
        <v>9.6923415859640039E-2</v>
      </c>
      <c r="T78" s="2">
        <f t="shared" si="71"/>
        <v>9.6923415859640039E-2</v>
      </c>
      <c r="W78" s="8" t="e">
        <f t="shared" si="72"/>
        <v>#DIV/0!</v>
      </c>
      <c r="X78" s="2" t="e">
        <f t="shared" si="43"/>
        <v>#DIV/0!</v>
      </c>
      <c r="Y78" s="2" t="e">
        <f t="shared" si="78"/>
        <v>#DIV/0!</v>
      </c>
      <c r="AA78" s="8" t="e">
        <f t="shared" si="73"/>
        <v>#DIV/0!</v>
      </c>
      <c r="AB78" s="2" t="e">
        <f t="shared" si="45"/>
        <v>#DIV/0!</v>
      </c>
      <c r="AC78" s="2" t="e">
        <f t="shared" si="79"/>
        <v>#DIV/0!</v>
      </c>
      <c r="AE78" s="8" t="e">
        <f t="shared" si="74"/>
        <v>#DIV/0!</v>
      </c>
      <c r="AF78" s="2" t="e">
        <f t="shared" si="47"/>
        <v>#DIV/0!</v>
      </c>
      <c r="AG78" s="2" t="e">
        <f t="shared" si="80"/>
        <v>#DIV/0!</v>
      </c>
      <c r="AI78" s="8" t="e">
        <f t="shared" si="75"/>
        <v>#DIV/0!</v>
      </c>
      <c r="AJ78" s="2" t="e">
        <f t="shared" si="49"/>
        <v>#DIV/0!</v>
      </c>
      <c r="AK78" s="2" t="e">
        <f t="shared" si="50"/>
        <v>#DIV/0!</v>
      </c>
      <c r="AN78" s="8" t="e">
        <f t="shared" si="76"/>
        <v>#DIV/0!</v>
      </c>
      <c r="AO78" s="2" t="e">
        <f t="shared" si="51"/>
        <v>#DIV/0!</v>
      </c>
      <c r="AP78" s="2" t="e">
        <f t="shared" si="58"/>
        <v>#DIV/0!</v>
      </c>
      <c r="AS78" s="8" t="e">
        <f t="shared" si="77"/>
        <v>#DIV/0!</v>
      </c>
      <c r="AT78" s="2" t="e">
        <f t="shared" si="53"/>
        <v>#DIV/0!</v>
      </c>
      <c r="AU78" s="2" t="e">
        <f t="shared" si="54"/>
        <v>#DIV/0!</v>
      </c>
    </row>
    <row r="79" spans="1:47" x14ac:dyDescent="0.2">
      <c r="A79" s="2">
        <f t="shared" si="41"/>
        <v>3.7500000000000022</v>
      </c>
      <c r="B79" s="2">
        <f t="shared" si="42"/>
        <v>2.3517745856009055E-2</v>
      </c>
      <c r="C79" s="2">
        <f t="shared" si="59"/>
        <v>2.3517745856009055E-2</v>
      </c>
      <c r="D79" s="8">
        <f t="shared" si="60"/>
        <v>2.3517745856009055E-2</v>
      </c>
      <c r="E79" s="2">
        <f t="shared" si="61"/>
        <v>2.3517745856009055E-2</v>
      </c>
      <c r="G79" s="8" t="e">
        <f t="shared" si="62"/>
        <v>#DIV/0!</v>
      </c>
      <c r="H79" s="2" t="e">
        <f t="shared" si="63"/>
        <v>#DIV/0!</v>
      </c>
      <c r="J79" s="8">
        <f t="shared" si="64"/>
        <v>9.3124733826422279E-2</v>
      </c>
      <c r="K79" s="2">
        <f t="shared" si="65"/>
        <v>9.3124733826422279E-2</v>
      </c>
      <c r="M79" s="8">
        <f t="shared" si="66"/>
        <v>0.21052631578947367</v>
      </c>
      <c r="N79" s="2">
        <f t="shared" si="67"/>
        <v>0.21052631578947367</v>
      </c>
      <c r="P79" s="8">
        <f t="shared" si="68"/>
        <v>2.3517745856009076E-2</v>
      </c>
      <c r="Q79" s="2">
        <f t="shared" si="69"/>
        <v>2.3517745856009076E-2</v>
      </c>
      <c r="S79" s="8">
        <f t="shared" si="70"/>
        <v>9.3124733826422279E-2</v>
      </c>
      <c r="T79" s="2">
        <f t="shared" si="71"/>
        <v>9.3124733826422279E-2</v>
      </c>
      <c r="W79" s="8" t="e">
        <f t="shared" si="72"/>
        <v>#DIV/0!</v>
      </c>
      <c r="X79" s="2" t="e">
        <f t="shared" si="43"/>
        <v>#DIV/0!</v>
      </c>
      <c r="Y79" s="2" t="e">
        <f t="shared" si="78"/>
        <v>#DIV/0!</v>
      </c>
      <c r="AA79" s="8" t="e">
        <f t="shared" si="73"/>
        <v>#DIV/0!</v>
      </c>
      <c r="AB79" s="2" t="e">
        <f t="shared" si="45"/>
        <v>#DIV/0!</v>
      </c>
      <c r="AC79" s="2" t="e">
        <f t="shared" si="79"/>
        <v>#DIV/0!</v>
      </c>
      <c r="AE79" s="8" t="e">
        <f t="shared" si="74"/>
        <v>#DIV/0!</v>
      </c>
      <c r="AF79" s="2" t="e">
        <f t="shared" si="47"/>
        <v>#DIV/0!</v>
      </c>
      <c r="AG79" s="2" t="e">
        <f t="shared" si="80"/>
        <v>#DIV/0!</v>
      </c>
      <c r="AI79" s="8" t="e">
        <f t="shared" si="75"/>
        <v>#DIV/0!</v>
      </c>
      <c r="AJ79" s="2" t="e">
        <f t="shared" si="49"/>
        <v>#DIV/0!</v>
      </c>
      <c r="AK79" s="2" t="e">
        <f t="shared" si="50"/>
        <v>#DIV/0!</v>
      </c>
      <c r="AN79" s="8" t="e">
        <f t="shared" si="76"/>
        <v>#DIV/0!</v>
      </c>
      <c r="AO79" s="2" t="e">
        <f t="shared" si="51"/>
        <v>#DIV/0!</v>
      </c>
      <c r="AP79" s="2" t="e">
        <f t="shared" si="58"/>
        <v>#DIV/0!</v>
      </c>
      <c r="AS79" s="8" t="e">
        <f t="shared" si="77"/>
        <v>#DIV/0!</v>
      </c>
      <c r="AT79" s="2" t="e">
        <f t="shared" si="53"/>
        <v>#DIV/0!</v>
      </c>
      <c r="AU79" s="2" t="e">
        <f t="shared" si="54"/>
        <v>#DIV/0!</v>
      </c>
    </row>
    <row r="80" spans="1:47" x14ac:dyDescent="0.2">
      <c r="A80" s="2">
        <f t="shared" si="41"/>
        <v>3.8333333333333357</v>
      </c>
      <c r="B80" s="2">
        <f t="shared" si="42"/>
        <v>2.1637370719493041E-2</v>
      </c>
      <c r="C80" s="2">
        <f t="shared" si="59"/>
        <v>2.1637370719493041E-2</v>
      </c>
      <c r="D80" s="8">
        <f t="shared" si="60"/>
        <v>2.1637370719493041E-2</v>
      </c>
      <c r="E80" s="2">
        <f t="shared" si="61"/>
        <v>2.1637370719493041E-2</v>
      </c>
      <c r="G80" s="8" t="e">
        <f t="shared" si="62"/>
        <v>#DIV/0!</v>
      </c>
      <c r="H80" s="2" t="e">
        <f t="shared" si="63"/>
        <v>#DIV/0!</v>
      </c>
      <c r="J80" s="8">
        <f t="shared" si="64"/>
        <v>8.9517088522474531E-2</v>
      </c>
      <c r="K80" s="2">
        <f t="shared" si="65"/>
        <v>8.9517088522474531E-2</v>
      </c>
      <c r="M80" s="8">
        <f t="shared" si="66"/>
        <v>0.20689655172413779</v>
      </c>
      <c r="N80" s="2">
        <f t="shared" si="67"/>
        <v>0.20689655172413779</v>
      </c>
      <c r="P80" s="8">
        <f t="shared" si="68"/>
        <v>2.163737071949301E-2</v>
      </c>
      <c r="Q80" s="2">
        <f t="shared" si="69"/>
        <v>2.163737071949301E-2</v>
      </c>
      <c r="S80" s="8">
        <f t="shared" si="70"/>
        <v>8.9517088522474531E-2</v>
      </c>
      <c r="T80" s="2">
        <f t="shared" si="71"/>
        <v>8.9517088522474531E-2</v>
      </c>
      <c r="W80" s="8" t="e">
        <f t="shared" si="72"/>
        <v>#DIV/0!</v>
      </c>
      <c r="X80" s="2" t="e">
        <f t="shared" si="43"/>
        <v>#DIV/0!</v>
      </c>
      <c r="Y80" s="2" t="e">
        <f t="shared" si="78"/>
        <v>#DIV/0!</v>
      </c>
      <c r="AA80" s="8" t="e">
        <f t="shared" si="73"/>
        <v>#DIV/0!</v>
      </c>
      <c r="AB80" s="2" t="e">
        <f t="shared" si="45"/>
        <v>#DIV/0!</v>
      </c>
      <c r="AC80" s="2" t="e">
        <f t="shared" si="79"/>
        <v>#DIV/0!</v>
      </c>
      <c r="AE80" s="8" t="e">
        <f t="shared" si="74"/>
        <v>#DIV/0!</v>
      </c>
      <c r="AF80" s="2" t="e">
        <f t="shared" si="47"/>
        <v>#DIV/0!</v>
      </c>
      <c r="AG80" s="2" t="e">
        <f t="shared" si="80"/>
        <v>#DIV/0!</v>
      </c>
      <c r="AI80" s="8" t="e">
        <f t="shared" si="75"/>
        <v>#DIV/0!</v>
      </c>
      <c r="AJ80" s="2" t="e">
        <f t="shared" si="49"/>
        <v>#DIV/0!</v>
      </c>
      <c r="AK80" s="2" t="e">
        <f t="shared" si="50"/>
        <v>#DIV/0!</v>
      </c>
      <c r="AN80" s="8" t="e">
        <f t="shared" si="76"/>
        <v>#DIV/0!</v>
      </c>
      <c r="AO80" s="2" t="e">
        <f t="shared" si="51"/>
        <v>#DIV/0!</v>
      </c>
      <c r="AP80" s="2" t="e">
        <f t="shared" si="58"/>
        <v>#DIV/0!</v>
      </c>
      <c r="AS80" s="8" t="e">
        <f t="shared" si="77"/>
        <v>#DIV/0!</v>
      </c>
      <c r="AT80" s="2" t="e">
        <f t="shared" si="53"/>
        <v>#DIV/0!</v>
      </c>
      <c r="AU80" s="2" t="e">
        <f t="shared" si="54"/>
        <v>#DIV/0!</v>
      </c>
    </row>
    <row r="81" spans="1:47" x14ac:dyDescent="0.2">
      <c r="A81" s="2">
        <f t="shared" si="41"/>
        <v>3.9166666666666692</v>
      </c>
      <c r="B81" s="2">
        <f t="shared" si="42"/>
        <v>1.990734207773363E-2</v>
      </c>
      <c r="C81" s="2">
        <f t="shared" si="59"/>
        <v>1.990734207773363E-2</v>
      </c>
      <c r="D81" s="8">
        <f t="shared" si="60"/>
        <v>1.990734207773363E-2</v>
      </c>
      <c r="E81" s="2">
        <f t="shared" si="61"/>
        <v>1.990734207773363E-2</v>
      </c>
      <c r="G81" s="8" t="e">
        <f t="shared" si="62"/>
        <v>#DIV/0!</v>
      </c>
      <c r="H81" s="2" t="e">
        <f t="shared" si="63"/>
        <v>#DIV/0!</v>
      </c>
      <c r="J81" s="8">
        <f t="shared" si="64"/>
        <v>8.6088665509933771E-2</v>
      </c>
      <c r="K81" s="2">
        <f t="shared" si="65"/>
        <v>8.6088665509933771E-2</v>
      </c>
      <c r="M81" s="8">
        <f t="shared" si="66"/>
        <v>0.20338983050847448</v>
      </c>
      <c r="N81" s="2">
        <f t="shared" si="67"/>
        <v>0.20338983050847448</v>
      </c>
      <c r="P81" s="8">
        <f t="shared" si="68"/>
        <v>1.9907342077733592E-2</v>
      </c>
      <c r="Q81" s="2">
        <f t="shared" si="69"/>
        <v>1.9907342077733592E-2</v>
      </c>
      <c r="S81" s="8">
        <f t="shared" si="70"/>
        <v>8.6088665509933771E-2</v>
      </c>
      <c r="T81" s="2">
        <f t="shared" si="71"/>
        <v>8.6088665509933771E-2</v>
      </c>
      <c r="W81" s="8" t="e">
        <f t="shared" si="72"/>
        <v>#DIV/0!</v>
      </c>
      <c r="X81" s="2" t="e">
        <f t="shared" si="43"/>
        <v>#DIV/0!</v>
      </c>
      <c r="Y81" s="2" t="e">
        <f t="shared" si="78"/>
        <v>#DIV/0!</v>
      </c>
      <c r="AA81" s="8" t="e">
        <f t="shared" si="73"/>
        <v>#DIV/0!</v>
      </c>
      <c r="AB81" s="2" t="e">
        <f t="shared" si="45"/>
        <v>#DIV/0!</v>
      </c>
      <c r="AC81" s="2" t="e">
        <f t="shared" si="79"/>
        <v>#DIV/0!</v>
      </c>
      <c r="AE81" s="8" t="e">
        <f t="shared" si="74"/>
        <v>#DIV/0!</v>
      </c>
      <c r="AF81" s="2" t="e">
        <f t="shared" si="47"/>
        <v>#DIV/0!</v>
      </c>
      <c r="AG81" s="2" t="e">
        <f t="shared" si="80"/>
        <v>#DIV/0!</v>
      </c>
      <c r="AI81" s="8" t="e">
        <f t="shared" si="75"/>
        <v>#DIV/0!</v>
      </c>
      <c r="AJ81" s="2" t="e">
        <f t="shared" si="49"/>
        <v>#DIV/0!</v>
      </c>
      <c r="AK81" s="2" t="e">
        <f t="shared" si="50"/>
        <v>#DIV/0!</v>
      </c>
      <c r="AN81" s="8" t="e">
        <f t="shared" si="76"/>
        <v>#DIV/0!</v>
      </c>
      <c r="AO81" s="2" t="e">
        <f t="shared" si="51"/>
        <v>#DIV/0!</v>
      </c>
      <c r="AP81" s="2" t="e">
        <f t="shared" si="58"/>
        <v>#DIV/0!</v>
      </c>
      <c r="AS81" s="8" t="e">
        <f t="shared" si="77"/>
        <v>#DIV/0!</v>
      </c>
      <c r="AT81" s="2" t="e">
        <f t="shared" si="53"/>
        <v>#DIV/0!</v>
      </c>
      <c r="AU81" s="2" t="e">
        <f t="shared" si="54"/>
        <v>#DIV/0!</v>
      </c>
    </row>
    <row r="82" spans="1:47" x14ac:dyDescent="0.2">
      <c r="A82" s="2">
        <f t="shared" si="41"/>
        <v>4.0000000000000027</v>
      </c>
      <c r="B82" s="2">
        <f t="shared" si="42"/>
        <v>1.831563888873413E-2</v>
      </c>
      <c r="C82" s="2">
        <f t="shared" si="59"/>
        <v>1.831563888873413E-2</v>
      </c>
      <c r="D82" s="8">
        <f t="shared" si="60"/>
        <v>1.831563888873413E-2</v>
      </c>
      <c r="E82" s="2">
        <f t="shared" si="61"/>
        <v>1.831563888873413E-2</v>
      </c>
      <c r="G82" s="8" t="e">
        <f t="shared" si="62"/>
        <v>#DIV/0!</v>
      </c>
      <c r="H82" s="2" t="e">
        <f t="shared" si="63"/>
        <v>#DIV/0!</v>
      </c>
      <c r="J82" s="8">
        <f t="shared" si="64"/>
        <v>8.2828519001698409E-2</v>
      </c>
      <c r="K82" s="2">
        <f t="shared" si="65"/>
        <v>8.2828519001698409E-2</v>
      </c>
      <c r="M82" s="8">
        <f t="shared" si="66"/>
        <v>0.19999999999999984</v>
      </c>
      <c r="N82" s="2">
        <f t="shared" si="67"/>
        <v>0.19999999999999984</v>
      </c>
      <c r="P82" s="8">
        <f t="shared" si="68"/>
        <v>1.8315638888734109E-2</v>
      </c>
      <c r="Q82" s="2">
        <f t="shared" si="69"/>
        <v>1.8315638888734109E-2</v>
      </c>
      <c r="S82" s="8">
        <f t="shared" si="70"/>
        <v>8.2828519001698409E-2</v>
      </c>
      <c r="T82" s="2">
        <f t="shared" si="71"/>
        <v>8.2828519001698409E-2</v>
      </c>
      <c r="W82" s="8" t="e">
        <f t="shared" si="72"/>
        <v>#DIV/0!</v>
      </c>
      <c r="X82" s="2" t="e">
        <f t="shared" si="43"/>
        <v>#DIV/0!</v>
      </c>
      <c r="Y82" s="2" t="e">
        <f t="shared" si="78"/>
        <v>#DIV/0!</v>
      </c>
      <c r="AA82" s="8" t="e">
        <f t="shared" si="73"/>
        <v>#DIV/0!</v>
      </c>
      <c r="AB82" s="2" t="e">
        <f t="shared" si="45"/>
        <v>#DIV/0!</v>
      </c>
      <c r="AC82" s="2" t="e">
        <f t="shared" si="79"/>
        <v>#DIV/0!</v>
      </c>
      <c r="AE82" s="8" t="e">
        <f t="shared" si="74"/>
        <v>#DIV/0!</v>
      </c>
      <c r="AF82" s="2" t="e">
        <f t="shared" si="47"/>
        <v>#DIV/0!</v>
      </c>
      <c r="AG82" s="2" t="e">
        <f t="shared" si="80"/>
        <v>#DIV/0!</v>
      </c>
      <c r="AI82" s="8" t="e">
        <f t="shared" si="75"/>
        <v>#DIV/0!</v>
      </c>
      <c r="AJ82" s="2" t="e">
        <f t="shared" si="49"/>
        <v>#DIV/0!</v>
      </c>
      <c r="AK82" s="2" t="e">
        <f t="shared" si="50"/>
        <v>#DIV/0!</v>
      </c>
      <c r="AN82" s="8" t="e">
        <f t="shared" si="76"/>
        <v>#DIV/0!</v>
      </c>
      <c r="AO82" s="2" t="e">
        <f t="shared" si="51"/>
        <v>#DIV/0!</v>
      </c>
      <c r="AP82" s="2" t="e">
        <f t="shared" si="58"/>
        <v>#DIV/0!</v>
      </c>
      <c r="AS82" s="8" t="e">
        <f t="shared" si="77"/>
        <v>#DIV/0!</v>
      </c>
      <c r="AT82" s="2" t="e">
        <f t="shared" si="53"/>
        <v>#DIV/0!</v>
      </c>
      <c r="AU82" s="2" t="e">
        <f t="shared" si="54"/>
        <v>#DIV/0!</v>
      </c>
    </row>
    <row r="83" spans="1:47" x14ac:dyDescent="0.2">
      <c r="A83" s="2">
        <f t="shared" si="41"/>
        <v>4.0833333333333357</v>
      </c>
      <c r="B83" s="2">
        <f t="shared" si="42"/>
        <v>1.6851201259947466E-2</v>
      </c>
      <c r="C83" s="2">
        <f t="shared" si="59"/>
        <v>1.6851201259947466E-2</v>
      </c>
      <c r="D83" s="8">
        <f t="shared" si="60"/>
        <v>1.6851201259947466E-2</v>
      </c>
      <c r="E83" s="2">
        <f t="shared" si="61"/>
        <v>1.6851201259947466E-2</v>
      </c>
      <c r="G83" s="8" t="e">
        <f t="shared" si="62"/>
        <v>#DIV/0!</v>
      </c>
      <c r="H83" s="2" t="e">
        <f t="shared" si="63"/>
        <v>#DIV/0!</v>
      </c>
      <c r="J83" s="8">
        <f t="shared" si="64"/>
        <v>7.9726497982045785E-2</v>
      </c>
      <c r="K83" s="2">
        <f t="shared" si="65"/>
        <v>7.9726497982045785E-2</v>
      </c>
      <c r="M83" s="8">
        <f t="shared" si="66"/>
        <v>0.19672131147540972</v>
      </c>
      <c r="N83" s="2">
        <f t="shared" si="67"/>
        <v>0.19672131147540972</v>
      </c>
      <c r="P83" s="8">
        <f t="shared" si="68"/>
        <v>1.6851201259947435E-2</v>
      </c>
      <c r="Q83" s="2">
        <f t="shared" si="69"/>
        <v>1.6851201259947435E-2</v>
      </c>
      <c r="S83" s="8">
        <f t="shared" si="70"/>
        <v>7.9726497982045785E-2</v>
      </c>
      <c r="T83" s="2">
        <f t="shared" si="71"/>
        <v>7.9726497982045785E-2</v>
      </c>
      <c r="W83" s="8" t="e">
        <f t="shared" si="72"/>
        <v>#DIV/0!</v>
      </c>
      <c r="X83" s="2" t="e">
        <f t="shared" si="43"/>
        <v>#DIV/0!</v>
      </c>
      <c r="Y83" s="2" t="e">
        <f t="shared" si="78"/>
        <v>#DIV/0!</v>
      </c>
      <c r="AA83" s="8" t="e">
        <f t="shared" si="73"/>
        <v>#DIV/0!</v>
      </c>
      <c r="AB83" s="2" t="e">
        <f t="shared" si="45"/>
        <v>#DIV/0!</v>
      </c>
      <c r="AC83" s="2" t="e">
        <f t="shared" si="79"/>
        <v>#DIV/0!</v>
      </c>
      <c r="AE83" s="8" t="e">
        <f t="shared" si="74"/>
        <v>#DIV/0!</v>
      </c>
      <c r="AF83" s="2" t="e">
        <f t="shared" si="47"/>
        <v>#DIV/0!</v>
      </c>
      <c r="AG83" s="2" t="e">
        <f t="shared" si="80"/>
        <v>#DIV/0!</v>
      </c>
      <c r="AI83" s="8" t="e">
        <f t="shared" si="75"/>
        <v>#DIV/0!</v>
      </c>
      <c r="AJ83" s="2" t="e">
        <f t="shared" si="49"/>
        <v>#DIV/0!</v>
      </c>
      <c r="AK83" s="2" t="e">
        <f t="shared" si="50"/>
        <v>#DIV/0!</v>
      </c>
      <c r="AN83" s="8" t="e">
        <f t="shared" si="76"/>
        <v>#DIV/0!</v>
      </c>
      <c r="AO83" s="2" t="e">
        <f t="shared" si="51"/>
        <v>#DIV/0!</v>
      </c>
      <c r="AP83" s="2" t="e">
        <f t="shared" si="58"/>
        <v>#DIV/0!</v>
      </c>
      <c r="AS83" s="8" t="e">
        <f t="shared" si="77"/>
        <v>#DIV/0!</v>
      </c>
      <c r="AT83" s="2" t="e">
        <f t="shared" si="53"/>
        <v>#DIV/0!</v>
      </c>
      <c r="AU83" s="2" t="e">
        <f t="shared" si="54"/>
        <v>#DIV/0!</v>
      </c>
    </row>
    <row r="84" spans="1:47" x14ac:dyDescent="0.2">
      <c r="A84" s="2">
        <f t="shared" si="41"/>
        <v>4.1666666666666687</v>
      </c>
      <c r="B84" s="2">
        <f t="shared" si="42"/>
        <v>1.5503853599009286E-2</v>
      </c>
      <c r="C84" s="2">
        <f t="shared" si="59"/>
        <v>1.5503853599009286E-2</v>
      </c>
      <c r="D84" s="8">
        <f t="shared" si="60"/>
        <v>1.5503853599009286E-2</v>
      </c>
      <c r="E84" s="2">
        <f t="shared" si="61"/>
        <v>1.5503853599009286E-2</v>
      </c>
      <c r="G84" s="8" t="e">
        <f t="shared" si="62"/>
        <v>#DIV/0!</v>
      </c>
      <c r="H84" s="2" t="e">
        <f t="shared" si="63"/>
        <v>#DIV/0!</v>
      </c>
      <c r="J84" s="8">
        <f t="shared" si="64"/>
        <v>7.677317943158557E-2</v>
      </c>
      <c r="K84" s="2">
        <f t="shared" si="65"/>
        <v>7.677317943158557E-2</v>
      </c>
      <c r="M84" s="8">
        <f t="shared" si="66"/>
        <v>0.19354838709677402</v>
      </c>
      <c r="N84" s="2">
        <f t="shared" si="67"/>
        <v>0.19354838709677402</v>
      </c>
      <c r="P84" s="8">
        <f t="shared" si="68"/>
        <v>1.5503853599009298E-2</v>
      </c>
      <c r="Q84" s="2">
        <f t="shared" si="69"/>
        <v>1.5503853599009298E-2</v>
      </c>
      <c r="S84" s="8">
        <f t="shared" si="70"/>
        <v>7.677317943158557E-2</v>
      </c>
      <c r="T84" s="2">
        <f t="shared" si="71"/>
        <v>7.677317943158557E-2</v>
      </c>
      <c r="W84" s="8" t="e">
        <f t="shared" si="72"/>
        <v>#DIV/0!</v>
      </c>
      <c r="X84" s="2" t="e">
        <f t="shared" si="43"/>
        <v>#DIV/0!</v>
      </c>
      <c r="Y84" s="2" t="e">
        <f t="shared" ref="Y84:Y99" si="81">EXP(-EXP($W84+Z$29))</f>
        <v>#DIV/0!</v>
      </c>
      <c r="AA84" s="8" t="e">
        <f t="shared" si="73"/>
        <v>#DIV/0!</v>
      </c>
      <c r="AB84" s="2" t="e">
        <f t="shared" si="45"/>
        <v>#DIV/0!</v>
      </c>
      <c r="AC84" s="2" t="e">
        <f t="shared" ref="AC84:AC99" si="82">1-(EXP($AA84+AD$29)/(1 + EXP($AA84+AD$29)))</f>
        <v>#DIV/0!</v>
      </c>
      <c r="AE84" s="8" t="e">
        <f t="shared" si="74"/>
        <v>#DIV/0!</v>
      </c>
      <c r="AF84" s="2" t="e">
        <f t="shared" si="47"/>
        <v>#DIV/0!</v>
      </c>
      <c r="AG84" s="2" t="e">
        <f t="shared" ref="AG84:AG99" si="83">1-NORMSDIST($AE84+AH$29)</f>
        <v>#DIV/0!</v>
      </c>
      <c r="AI84" s="8" t="e">
        <f t="shared" si="75"/>
        <v>#DIV/0!</v>
      </c>
      <c r="AJ84" s="2" t="e">
        <f t="shared" si="49"/>
        <v>#DIV/0!</v>
      </c>
      <c r="AK84" s="2" t="e">
        <f t="shared" si="50"/>
        <v>#DIV/0!</v>
      </c>
      <c r="AN84" s="8" t="e">
        <f t="shared" si="76"/>
        <v>#DIV/0!</v>
      </c>
      <c r="AO84" s="2" t="e">
        <f t="shared" si="51"/>
        <v>#DIV/0!</v>
      </c>
      <c r="AP84" s="2" t="e">
        <f t="shared" si="58"/>
        <v>#DIV/0!</v>
      </c>
      <c r="AS84" s="8" t="e">
        <f t="shared" si="77"/>
        <v>#DIV/0!</v>
      </c>
      <c r="AT84" s="2" t="e">
        <f t="shared" si="53"/>
        <v>#DIV/0!</v>
      </c>
      <c r="AU84" s="2" t="e">
        <f t="shared" si="54"/>
        <v>#DIV/0!</v>
      </c>
    </row>
    <row r="85" spans="1:47" x14ac:dyDescent="0.2">
      <c r="A85" s="2">
        <f t="shared" si="41"/>
        <v>4.2500000000000018</v>
      </c>
      <c r="B85" s="2">
        <f t="shared" si="42"/>
        <v>1.4264233908999229E-2</v>
      </c>
      <c r="C85" s="2">
        <f t="shared" si="59"/>
        <v>1.4264233908999229E-2</v>
      </c>
      <c r="D85" s="8">
        <f t="shared" si="60"/>
        <v>1.4264233908999229E-2</v>
      </c>
      <c r="E85" s="2">
        <f t="shared" si="61"/>
        <v>1.4264233908999229E-2</v>
      </c>
      <c r="G85" s="8" t="e">
        <f t="shared" si="62"/>
        <v>#DIV/0!</v>
      </c>
      <c r="H85" s="2" t="e">
        <f t="shared" si="63"/>
        <v>#DIV/0!</v>
      </c>
      <c r="J85" s="8">
        <f t="shared" si="64"/>
        <v>7.3959807899369845E-2</v>
      </c>
      <c r="K85" s="2">
        <f t="shared" si="65"/>
        <v>7.3959807899369845E-2</v>
      </c>
      <c r="M85" s="8">
        <f t="shared" si="66"/>
        <v>0.19047619047619035</v>
      </c>
      <c r="N85" s="2">
        <f t="shared" si="67"/>
        <v>0.19047619047619035</v>
      </c>
      <c r="P85" s="8">
        <f t="shared" si="68"/>
        <v>1.4264233908999224E-2</v>
      </c>
      <c r="Q85" s="2">
        <f t="shared" si="69"/>
        <v>1.4264233908999224E-2</v>
      </c>
      <c r="S85" s="8">
        <f t="shared" si="70"/>
        <v>7.3959807899369845E-2</v>
      </c>
      <c r="T85" s="2">
        <f t="shared" si="71"/>
        <v>7.3959807899369845E-2</v>
      </c>
      <c r="W85" s="8" t="e">
        <f t="shared" si="72"/>
        <v>#DIV/0!</v>
      </c>
      <c r="X85" s="2" t="e">
        <f t="shared" si="43"/>
        <v>#DIV/0!</v>
      </c>
      <c r="Y85" s="2" t="e">
        <f t="shared" si="81"/>
        <v>#DIV/0!</v>
      </c>
      <c r="AA85" s="8" t="e">
        <f t="shared" si="73"/>
        <v>#DIV/0!</v>
      </c>
      <c r="AB85" s="2" t="e">
        <f t="shared" si="45"/>
        <v>#DIV/0!</v>
      </c>
      <c r="AC85" s="2" t="e">
        <f t="shared" si="82"/>
        <v>#DIV/0!</v>
      </c>
      <c r="AE85" s="8" t="e">
        <f t="shared" si="74"/>
        <v>#DIV/0!</v>
      </c>
      <c r="AF85" s="2" t="e">
        <f t="shared" si="47"/>
        <v>#DIV/0!</v>
      </c>
      <c r="AG85" s="2" t="e">
        <f t="shared" si="83"/>
        <v>#DIV/0!</v>
      </c>
      <c r="AI85" s="8" t="e">
        <f t="shared" si="75"/>
        <v>#DIV/0!</v>
      </c>
      <c r="AJ85" s="2" t="e">
        <f t="shared" si="49"/>
        <v>#DIV/0!</v>
      </c>
      <c r="AK85" s="2" t="e">
        <f t="shared" si="50"/>
        <v>#DIV/0!</v>
      </c>
      <c r="AN85" s="8" t="e">
        <f t="shared" si="76"/>
        <v>#DIV/0!</v>
      </c>
      <c r="AO85" s="2" t="e">
        <f t="shared" si="51"/>
        <v>#DIV/0!</v>
      </c>
      <c r="AP85" s="2" t="e">
        <f t="shared" si="58"/>
        <v>#DIV/0!</v>
      </c>
      <c r="AS85" s="8" t="e">
        <f t="shared" si="77"/>
        <v>#DIV/0!</v>
      </c>
      <c r="AT85" s="2" t="e">
        <f t="shared" si="53"/>
        <v>#DIV/0!</v>
      </c>
      <c r="AU85" s="2" t="e">
        <f t="shared" si="54"/>
        <v>#DIV/0!</v>
      </c>
    </row>
    <row r="86" spans="1:47" x14ac:dyDescent="0.2">
      <c r="A86" s="2">
        <f t="shared" si="41"/>
        <v>4.3333333333333348</v>
      </c>
      <c r="B86" s="2">
        <f t="shared" si="42"/>
        <v>1.3123728736940943E-2</v>
      </c>
      <c r="C86" s="2">
        <f t="shared" si="59"/>
        <v>1.3123728736940943E-2</v>
      </c>
      <c r="D86" s="8">
        <f t="shared" si="60"/>
        <v>1.3123728736940943E-2</v>
      </c>
      <c r="E86" s="2">
        <f t="shared" si="61"/>
        <v>1.3123728736940943E-2</v>
      </c>
      <c r="G86" s="8" t="e">
        <f t="shared" si="62"/>
        <v>#DIV/0!</v>
      </c>
      <c r="H86" s="2" t="e">
        <f t="shared" si="63"/>
        <v>#DIV/0!</v>
      </c>
      <c r="J86" s="8">
        <f t="shared" si="64"/>
        <v>7.1278240752786548E-2</v>
      </c>
      <c r="K86" s="2">
        <f t="shared" si="65"/>
        <v>7.1278240752786548E-2</v>
      </c>
      <c r="M86" s="8">
        <f t="shared" si="66"/>
        <v>0.18749999999999989</v>
      </c>
      <c r="N86" s="2">
        <f t="shared" si="67"/>
        <v>0.18749999999999989</v>
      </c>
      <c r="P86" s="8">
        <f t="shared" si="68"/>
        <v>1.3123728736940898E-2</v>
      </c>
      <c r="Q86" s="2">
        <f t="shared" si="69"/>
        <v>1.3123728736940898E-2</v>
      </c>
      <c r="S86" s="8">
        <f t="shared" si="70"/>
        <v>7.1278240752786548E-2</v>
      </c>
      <c r="T86" s="2">
        <f t="shared" si="71"/>
        <v>7.1278240752786548E-2</v>
      </c>
      <c r="W86" s="8" t="e">
        <f t="shared" si="72"/>
        <v>#DIV/0!</v>
      </c>
      <c r="X86" s="2" t="e">
        <f t="shared" si="43"/>
        <v>#DIV/0!</v>
      </c>
      <c r="Y86" s="2" t="e">
        <f t="shared" si="81"/>
        <v>#DIV/0!</v>
      </c>
      <c r="AA86" s="8" t="e">
        <f t="shared" si="73"/>
        <v>#DIV/0!</v>
      </c>
      <c r="AB86" s="2" t="e">
        <f t="shared" si="45"/>
        <v>#DIV/0!</v>
      </c>
      <c r="AC86" s="2" t="e">
        <f t="shared" si="82"/>
        <v>#DIV/0!</v>
      </c>
      <c r="AE86" s="8" t="e">
        <f t="shared" si="74"/>
        <v>#DIV/0!</v>
      </c>
      <c r="AF86" s="2" t="e">
        <f t="shared" si="47"/>
        <v>#DIV/0!</v>
      </c>
      <c r="AG86" s="2" t="e">
        <f t="shared" si="83"/>
        <v>#DIV/0!</v>
      </c>
      <c r="AI86" s="8" t="e">
        <f t="shared" si="75"/>
        <v>#DIV/0!</v>
      </c>
      <c r="AJ86" s="2" t="e">
        <f t="shared" si="49"/>
        <v>#DIV/0!</v>
      </c>
      <c r="AK86" s="2" t="e">
        <f t="shared" si="50"/>
        <v>#DIV/0!</v>
      </c>
      <c r="AN86" s="8" t="e">
        <f t="shared" si="76"/>
        <v>#DIV/0!</v>
      </c>
      <c r="AO86" s="2" t="e">
        <f t="shared" si="51"/>
        <v>#DIV/0!</v>
      </c>
      <c r="AP86" s="2" t="e">
        <f t="shared" si="58"/>
        <v>#DIV/0!</v>
      </c>
      <c r="AS86" s="8" t="e">
        <f t="shared" si="77"/>
        <v>#DIV/0!</v>
      </c>
      <c r="AT86" s="2" t="e">
        <f t="shared" si="53"/>
        <v>#DIV/0!</v>
      </c>
      <c r="AU86" s="2" t="e">
        <f t="shared" si="54"/>
        <v>#DIV/0!</v>
      </c>
    </row>
    <row r="87" spans="1:47" x14ac:dyDescent="0.2">
      <c r="A87" s="2">
        <f t="shared" si="41"/>
        <v>4.4166666666666679</v>
      </c>
      <c r="B87" s="2">
        <f t="shared" si="42"/>
        <v>1.2074413323532861E-2</v>
      </c>
      <c r="C87" s="2">
        <f t="shared" si="59"/>
        <v>1.2074413323532861E-2</v>
      </c>
      <c r="D87" s="8">
        <f t="shared" si="60"/>
        <v>1.2074413323532861E-2</v>
      </c>
      <c r="E87" s="2">
        <f t="shared" si="61"/>
        <v>1.2074413323532861E-2</v>
      </c>
      <c r="G87" s="8" t="e">
        <f t="shared" si="62"/>
        <v>#DIV/0!</v>
      </c>
      <c r="H87" s="2" t="e">
        <f t="shared" si="63"/>
        <v>#DIV/0!</v>
      </c>
      <c r="J87" s="8">
        <f t="shared" si="64"/>
        <v>6.8720898512798168E-2</v>
      </c>
      <c r="K87" s="2">
        <f t="shared" si="65"/>
        <v>6.8720898512798168E-2</v>
      </c>
      <c r="M87" s="8">
        <f t="shared" si="66"/>
        <v>0.18461538461538463</v>
      </c>
      <c r="N87" s="2">
        <f t="shared" si="67"/>
        <v>0.18461538461538463</v>
      </c>
      <c r="P87" s="8">
        <f t="shared" si="68"/>
        <v>1.2074413323532873E-2</v>
      </c>
      <c r="Q87" s="2">
        <f t="shared" si="69"/>
        <v>1.2074413323532873E-2</v>
      </c>
      <c r="S87" s="8">
        <f t="shared" si="70"/>
        <v>6.8720898512798168E-2</v>
      </c>
      <c r="T87" s="2">
        <f t="shared" si="71"/>
        <v>6.8720898512798168E-2</v>
      </c>
      <c r="W87" s="8" t="e">
        <f t="shared" si="72"/>
        <v>#DIV/0!</v>
      </c>
      <c r="X87" s="2" t="e">
        <f t="shared" si="43"/>
        <v>#DIV/0!</v>
      </c>
      <c r="Y87" s="2" t="e">
        <f t="shared" si="81"/>
        <v>#DIV/0!</v>
      </c>
      <c r="AA87" s="8" t="e">
        <f t="shared" si="73"/>
        <v>#DIV/0!</v>
      </c>
      <c r="AB87" s="2" t="e">
        <f t="shared" si="45"/>
        <v>#DIV/0!</v>
      </c>
      <c r="AC87" s="2" t="e">
        <f t="shared" si="82"/>
        <v>#DIV/0!</v>
      </c>
      <c r="AE87" s="8" t="e">
        <f t="shared" si="74"/>
        <v>#DIV/0!</v>
      </c>
      <c r="AF87" s="2" t="e">
        <f t="shared" si="47"/>
        <v>#DIV/0!</v>
      </c>
      <c r="AG87" s="2" t="e">
        <f t="shared" si="83"/>
        <v>#DIV/0!</v>
      </c>
      <c r="AI87" s="8" t="e">
        <f t="shared" si="75"/>
        <v>#DIV/0!</v>
      </c>
      <c r="AJ87" s="2" t="e">
        <f t="shared" si="49"/>
        <v>#DIV/0!</v>
      </c>
      <c r="AK87" s="2" t="e">
        <f t="shared" si="50"/>
        <v>#DIV/0!</v>
      </c>
      <c r="AN87" s="8" t="e">
        <f t="shared" si="76"/>
        <v>#DIV/0!</v>
      </c>
      <c r="AO87" s="2" t="e">
        <f t="shared" si="51"/>
        <v>#DIV/0!</v>
      </c>
      <c r="AP87" s="2" t="e">
        <f t="shared" si="58"/>
        <v>#DIV/0!</v>
      </c>
      <c r="AS87" s="8" t="e">
        <f t="shared" si="77"/>
        <v>#DIV/0!</v>
      </c>
      <c r="AT87" s="2" t="e">
        <f t="shared" si="53"/>
        <v>#DIV/0!</v>
      </c>
      <c r="AU87" s="2" t="e">
        <f t="shared" si="54"/>
        <v>#DIV/0!</v>
      </c>
    </row>
    <row r="88" spans="1:47" x14ac:dyDescent="0.2">
      <c r="A88" s="2">
        <f t="shared" si="41"/>
        <v>4.5000000000000009</v>
      </c>
      <c r="B88" s="2">
        <f t="shared" si="42"/>
        <v>1.1108996538242297E-2</v>
      </c>
      <c r="C88" s="2">
        <f t="shared" si="59"/>
        <v>1.1108996538242297E-2</v>
      </c>
      <c r="D88" s="8">
        <f t="shared" si="60"/>
        <v>1.1108996538242297E-2</v>
      </c>
      <c r="E88" s="2">
        <f t="shared" si="61"/>
        <v>1.1108996538242297E-2</v>
      </c>
      <c r="G88" s="8" t="e">
        <f t="shared" si="62"/>
        <v>#DIV/0!</v>
      </c>
      <c r="H88" s="2" t="e">
        <f t="shared" si="63"/>
        <v>#DIV/0!</v>
      </c>
      <c r="J88" s="8">
        <f t="shared" si="64"/>
        <v>6.6280719749549299E-2</v>
      </c>
      <c r="K88" s="2">
        <f t="shared" si="65"/>
        <v>6.6280719749549299E-2</v>
      </c>
      <c r="M88" s="8">
        <f t="shared" si="66"/>
        <v>0.18181818181818177</v>
      </c>
      <c r="N88" s="2">
        <f t="shared" si="67"/>
        <v>0.18181818181818177</v>
      </c>
      <c r="P88" s="8">
        <f t="shared" si="68"/>
        <v>1.1108996538242266E-2</v>
      </c>
      <c r="Q88" s="2">
        <f t="shared" si="69"/>
        <v>1.1108996538242266E-2</v>
      </c>
      <c r="S88" s="8">
        <f t="shared" si="70"/>
        <v>6.6280719749549299E-2</v>
      </c>
      <c r="T88" s="2">
        <f t="shared" si="71"/>
        <v>6.6280719749549299E-2</v>
      </c>
      <c r="W88" s="8" t="e">
        <f t="shared" si="72"/>
        <v>#DIV/0!</v>
      </c>
      <c r="X88" s="2" t="e">
        <f t="shared" si="43"/>
        <v>#DIV/0!</v>
      </c>
      <c r="Y88" s="2" t="e">
        <f t="shared" si="81"/>
        <v>#DIV/0!</v>
      </c>
      <c r="AA88" s="8" t="e">
        <f t="shared" si="73"/>
        <v>#DIV/0!</v>
      </c>
      <c r="AB88" s="2" t="e">
        <f t="shared" si="45"/>
        <v>#DIV/0!</v>
      </c>
      <c r="AC88" s="2" t="e">
        <f t="shared" si="82"/>
        <v>#DIV/0!</v>
      </c>
      <c r="AE88" s="8" t="e">
        <f t="shared" si="74"/>
        <v>#DIV/0!</v>
      </c>
      <c r="AF88" s="2" t="e">
        <f t="shared" si="47"/>
        <v>#DIV/0!</v>
      </c>
      <c r="AG88" s="2" t="e">
        <f t="shared" si="83"/>
        <v>#DIV/0!</v>
      </c>
      <c r="AI88" s="8" t="e">
        <f t="shared" si="75"/>
        <v>#DIV/0!</v>
      </c>
      <c r="AJ88" s="2" t="e">
        <f t="shared" si="49"/>
        <v>#DIV/0!</v>
      </c>
      <c r="AK88" s="2" t="e">
        <f t="shared" si="50"/>
        <v>#DIV/0!</v>
      </c>
      <c r="AN88" s="8" t="e">
        <f t="shared" si="76"/>
        <v>#DIV/0!</v>
      </c>
      <c r="AO88" s="2" t="e">
        <f t="shared" si="51"/>
        <v>#DIV/0!</v>
      </c>
      <c r="AP88" s="2" t="e">
        <f t="shared" si="58"/>
        <v>#DIV/0!</v>
      </c>
      <c r="AS88" s="8" t="e">
        <f t="shared" si="77"/>
        <v>#DIV/0!</v>
      </c>
      <c r="AT88" s="2" t="e">
        <f t="shared" si="53"/>
        <v>#DIV/0!</v>
      </c>
      <c r="AU88" s="2" t="e">
        <f t="shared" si="54"/>
        <v>#DIV/0!</v>
      </c>
    </row>
    <row r="89" spans="1:47" x14ac:dyDescent="0.2">
      <c r="A89" s="2">
        <f t="shared" si="41"/>
        <v>4.5833333333333339</v>
      </c>
      <c r="B89" s="2">
        <f t="shared" si="42"/>
        <v>1.0220770217146315E-2</v>
      </c>
      <c r="C89" s="2">
        <f t="shared" si="59"/>
        <v>1.0220770217146315E-2</v>
      </c>
      <c r="D89" s="8">
        <f t="shared" si="60"/>
        <v>1.0220770217146315E-2</v>
      </c>
      <c r="E89" s="2">
        <f t="shared" si="61"/>
        <v>1.0220770217146315E-2</v>
      </c>
      <c r="G89" s="8" t="e">
        <f t="shared" si="62"/>
        <v>#DIV/0!</v>
      </c>
      <c r="H89" s="2" t="e">
        <f t="shared" si="63"/>
        <v>#DIV/0!</v>
      </c>
      <c r="J89" s="8">
        <f t="shared" si="64"/>
        <v>6.3951120072597178E-2</v>
      </c>
      <c r="K89" s="2">
        <f t="shared" si="65"/>
        <v>6.3951120072597178E-2</v>
      </c>
      <c r="M89" s="8">
        <f t="shared" si="66"/>
        <v>0.17910447761194037</v>
      </c>
      <c r="N89" s="2">
        <f t="shared" si="67"/>
        <v>0.17910447761194037</v>
      </c>
      <c r="P89" s="8">
        <f t="shared" si="68"/>
        <v>1.0220770217146291E-2</v>
      </c>
      <c r="Q89" s="2">
        <f t="shared" si="69"/>
        <v>1.0220770217146291E-2</v>
      </c>
      <c r="S89" s="8">
        <f t="shared" si="70"/>
        <v>6.3951120072597178E-2</v>
      </c>
      <c r="T89" s="2">
        <f t="shared" si="71"/>
        <v>6.3951120072597178E-2</v>
      </c>
      <c r="W89" s="8" t="e">
        <f t="shared" si="72"/>
        <v>#DIV/0!</v>
      </c>
      <c r="X89" s="2" t="e">
        <f t="shared" si="43"/>
        <v>#DIV/0!</v>
      </c>
      <c r="Y89" s="2" t="e">
        <f t="shared" si="81"/>
        <v>#DIV/0!</v>
      </c>
      <c r="AA89" s="8" t="e">
        <f t="shared" si="73"/>
        <v>#DIV/0!</v>
      </c>
      <c r="AB89" s="2" t="e">
        <f t="shared" si="45"/>
        <v>#DIV/0!</v>
      </c>
      <c r="AC89" s="2" t="e">
        <f t="shared" si="82"/>
        <v>#DIV/0!</v>
      </c>
      <c r="AE89" s="8" t="e">
        <f t="shared" si="74"/>
        <v>#DIV/0!</v>
      </c>
      <c r="AF89" s="2" t="e">
        <f t="shared" si="47"/>
        <v>#DIV/0!</v>
      </c>
      <c r="AG89" s="2" t="e">
        <f t="shared" si="83"/>
        <v>#DIV/0!</v>
      </c>
      <c r="AI89" s="8" t="e">
        <f t="shared" si="75"/>
        <v>#DIV/0!</v>
      </c>
      <c r="AJ89" s="2" t="e">
        <f t="shared" si="49"/>
        <v>#DIV/0!</v>
      </c>
      <c r="AK89" s="2" t="e">
        <f t="shared" si="50"/>
        <v>#DIV/0!</v>
      </c>
      <c r="AN89" s="8" t="e">
        <f t="shared" si="76"/>
        <v>#DIV/0!</v>
      </c>
      <c r="AO89" s="2" t="e">
        <f t="shared" si="51"/>
        <v>#DIV/0!</v>
      </c>
      <c r="AP89" s="2" t="e">
        <f t="shared" si="58"/>
        <v>#DIV/0!</v>
      </c>
      <c r="AS89" s="8" t="e">
        <f t="shared" si="77"/>
        <v>#DIV/0!</v>
      </c>
      <c r="AT89" s="2" t="e">
        <f t="shared" si="53"/>
        <v>#DIV/0!</v>
      </c>
      <c r="AU89" s="2" t="e">
        <f t="shared" si="54"/>
        <v>#DIV/0!</v>
      </c>
    </row>
    <row r="90" spans="1:47" x14ac:dyDescent="0.2">
      <c r="A90" s="2">
        <f t="shared" si="41"/>
        <v>4.666666666666667</v>
      </c>
      <c r="B90" s="2">
        <f t="shared" si="42"/>
        <v>9.4035625514952061E-3</v>
      </c>
      <c r="C90" s="2">
        <f t="shared" si="59"/>
        <v>9.4035625514952061E-3</v>
      </c>
      <c r="D90" s="8">
        <f t="shared" si="60"/>
        <v>9.4035625514952061E-3</v>
      </c>
      <c r="E90" s="2">
        <f t="shared" si="61"/>
        <v>9.4035625514952061E-3</v>
      </c>
      <c r="G90" s="8" t="e">
        <f t="shared" si="62"/>
        <v>#DIV/0!</v>
      </c>
      <c r="H90" s="2" t="e">
        <f t="shared" si="63"/>
        <v>#DIV/0!</v>
      </c>
      <c r="J90" s="8">
        <f t="shared" si="64"/>
        <v>6.1725954802054339E-2</v>
      </c>
      <c r="K90" s="2">
        <f t="shared" si="65"/>
        <v>6.1725954802054339E-2</v>
      </c>
      <c r="M90" s="8">
        <f t="shared" si="66"/>
        <v>0.17647058823529405</v>
      </c>
      <c r="N90" s="2">
        <f t="shared" si="67"/>
        <v>0.17647058823529405</v>
      </c>
      <c r="P90" s="8">
        <f t="shared" si="68"/>
        <v>9.4035625514952148E-3</v>
      </c>
      <c r="Q90" s="2">
        <f t="shared" si="69"/>
        <v>9.4035625514952148E-3</v>
      </c>
      <c r="S90" s="8">
        <f t="shared" si="70"/>
        <v>6.1725954802054339E-2</v>
      </c>
      <c r="T90" s="2">
        <f t="shared" si="71"/>
        <v>6.1725954802054339E-2</v>
      </c>
      <c r="W90" s="8" t="e">
        <f t="shared" si="72"/>
        <v>#DIV/0!</v>
      </c>
      <c r="X90" s="2" t="e">
        <f t="shared" si="43"/>
        <v>#DIV/0!</v>
      </c>
      <c r="Y90" s="2" t="e">
        <f t="shared" si="81"/>
        <v>#DIV/0!</v>
      </c>
      <c r="AA90" s="8" t="e">
        <f t="shared" si="73"/>
        <v>#DIV/0!</v>
      </c>
      <c r="AB90" s="2" t="e">
        <f t="shared" si="45"/>
        <v>#DIV/0!</v>
      </c>
      <c r="AC90" s="2" t="e">
        <f t="shared" si="82"/>
        <v>#DIV/0!</v>
      </c>
      <c r="AE90" s="8" t="e">
        <f t="shared" si="74"/>
        <v>#DIV/0!</v>
      </c>
      <c r="AF90" s="2" t="e">
        <f t="shared" si="47"/>
        <v>#DIV/0!</v>
      </c>
      <c r="AG90" s="2" t="e">
        <f t="shared" si="83"/>
        <v>#DIV/0!</v>
      </c>
      <c r="AI90" s="8" t="e">
        <f t="shared" si="75"/>
        <v>#DIV/0!</v>
      </c>
      <c r="AJ90" s="2" t="e">
        <f t="shared" si="49"/>
        <v>#DIV/0!</v>
      </c>
      <c r="AK90" s="2" t="e">
        <f t="shared" si="50"/>
        <v>#DIV/0!</v>
      </c>
      <c r="AN90" s="8" t="e">
        <f t="shared" si="76"/>
        <v>#DIV/0!</v>
      </c>
      <c r="AO90" s="2" t="e">
        <f t="shared" si="51"/>
        <v>#DIV/0!</v>
      </c>
      <c r="AP90" s="2" t="e">
        <f t="shared" si="58"/>
        <v>#DIV/0!</v>
      </c>
      <c r="AS90" s="8" t="e">
        <f t="shared" si="77"/>
        <v>#DIV/0!</v>
      </c>
      <c r="AT90" s="2" t="e">
        <f t="shared" si="53"/>
        <v>#DIV/0!</v>
      </c>
      <c r="AU90" s="2" t="e">
        <f t="shared" si="54"/>
        <v>#DIV/0!</v>
      </c>
    </row>
    <row r="91" spans="1:47" x14ac:dyDescent="0.2">
      <c r="A91" s="2">
        <f t="shared" si="41"/>
        <v>4.75</v>
      </c>
      <c r="B91" s="2">
        <f t="shared" si="42"/>
        <v>8.6516952031206341E-3</v>
      </c>
      <c r="C91" s="2">
        <f t="shared" si="59"/>
        <v>8.6516952031206341E-3</v>
      </c>
      <c r="D91" s="8">
        <f t="shared" si="60"/>
        <v>8.6516952031206341E-3</v>
      </c>
      <c r="E91" s="2">
        <f t="shared" si="61"/>
        <v>8.6516952031206341E-3</v>
      </c>
      <c r="G91" s="8" t="e">
        <f t="shared" si="62"/>
        <v>#DIV/0!</v>
      </c>
      <c r="H91" s="2" t="e">
        <f t="shared" si="63"/>
        <v>#DIV/0!</v>
      </c>
      <c r="J91" s="8">
        <f t="shared" si="64"/>
        <v>5.9599484952713833E-2</v>
      </c>
      <c r="K91" s="2">
        <f t="shared" si="65"/>
        <v>5.9599484952713833E-2</v>
      </c>
      <c r="M91" s="8">
        <f t="shared" si="66"/>
        <v>0.17391304347826086</v>
      </c>
      <c r="N91" s="2">
        <f t="shared" si="67"/>
        <v>0.17391304347826086</v>
      </c>
      <c r="P91" s="8">
        <f t="shared" si="68"/>
        <v>8.6516952031205907E-3</v>
      </c>
      <c r="Q91" s="2">
        <f t="shared" si="69"/>
        <v>8.6516952031205907E-3</v>
      </c>
      <c r="S91" s="8">
        <f t="shared" si="70"/>
        <v>5.9599484952713833E-2</v>
      </c>
      <c r="T91" s="2">
        <f t="shared" si="71"/>
        <v>5.9599484952713833E-2</v>
      </c>
      <c r="W91" s="8" t="e">
        <f t="shared" si="72"/>
        <v>#DIV/0!</v>
      </c>
      <c r="X91" s="2" t="e">
        <f t="shared" si="43"/>
        <v>#DIV/0!</v>
      </c>
      <c r="Y91" s="2" t="e">
        <f t="shared" si="81"/>
        <v>#DIV/0!</v>
      </c>
      <c r="AA91" s="8" t="e">
        <f t="shared" si="73"/>
        <v>#DIV/0!</v>
      </c>
      <c r="AB91" s="2" t="e">
        <f t="shared" si="45"/>
        <v>#DIV/0!</v>
      </c>
      <c r="AC91" s="2" t="e">
        <f t="shared" si="82"/>
        <v>#DIV/0!</v>
      </c>
      <c r="AE91" s="8" t="e">
        <f t="shared" si="74"/>
        <v>#DIV/0!</v>
      </c>
      <c r="AF91" s="2" t="e">
        <f t="shared" si="47"/>
        <v>#DIV/0!</v>
      </c>
      <c r="AG91" s="2" t="e">
        <f t="shared" si="83"/>
        <v>#DIV/0!</v>
      </c>
      <c r="AI91" s="8" t="e">
        <f t="shared" si="75"/>
        <v>#DIV/0!</v>
      </c>
      <c r="AJ91" s="2" t="e">
        <f t="shared" si="49"/>
        <v>#DIV/0!</v>
      </c>
      <c r="AK91" s="2" t="e">
        <f t="shared" si="50"/>
        <v>#DIV/0!</v>
      </c>
      <c r="AN91" s="8" t="e">
        <f t="shared" si="76"/>
        <v>#DIV/0!</v>
      </c>
      <c r="AO91" s="2" t="e">
        <f t="shared" si="51"/>
        <v>#DIV/0!</v>
      </c>
      <c r="AP91" s="2" t="e">
        <f t="shared" si="58"/>
        <v>#DIV/0!</v>
      </c>
      <c r="AS91" s="8" t="e">
        <f t="shared" si="77"/>
        <v>#DIV/0!</v>
      </c>
      <c r="AT91" s="2" t="e">
        <f t="shared" si="53"/>
        <v>#DIV/0!</v>
      </c>
      <c r="AU91" s="2" t="e">
        <f t="shared" si="54"/>
        <v>#DIV/0!</v>
      </c>
    </row>
    <row r="92" spans="1:47" x14ac:dyDescent="0.2">
      <c r="A92" s="2">
        <f t="shared" si="41"/>
        <v>4.833333333333333</v>
      </c>
      <c r="B92" s="2">
        <f t="shared" si="42"/>
        <v>7.9599438487064494E-3</v>
      </c>
      <c r="C92" s="2">
        <f t="shared" si="59"/>
        <v>7.9599438487064494E-3</v>
      </c>
      <c r="D92" s="8">
        <f t="shared" si="60"/>
        <v>7.9599438487064494E-3</v>
      </c>
      <c r="E92" s="2">
        <f t="shared" si="61"/>
        <v>7.9599438487064494E-3</v>
      </c>
      <c r="G92" s="8" t="e">
        <f t="shared" si="62"/>
        <v>#DIV/0!</v>
      </c>
      <c r="H92" s="2" t="e">
        <f t="shared" si="63"/>
        <v>#DIV/0!</v>
      </c>
      <c r="J92" s="8">
        <f t="shared" si="64"/>
        <v>5.7566346203538954E-2</v>
      </c>
      <c r="K92" s="2">
        <f t="shared" si="65"/>
        <v>5.7566346203538954E-2</v>
      </c>
      <c r="M92" s="8">
        <f t="shared" si="66"/>
        <v>0.17142857142857137</v>
      </c>
      <c r="N92" s="2">
        <f t="shared" si="67"/>
        <v>0.17142857142857137</v>
      </c>
      <c r="P92" s="8">
        <f t="shared" si="68"/>
        <v>7.9599438487064633E-3</v>
      </c>
      <c r="Q92" s="2">
        <f t="shared" si="69"/>
        <v>7.9599438487064633E-3</v>
      </c>
      <c r="S92" s="8">
        <f t="shared" si="70"/>
        <v>5.7566346203538954E-2</v>
      </c>
      <c r="T92" s="2">
        <f t="shared" si="71"/>
        <v>5.7566346203538954E-2</v>
      </c>
      <c r="W92" s="8" t="e">
        <f t="shared" si="72"/>
        <v>#DIV/0!</v>
      </c>
      <c r="X92" s="2" t="e">
        <f t="shared" si="43"/>
        <v>#DIV/0!</v>
      </c>
      <c r="Y92" s="2" t="e">
        <f t="shared" si="81"/>
        <v>#DIV/0!</v>
      </c>
      <c r="AA92" s="8" t="e">
        <f t="shared" si="73"/>
        <v>#DIV/0!</v>
      </c>
      <c r="AB92" s="2" t="e">
        <f t="shared" si="45"/>
        <v>#DIV/0!</v>
      </c>
      <c r="AC92" s="2" t="e">
        <f t="shared" si="82"/>
        <v>#DIV/0!</v>
      </c>
      <c r="AE92" s="8" t="e">
        <f t="shared" si="74"/>
        <v>#DIV/0!</v>
      </c>
      <c r="AF92" s="2" t="e">
        <f t="shared" si="47"/>
        <v>#DIV/0!</v>
      </c>
      <c r="AG92" s="2" t="e">
        <f t="shared" si="83"/>
        <v>#DIV/0!</v>
      </c>
      <c r="AI92" s="8" t="e">
        <f t="shared" si="75"/>
        <v>#DIV/0!</v>
      </c>
      <c r="AJ92" s="2" t="e">
        <f t="shared" si="49"/>
        <v>#DIV/0!</v>
      </c>
      <c r="AK92" s="2" t="e">
        <f t="shared" si="50"/>
        <v>#DIV/0!</v>
      </c>
      <c r="AN92" s="8" t="e">
        <f t="shared" si="76"/>
        <v>#DIV/0!</v>
      </c>
      <c r="AO92" s="2" t="e">
        <f t="shared" si="51"/>
        <v>#DIV/0!</v>
      </c>
      <c r="AP92" s="2" t="e">
        <f t="shared" si="58"/>
        <v>#DIV/0!</v>
      </c>
      <c r="AS92" s="8" t="e">
        <f t="shared" si="77"/>
        <v>#DIV/0!</v>
      </c>
      <c r="AT92" s="2" t="e">
        <f t="shared" si="53"/>
        <v>#DIV/0!</v>
      </c>
      <c r="AU92" s="2" t="e">
        <f t="shared" si="54"/>
        <v>#DIV/0!</v>
      </c>
    </row>
    <row r="93" spans="1:47" x14ac:dyDescent="0.2">
      <c r="A93" s="2">
        <f t="shared" si="41"/>
        <v>4.9166666666666661</v>
      </c>
      <c r="B93" s="2">
        <f t="shared" si="42"/>
        <v>7.3235018787654108E-3</v>
      </c>
      <c r="C93" s="2">
        <f t="shared" si="59"/>
        <v>7.3235018787654108E-3</v>
      </c>
      <c r="D93" s="8">
        <f t="shared" si="60"/>
        <v>7.3235018787654108E-3</v>
      </c>
      <c r="E93" s="2">
        <f t="shared" si="61"/>
        <v>7.3235018787654108E-3</v>
      </c>
      <c r="G93" s="8" t="e">
        <f t="shared" si="62"/>
        <v>#DIV/0!</v>
      </c>
      <c r="H93" s="2" t="e">
        <f t="shared" si="63"/>
        <v>#DIV/0!</v>
      </c>
      <c r="J93" s="8">
        <f t="shared" si="64"/>
        <v>5.5621520560444115E-2</v>
      </c>
      <c r="K93" s="2">
        <f t="shared" si="65"/>
        <v>5.5621520560444115E-2</v>
      </c>
      <c r="M93" s="8">
        <f t="shared" si="66"/>
        <v>0.16901408450704214</v>
      </c>
      <c r="N93" s="2">
        <f t="shared" si="67"/>
        <v>0.16901408450704214</v>
      </c>
      <c r="P93" s="8">
        <f t="shared" si="68"/>
        <v>7.3235018787654038E-3</v>
      </c>
      <c r="Q93" s="2">
        <f t="shared" si="69"/>
        <v>7.3235018787654038E-3</v>
      </c>
      <c r="S93" s="8">
        <f t="shared" si="70"/>
        <v>5.5621520560444115E-2</v>
      </c>
      <c r="T93" s="2">
        <f t="shared" si="71"/>
        <v>5.5621520560444115E-2</v>
      </c>
      <c r="W93" s="8" t="e">
        <f t="shared" si="72"/>
        <v>#DIV/0!</v>
      </c>
      <c r="X93" s="2" t="e">
        <f t="shared" si="43"/>
        <v>#DIV/0!</v>
      </c>
      <c r="Y93" s="2" t="e">
        <f t="shared" si="81"/>
        <v>#DIV/0!</v>
      </c>
      <c r="AA93" s="8" t="e">
        <f t="shared" si="73"/>
        <v>#DIV/0!</v>
      </c>
      <c r="AB93" s="2" t="e">
        <f t="shared" si="45"/>
        <v>#DIV/0!</v>
      </c>
      <c r="AC93" s="2" t="e">
        <f t="shared" si="82"/>
        <v>#DIV/0!</v>
      </c>
      <c r="AE93" s="8" t="e">
        <f t="shared" si="74"/>
        <v>#DIV/0!</v>
      </c>
      <c r="AF93" s="2" t="e">
        <f t="shared" si="47"/>
        <v>#DIV/0!</v>
      </c>
      <c r="AG93" s="2" t="e">
        <f t="shared" si="83"/>
        <v>#DIV/0!</v>
      </c>
      <c r="AI93" s="8" t="e">
        <f t="shared" si="75"/>
        <v>#DIV/0!</v>
      </c>
      <c r="AJ93" s="2" t="e">
        <f t="shared" si="49"/>
        <v>#DIV/0!</v>
      </c>
      <c r="AK93" s="2" t="e">
        <f t="shared" si="50"/>
        <v>#DIV/0!</v>
      </c>
      <c r="AN93" s="8" t="e">
        <f t="shared" si="76"/>
        <v>#DIV/0!</v>
      </c>
      <c r="AO93" s="2" t="e">
        <f t="shared" si="51"/>
        <v>#DIV/0!</v>
      </c>
      <c r="AP93" s="2" t="e">
        <f t="shared" si="58"/>
        <v>#DIV/0!</v>
      </c>
      <c r="AS93" s="8" t="e">
        <f t="shared" si="77"/>
        <v>#DIV/0!</v>
      </c>
      <c r="AT93" s="2" t="e">
        <f t="shared" si="53"/>
        <v>#DIV/0!</v>
      </c>
      <c r="AU93" s="2" t="e">
        <f t="shared" si="54"/>
        <v>#DIV/0!</v>
      </c>
    </row>
    <row r="94" spans="1:47" x14ac:dyDescent="0.2">
      <c r="A94" s="2">
        <f t="shared" si="41"/>
        <v>4.9999999999999991</v>
      </c>
      <c r="B94" s="2">
        <f t="shared" si="42"/>
        <v>6.7379469990854731E-3</v>
      </c>
      <c r="C94" s="2">
        <f t="shared" si="59"/>
        <v>6.7379469990854731E-3</v>
      </c>
      <c r="D94" s="8">
        <f t="shared" si="60"/>
        <v>6.7379469990854731E-3</v>
      </c>
      <c r="E94" s="2">
        <f t="shared" si="61"/>
        <v>6.7379469990854731E-3</v>
      </c>
      <c r="G94" s="8" t="e">
        <f t="shared" si="62"/>
        <v>#DIV/0!</v>
      </c>
      <c r="H94" s="2" t="e">
        <f t="shared" si="63"/>
        <v>#DIV/0!</v>
      </c>
      <c r="J94" s="8">
        <f t="shared" si="64"/>
        <v>5.3760310451663185E-2</v>
      </c>
      <c r="K94" s="2">
        <f t="shared" si="65"/>
        <v>5.3760310451663185E-2</v>
      </c>
      <c r="M94" s="8">
        <f t="shared" si="66"/>
        <v>0.16666666666666663</v>
      </c>
      <c r="N94" s="2">
        <f t="shared" si="67"/>
        <v>0.16666666666666663</v>
      </c>
      <c r="P94" s="8">
        <f t="shared" si="68"/>
        <v>6.7379469990854757E-3</v>
      </c>
      <c r="Q94" s="2">
        <f t="shared" si="69"/>
        <v>6.7379469990854757E-3</v>
      </c>
      <c r="S94" s="8">
        <f t="shared" si="70"/>
        <v>5.3760310451663185E-2</v>
      </c>
      <c r="T94" s="2">
        <f t="shared" si="71"/>
        <v>5.3760310451663185E-2</v>
      </c>
      <c r="W94" s="8" t="e">
        <f t="shared" si="72"/>
        <v>#DIV/0!</v>
      </c>
      <c r="X94" s="2" t="e">
        <f t="shared" si="43"/>
        <v>#DIV/0!</v>
      </c>
      <c r="Y94" s="2" t="e">
        <f t="shared" si="81"/>
        <v>#DIV/0!</v>
      </c>
      <c r="AA94" s="8" t="e">
        <f t="shared" si="73"/>
        <v>#DIV/0!</v>
      </c>
      <c r="AB94" s="2" t="e">
        <f t="shared" si="45"/>
        <v>#DIV/0!</v>
      </c>
      <c r="AC94" s="2" t="e">
        <f t="shared" si="82"/>
        <v>#DIV/0!</v>
      </c>
      <c r="AE94" s="8" t="e">
        <f t="shared" si="74"/>
        <v>#DIV/0!</v>
      </c>
      <c r="AF94" s="2" t="e">
        <f t="shared" si="47"/>
        <v>#DIV/0!</v>
      </c>
      <c r="AG94" s="2" t="e">
        <f t="shared" si="83"/>
        <v>#DIV/0!</v>
      </c>
      <c r="AI94" s="8" t="e">
        <f t="shared" si="75"/>
        <v>#DIV/0!</v>
      </c>
      <c r="AJ94" s="2" t="e">
        <f t="shared" si="49"/>
        <v>#DIV/0!</v>
      </c>
      <c r="AK94" s="2" t="e">
        <f t="shared" si="50"/>
        <v>#DIV/0!</v>
      </c>
      <c r="AN94" s="8" t="e">
        <f t="shared" si="76"/>
        <v>#DIV/0!</v>
      </c>
      <c r="AO94" s="2" t="e">
        <f t="shared" si="51"/>
        <v>#DIV/0!</v>
      </c>
      <c r="AP94" s="2" t="e">
        <f t="shared" si="58"/>
        <v>#DIV/0!</v>
      </c>
      <c r="AS94" s="8" t="e">
        <f t="shared" si="77"/>
        <v>#DIV/0!</v>
      </c>
      <c r="AT94" s="2" t="e">
        <f t="shared" si="53"/>
        <v>#DIV/0!</v>
      </c>
      <c r="AU94" s="2" t="e">
        <f t="shared" si="54"/>
        <v>#DIV/0!</v>
      </c>
    </row>
    <row r="95" spans="1:47" x14ac:dyDescent="0.2">
      <c r="A95" s="2">
        <f t="shared" si="41"/>
        <v>5.0833333333333321</v>
      </c>
      <c r="B95" s="2">
        <f t="shared" si="42"/>
        <v>6.199210502577001E-3</v>
      </c>
      <c r="C95" s="2">
        <f t="shared" si="59"/>
        <v>6.199210502577001E-3</v>
      </c>
      <c r="D95" s="8">
        <f t="shared" si="60"/>
        <v>6.199210502577001E-3</v>
      </c>
      <c r="E95" s="2">
        <f t="shared" si="61"/>
        <v>6.199210502577001E-3</v>
      </c>
      <c r="G95" s="8" t="e">
        <f t="shared" si="62"/>
        <v>#DIV/0!</v>
      </c>
      <c r="H95" s="2" t="e">
        <f t="shared" si="63"/>
        <v>#DIV/0!</v>
      </c>
      <c r="J95" s="8">
        <f t="shared" si="64"/>
        <v>5.1978315022725319E-2</v>
      </c>
      <c r="K95" s="2">
        <f t="shared" si="65"/>
        <v>5.1978315022725319E-2</v>
      </c>
      <c r="M95" s="8">
        <f t="shared" si="66"/>
        <v>0.16438356164383561</v>
      </c>
      <c r="N95" s="2">
        <f t="shared" si="67"/>
        <v>0.16438356164383561</v>
      </c>
      <c r="P95" s="8">
        <f t="shared" si="68"/>
        <v>6.1992105025769906E-3</v>
      </c>
      <c r="Q95" s="2">
        <f t="shared" si="69"/>
        <v>6.1992105025769906E-3</v>
      </c>
      <c r="S95" s="8">
        <f t="shared" si="70"/>
        <v>5.1978315022725319E-2</v>
      </c>
      <c r="T95" s="2">
        <f t="shared" si="71"/>
        <v>5.1978315022725319E-2</v>
      </c>
      <c r="W95" s="8" t="e">
        <f t="shared" si="72"/>
        <v>#DIV/0!</v>
      </c>
      <c r="X95" s="2" t="e">
        <f t="shared" si="43"/>
        <v>#DIV/0!</v>
      </c>
      <c r="Y95" s="2" t="e">
        <f t="shared" si="81"/>
        <v>#DIV/0!</v>
      </c>
      <c r="AA95" s="8" t="e">
        <f t="shared" si="73"/>
        <v>#DIV/0!</v>
      </c>
      <c r="AB95" s="2" t="e">
        <f t="shared" si="45"/>
        <v>#DIV/0!</v>
      </c>
      <c r="AC95" s="2" t="e">
        <f t="shared" si="82"/>
        <v>#DIV/0!</v>
      </c>
      <c r="AE95" s="8" t="e">
        <f t="shared" si="74"/>
        <v>#DIV/0!</v>
      </c>
      <c r="AF95" s="2" t="e">
        <f t="shared" si="47"/>
        <v>#DIV/0!</v>
      </c>
      <c r="AG95" s="2" t="e">
        <f t="shared" si="83"/>
        <v>#DIV/0!</v>
      </c>
      <c r="AI95" s="8" t="e">
        <f t="shared" si="75"/>
        <v>#DIV/0!</v>
      </c>
      <c r="AJ95" s="2" t="e">
        <f t="shared" si="49"/>
        <v>#DIV/0!</v>
      </c>
      <c r="AK95" s="2" t="e">
        <f t="shared" si="50"/>
        <v>#DIV/0!</v>
      </c>
      <c r="AN95" s="8" t="e">
        <f t="shared" si="76"/>
        <v>#DIV/0!</v>
      </c>
      <c r="AO95" s="2" t="e">
        <f t="shared" si="51"/>
        <v>#DIV/0!</v>
      </c>
      <c r="AP95" s="2" t="e">
        <f t="shared" si="58"/>
        <v>#DIV/0!</v>
      </c>
      <c r="AS95" s="8" t="e">
        <f t="shared" si="77"/>
        <v>#DIV/0!</v>
      </c>
      <c r="AT95" s="2" t="e">
        <f t="shared" si="53"/>
        <v>#DIV/0!</v>
      </c>
      <c r="AU95" s="2" t="e">
        <f t="shared" si="54"/>
        <v>#DIV/0!</v>
      </c>
    </row>
    <row r="96" spans="1:47" x14ac:dyDescent="0.2">
      <c r="A96" s="2">
        <f t="shared" si="41"/>
        <v>5.1666666666666652</v>
      </c>
      <c r="B96" s="2">
        <f t="shared" si="42"/>
        <v>5.7035489980074112E-3</v>
      </c>
      <c r="C96" s="2">
        <f t="shared" si="59"/>
        <v>5.7035489980074112E-3</v>
      </c>
      <c r="D96" s="8">
        <f t="shared" si="60"/>
        <v>5.7035489980074112E-3</v>
      </c>
      <c r="E96" s="2">
        <f t="shared" si="61"/>
        <v>5.7035489980074112E-3</v>
      </c>
      <c r="G96" s="8" t="e">
        <f t="shared" si="62"/>
        <v>#DIV/0!</v>
      </c>
      <c r="H96" s="2" t="e">
        <f t="shared" si="63"/>
        <v>#DIV/0!</v>
      </c>
      <c r="J96" s="8">
        <f t="shared" si="64"/>
        <v>5.0271408422590702E-2</v>
      </c>
      <c r="K96" s="2">
        <f t="shared" si="65"/>
        <v>5.0271408422590702E-2</v>
      </c>
      <c r="M96" s="8">
        <f t="shared" si="66"/>
        <v>0.16216216216216217</v>
      </c>
      <c r="N96" s="2">
        <f t="shared" si="67"/>
        <v>0.16216216216216217</v>
      </c>
      <c r="P96" s="8">
        <f t="shared" si="68"/>
        <v>5.7035489980074017E-3</v>
      </c>
      <c r="Q96" s="2">
        <f t="shared" si="69"/>
        <v>5.7035489980074017E-3</v>
      </c>
      <c r="S96" s="8">
        <f t="shared" si="70"/>
        <v>5.0271408422590702E-2</v>
      </c>
      <c r="T96" s="2">
        <f t="shared" si="71"/>
        <v>5.0271408422590702E-2</v>
      </c>
      <c r="W96" s="8" t="e">
        <f t="shared" si="72"/>
        <v>#DIV/0!</v>
      </c>
      <c r="X96" s="2" t="e">
        <f t="shared" si="43"/>
        <v>#DIV/0!</v>
      </c>
      <c r="Y96" s="2" t="e">
        <f t="shared" si="81"/>
        <v>#DIV/0!</v>
      </c>
      <c r="AA96" s="8" t="e">
        <f t="shared" si="73"/>
        <v>#DIV/0!</v>
      </c>
      <c r="AB96" s="2" t="e">
        <f t="shared" si="45"/>
        <v>#DIV/0!</v>
      </c>
      <c r="AC96" s="2" t="e">
        <f t="shared" si="82"/>
        <v>#DIV/0!</v>
      </c>
      <c r="AE96" s="8" t="e">
        <f t="shared" si="74"/>
        <v>#DIV/0!</v>
      </c>
      <c r="AF96" s="2" t="e">
        <f t="shared" si="47"/>
        <v>#DIV/0!</v>
      </c>
      <c r="AG96" s="2" t="e">
        <f t="shared" si="83"/>
        <v>#DIV/0!</v>
      </c>
      <c r="AI96" s="8" t="e">
        <f t="shared" si="75"/>
        <v>#DIV/0!</v>
      </c>
      <c r="AJ96" s="2" t="e">
        <f t="shared" si="49"/>
        <v>#DIV/0!</v>
      </c>
      <c r="AK96" s="2" t="e">
        <f t="shared" si="50"/>
        <v>#DIV/0!</v>
      </c>
      <c r="AN96" s="8" t="e">
        <f t="shared" si="76"/>
        <v>#DIV/0!</v>
      </c>
      <c r="AO96" s="2" t="e">
        <f t="shared" si="51"/>
        <v>#DIV/0!</v>
      </c>
      <c r="AP96" s="2" t="e">
        <f t="shared" si="58"/>
        <v>#DIV/0!</v>
      </c>
      <c r="AS96" s="8" t="e">
        <f t="shared" si="77"/>
        <v>#DIV/0!</v>
      </c>
      <c r="AT96" s="2" t="e">
        <f t="shared" si="53"/>
        <v>#DIV/0!</v>
      </c>
      <c r="AU96" s="2" t="e">
        <f t="shared" si="54"/>
        <v>#DIV/0!</v>
      </c>
    </row>
    <row r="97" spans="1:47" x14ac:dyDescent="0.2">
      <c r="A97" s="2">
        <f t="shared" si="41"/>
        <v>5.2499999999999982</v>
      </c>
      <c r="B97" s="2">
        <f t="shared" si="42"/>
        <v>5.2475183991813933E-3</v>
      </c>
      <c r="C97" s="2">
        <f t="shared" si="59"/>
        <v>5.2475183991813933E-3</v>
      </c>
      <c r="D97" s="8">
        <f t="shared" si="60"/>
        <v>5.2475183991813933E-3</v>
      </c>
      <c r="E97" s="2">
        <f t="shared" si="61"/>
        <v>5.2475183991813933E-3</v>
      </c>
      <c r="G97" s="8" t="e">
        <f t="shared" si="62"/>
        <v>#DIV/0!</v>
      </c>
      <c r="H97" s="2" t="e">
        <f t="shared" si="63"/>
        <v>#DIV/0!</v>
      </c>
      <c r="J97" s="8">
        <f t="shared" si="64"/>
        <v>4.8635719894219109E-2</v>
      </c>
      <c r="K97" s="2">
        <f t="shared" si="65"/>
        <v>4.8635719894219109E-2</v>
      </c>
      <c r="M97" s="8">
        <f t="shared" si="66"/>
        <v>0.16000000000000003</v>
      </c>
      <c r="N97" s="2">
        <f t="shared" si="67"/>
        <v>0.16000000000000003</v>
      </c>
      <c r="P97" s="8">
        <f t="shared" si="68"/>
        <v>5.2475183991813612E-3</v>
      </c>
      <c r="Q97" s="2">
        <f t="shared" si="69"/>
        <v>5.2475183991813612E-3</v>
      </c>
      <c r="S97" s="8">
        <f t="shared" si="70"/>
        <v>4.8635719894219109E-2</v>
      </c>
      <c r="T97" s="2">
        <f t="shared" si="71"/>
        <v>4.8635719894219109E-2</v>
      </c>
      <c r="W97" s="8" t="e">
        <f t="shared" si="72"/>
        <v>#DIV/0!</v>
      </c>
      <c r="X97" s="2" t="e">
        <f t="shared" si="43"/>
        <v>#DIV/0!</v>
      </c>
      <c r="Y97" s="2" t="e">
        <f t="shared" si="81"/>
        <v>#DIV/0!</v>
      </c>
      <c r="AA97" s="8" t="e">
        <f t="shared" si="73"/>
        <v>#DIV/0!</v>
      </c>
      <c r="AB97" s="2" t="e">
        <f t="shared" si="45"/>
        <v>#DIV/0!</v>
      </c>
      <c r="AC97" s="2" t="e">
        <f t="shared" si="82"/>
        <v>#DIV/0!</v>
      </c>
      <c r="AE97" s="8" t="e">
        <f t="shared" si="74"/>
        <v>#DIV/0!</v>
      </c>
      <c r="AF97" s="2" t="e">
        <f t="shared" si="47"/>
        <v>#DIV/0!</v>
      </c>
      <c r="AG97" s="2" t="e">
        <f t="shared" si="83"/>
        <v>#DIV/0!</v>
      </c>
      <c r="AI97" s="8" t="e">
        <f t="shared" si="75"/>
        <v>#DIV/0!</v>
      </c>
      <c r="AJ97" s="2" t="e">
        <f t="shared" si="49"/>
        <v>#DIV/0!</v>
      </c>
      <c r="AK97" s="2" t="e">
        <f t="shared" si="50"/>
        <v>#DIV/0!</v>
      </c>
      <c r="AN97" s="8" t="e">
        <f t="shared" si="76"/>
        <v>#DIV/0!</v>
      </c>
      <c r="AO97" s="2" t="e">
        <f t="shared" si="51"/>
        <v>#DIV/0!</v>
      </c>
      <c r="AP97" s="2" t="e">
        <f t="shared" si="58"/>
        <v>#DIV/0!</v>
      </c>
      <c r="AS97" s="8" t="e">
        <f t="shared" si="77"/>
        <v>#DIV/0!</v>
      </c>
      <c r="AT97" s="2" t="e">
        <f t="shared" si="53"/>
        <v>#DIV/0!</v>
      </c>
      <c r="AU97" s="2" t="e">
        <f t="shared" si="54"/>
        <v>#DIV/0!</v>
      </c>
    </row>
    <row r="98" spans="1:47" x14ac:dyDescent="0.2">
      <c r="A98" s="2">
        <f t="shared" si="41"/>
        <v>5.3333333333333313</v>
      </c>
      <c r="B98" s="2">
        <f t="shared" si="42"/>
        <v>4.8279499938314501E-3</v>
      </c>
      <c r="C98" s="2">
        <f t="shared" si="59"/>
        <v>4.8279499938314501E-3</v>
      </c>
      <c r="D98" s="8">
        <f t="shared" si="60"/>
        <v>4.8279499938314501E-3</v>
      </c>
      <c r="E98" s="2">
        <f t="shared" si="61"/>
        <v>4.8279499938314501E-3</v>
      </c>
      <c r="G98" s="8" t="e">
        <f t="shared" si="62"/>
        <v>#DIV/0!</v>
      </c>
      <c r="H98" s="2" t="e">
        <f t="shared" si="63"/>
        <v>#DIV/0!</v>
      </c>
      <c r="J98" s="8">
        <f t="shared" si="64"/>
        <v>4.7067615502118132E-2</v>
      </c>
      <c r="K98" s="2">
        <f t="shared" si="65"/>
        <v>4.7067615502118132E-2</v>
      </c>
      <c r="M98" s="8">
        <f t="shared" si="66"/>
        <v>0.15789473684210531</v>
      </c>
      <c r="N98" s="2">
        <f t="shared" si="67"/>
        <v>0.15789473684210531</v>
      </c>
      <c r="P98" s="8">
        <f t="shared" si="68"/>
        <v>4.8279499938314041E-3</v>
      </c>
      <c r="Q98" s="2">
        <f t="shared" si="69"/>
        <v>4.8279499938314041E-3</v>
      </c>
      <c r="S98" s="8">
        <f t="shared" si="70"/>
        <v>4.7067615502118132E-2</v>
      </c>
      <c r="T98" s="2">
        <f t="shared" si="71"/>
        <v>4.7067615502118132E-2</v>
      </c>
      <c r="W98" s="8" t="e">
        <f t="shared" si="72"/>
        <v>#DIV/0!</v>
      </c>
      <c r="X98" s="2" t="e">
        <f t="shared" si="43"/>
        <v>#DIV/0!</v>
      </c>
      <c r="Y98" s="2" t="e">
        <f t="shared" si="81"/>
        <v>#DIV/0!</v>
      </c>
      <c r="AA98" s="8" t="e">
        <f t="shared" si="73"/>
        <v>#DIV/0!</v>
      </c>
      <c r="AB98" s="2" t="e">
        <f t="shared" si="45"/>
        <v>#DIV/0!</v>
      </c>
      <c r="AC98" s="2" t="e">
        <f t="shared" si="82"/>
        <v>#DIV/0!</v>
      </c>
      <c r="AE98" s="8" t="e">
        <f t="shared" si="74"/>
        <v>#DIV/0!</v>
      </c>
      <c r="AF98" s="2" t="e">
        <f t="shared" si="47"/>
        <v>#DIV/0!</v>
      </c>
      <c r="AG98" s="2" t="e">
        <f t="shared" si="83"/>
        <v>#DIV/0!</v>
      </c>
      <c r="AI98" s="8" t="e">
        <f t="shared" si="75"/>
        <v>#DIV/0!</v>
      </c>
      <c r="AJ98" s="2" t="e">
        <f t="shared" si="49"/>
        <v>#DIV/0!</v>
      </c>
      <c r="AK98" s="2" t="e">
        <f t="shared" si="50"/>
        <v>#DIV/0!</v>
      </c>
      <c r="AN98" s="8" t="e">
        <f t="shared" si="76"/>
        <v>#DIV/0!</v>
      </c>
      <c r="AO98" s="2" t="e">
        <f t="shared" si="51"/>
        <v>#DIV/0!</v>
      </c>
      <c r="AP98" s="2" t="e">
        <f t="shared" si="58"/>
        <v>#DIV/0!</v>
      </c>
      <c r="AS98" s="8" t="e">
        <f t="shared" si="77"/>
        <v>#DIV/0!</v>
      </c>
      <c r="AT98" s="2" t="e">
        <f t="shared" si="53"/>
        <v>#DIV/0!</v>
      </c>
      <c r="AU98" s="2" t="e">
        <f t="shared" si="54"/>
        <v>#DIV/0!</v>
      </c>
    </row>
    <row r="99" spans="1:47" x14ac:dyDescent="0.2">
      <c r="A99" s="2">
        <f t="shared" si="41"/>
        <v>5.4166666666666643</v>
      </c>
      <c r="B99" s="2">
        <f t="shared" si="42"/>
        <v>4.441928425934303E-3</v>
      </c>
      <c r="C99" s="2">
        <f t="shared" ref="C99:C130" si="84">EXP(-$A99*$B$29*C$29)</f>
        <v>4.441928425934303E-3</v>
      </c>
      <c r="D99" s="8">
        <f t="shared" ref="D99:D130" si="85">EXP(-(($A99*$E$29)^$D$29))</f>
        <v>4.441928425934303E-3</v>
      </c>
      <c r="E99" s="2">
        <f t="shared" ref="E99:E130" si="86">EXP(-(($A99*$E$29*F$29)^$D$29))</f>
        <v>4.441928425934303E-3</v>
      </c>
      <c r="G99" s="8" t="e">
        <f t="shared" ref="G99:G130" si="87">EXP(-(($H$29)/$G$29)*(EXP($G$29*$A99)-1))</f>
        <v>#DIV/0!</v>
      </c>
      <c r="H99" s="2" t="e">
        <f t="shared" ref="H99:H130" si="88">EXP(-(($H$29*I$29)/$G$29)*(EXP($G$29*$A99)-1))</f>
        <v>#DIV/0!</v>
      </c>
      <c r="J99" s="8">
        <f t="shared" ref="J99:J130" si="89">1-_xlfn.NORM.S.DIST((LN($A99)-$J$29)/$K$29,TRUE)</f>
        <v>4.5563681346523777E-2</v>
      </c>
      <c r="K99" s="2">
        <f t="shared" ref="K99:K130" si="90">1-_xlfn.NORM.S.DIST((LN($A99)-$J$29-L$29)/$K$29,TRUE)</f>
        <v>4.5563681346523777E-2</v>
      </c>
      <c r="M99" s="8">
        <f t="shared" ref="M99:M130" si="91">1-(1/(1+($A99/($N$29))^(-$M$29)))</f>
        <v>0.1558441558441559</v>
      </c>
      <c r="N99" s="2">
        <f t="shared" ref="N99:N130" si="92">1-(1/(1+($A99/($N$29*O$29))^(-$M$29)))</f>
        <v>0.1558441558441559</v>
      </c>
      <c r="P99" s="8">
        <f t="shared" ref="P99:P130" si="93">1-(_xlfn.GAMMA.DIST($Q$29*$A99,$P$29,1,TRUE)*EXP(GAMMALN($P$29)))/EXP(GAMMALN($P$29))</f>
        <v>4.4419284259342717E-3</v>
      </c>
      <c r="Q99" s="2">
        <f t="shared" ref="Q99:Q130" si="94">1-(_xlfn.GAMMA.DIST($Q$29*R$29*$A99,$P$29,1,TRUE)*EXP(GAMMALN($P$29)))/EXP(GAMMALN($P$29))</f>
        <v>4.4419284259342717E-3</v>
      </c>
      <c r="S99" s="8">
        <f t="shared" ref="S99:S130" si="95">IF(ABS($U$29)&lt;0.05,
        1-_xlfn.NORM.S.DIST((LN($A99)-$S$29)/$T$29,TRUE),
        IF(0=1-
            IF($U$29&gt;0,
                    _xlfn.GAMMA.DIST(EXP($U$29*((LN($A99)-$S$29)/$T$29))*($U$29^(-2)),($U$29^(-2)),1, TRUE),
                    1-_xlfn.GAMMA.DIST(EXP($U$29*((LN($A99)-$S$29)/$T$29))*($U$29^(-2)),($U$29^(-2)),1, TRUE)),
            0,
            EXP(LN(1-
                IF($U$29&gt;0,
                    _xlfn.GAMMA.DIST(EXP($U$29*((LN($A99)-$S$29)/$T$29))*($U$29^(-2)),($U$29^(-2)),1, TRUE),
                    1-_xlfn.GAMMA.DIST(EXP($U$29*((LN($A99)-$S$29)/$T$29))*($U$29^(-2)),($U$29^(-2)),1, TRUE))))))</f>
        <v>4.5563681346523777E-2</v>
      </c>
      <c r="T99" s="2">
        <f t="shared" ref="T99:T130" si="96">IF(ABS($U$29)&lt;0.05,
        1-_xlfn.NORM.S.DIST((LN($A99)-($S$29+V$29))/$T$29,TRUE),
        IF(0=1-
            IF($U$29&gt;0,
                    _xlfn.GAMMA.DIST(EXP($U$29*((LN($A99)-($S$29+V$29))/$T$29))*($U$29^(-2)),($U$29^(-2)),1, TRUE),
                    1-_xlfn.GAMMA.DIST(EXP($U$29*((LN($A99)-($S$29+V$29))/$T$29))*($U$29^(-2)),($U$29^(-2)),1, TRUE)),
            0,
            EXP(LN(1-
                IF($U$29&gt;0,
                    _xlfn.GAMMA.DIST(EXP($U$29*((LN($A99)-($S$29+V$29))/$T$29))*($U$29^(-2)),($U$29^(-2)),1, TRUE),
                    1-_xlfn.GAMMA.DIST(EXP($U$29*((LN($A99)-($S$29+V$29))/$T$29))*($U$29^(-2)),($U$29^(-2)),1, TRUE))))))</f>
        <v>4.5563681346523777E-2</v>
      </c>
      <c r="W99" s="8" t="e">
        <f t="shared" ref="W99:W130" si="97">W$29+
X$29*LN($A99)+
Y$29*(MAX(LN($A99)-X$9,0)^3-Y$31*MAX(LN($A99)-W$9,0)^3-(1-Y$31)*MAX(LN($A99)-Y$9,0)^3)</f>
        <v>#DIV/0!</v>
      </c>
      <c r="X99" s="2" t="e">
        <f t="shared" si="43"/>
        <v>#DIV/0!</v>
      </c>
      <c r="Y99" s="2" t="e">
        <f t="shared" si="81"/>
        <v>#DIV/0!</v>
      </c>
      <c r="AA99" s="8" t="e">
        <f t="shared" ref="AA99:AA130" si="98">AA$29+
AB$29*LN($A99)+
AC$29*(MAX(LN($A99)-AB$9,0)^3-AC$31*MAX(LN($A99)-AA$9,0)^3-(1-AC$31)*MAX(LN($A99)-AC$9,0)^3)</f>
        <v>#DIV/0!</v>
      </c>
      <c r="AB99" s="2" t="e">
        <f t="shared" si="45"/>
        <v>#DIV/0!</v>
      </c>
      <c r="AC99" s="2" t="e">
        <f t="shared" si="82"/>
        <v>#DIV/0!</v>
      </c>
      <c r="AE99" s="8" t="e">
        <f t="shared" ref="AE99:AE130" si="99">AE$29+
AF$29*LN($A99)+
AG$29*(MAX(LN($A99)-AF$9,0)^3-AG$31*MAX(LN($A99)-AE$9,0)^3-(1-AG$31)*MAX(LN($A99)-AG$9,0)^3)</f>
        <v>#DIV/0!</v>
      </c>
      <c r="AF99" s="2" t="e">
        <f t="shared" si="47"/>
        <v>#DIV/0!</v>
      </c>
      <c r="AG99" s="2" t="e">
        <f t="shared" si="83"/>
        <v>#DIV/0!</v>
      </c>
      <c r="AI99" s="8" t="e">
        <f t="shared" ref="AI99:AI130" si="100">AI$29+
AJ$29*LN($A99)+
AK$29*(MAX(LN($A99)-AJ$9,0)^3-AK$31*MAX(LN($A99)-AI$9,0)^3-(1-AK$31)*MAX(LN($A99)-AL$9,0)^3)+
AL$29*(MAX(LN($A99)-AK$9,0)^3-AL$31*MAX(LN($A99)-AI$9,0)^3-(1-AL$31)*MAX(LN($A99)-AL$9,0)^3)</f>
        <v>#DIV/0!</v>
      </c>
      <c r="AJ99" s="2" t="e">
        <f t="shared" si="49"/>
        <v>#DIV/0!</v>
      </c>
      <c r="AK99" s="2" t="e">
        <f t="shared" si="50"/>
        <v>#DIV/0!</v>
      </c>
      <c r="AN99" s="8" t="e">
        <f t="shared" ref="AN99:AN130" si="101">AN$29+
AO$29*LN($A99)+
AP$29*(MAX(LN($A99)-AO$9,0)^3-AP$31*MAX(LN($A99)-AN$9,0)^3-(1-AP$31)*MAX(LN($A99)-AQ$9,0)^3)+
AQ$29*(MAX(LN($A99)-AP$9,0)^3-AQ$31*MAX(LN($A99)-AN$9,0)^3-(1-AQ$31)*MAX(LN($A99)-AQ$9,0)^3)</f>
        <v>#DIV/0!</v>
      </c>
      <c r="AO99" s="2" t="e">
        <f t="shared" si="51"/>
        <v>#DIV/0!</v>
      </c>
      <c r="AP99" s="2" t="e">
        <f t="shared" si="58"/>
        <v>#DIV/0!</v>
      </c>
      <c r="AS99" s="8" t="e">
        <f t="shared" ref="AS99:AS130" si="102">AS$29+
AT$29*LN($A99)+
AU$29*(MAX(LN($A99)-AT$9,0)^3-AU$31*MAX(LN($A99)-AS$9,0)^3-(1-AU$31)*MAX(LN($A99)-AV$9,0)^3)+
AV$29*(MAX(LN($A99)-AU$9,0)^3-AV$31*MAX(LN($A99)-AS$9,0)^3-(1-AV$31)*MAX(LN($A99)-AV$9,0)^3)</f>
        <v>#DIV/0!</v>
      </c>
      <c r="AT99" s="2" t="e">
        <f t="shared" si="53"/>
        <v>#DIV/0!</v>
      </c>
      <c r="AU99" s="2" t="e">
        <f t="shared" si="54"/>
        <v>#DIV/0!</v>
      </c>
    </row>
    <row r="100" spans="1:47" x14ac:dyDescent="0.2">
      <c r="A100" s="2">
        <f t="shared" ref="A100:A154" si="103">A99+$A$33</f>
        <v>5.4999999999999973</v>
      </c>
      <c r="B100" s="2">
        <f t="shared" ref="B100:B154" si="104">EXP(-$A100*$B$29)</f>
        <v>4.0867714384640779E-3</v>
      </c>
      <c r="C100" s="2">
        <f t="shared" si="84"/>
        <v>4.0867714384640779E-3</v>
      </c>
      <c r="D100" s="8">
        <f t="shared" si="85"/>
        <v>4.0867714384640779E-3</v>
      </c>
      <c r="E100" s="2">
        <f t="shared" si="86"/>
        <v>4.0867714384640779E-3</v>
      </c>
      <c r="G100" s="8" t="e">
        <f t="shared" si="87"/>
        <v>#DIV/0!</v>
      </c>
      <c r="H100" s="2" t="e">
        <f t="shared" si="88"/>
        <v>#DIV/0!</v>
      </c>
      <c r="J100" s="8">
        <f t="shared" si="89"/>
        <v>4.4120708129076203E-2</v>
      </c>
      <c r="K100" s="2">
        <f t="shared" si="90"/>
        <v>4.4120708129076203E-2</v>
      </c>
      <c r="M100" s="8">
        <f t="shared" si="91"/>
        <v>0.15384615384615385</v>
      </c>
      <c r="N100" s="2">
        <f t="shared" si="92"/>
        <v>0.15384615384615385</v>
      </c>
      <c r="P100" s="8">
        <f t="shared" si="93"/>
        <v>4.0867714384640319E-3</v>
      </c>
      <c r="Q100" s="2">
        <f t="shared" si="94"/>
        <v>4.0867714384640319E-3</v>
      </c>
      <c r="S100" s="8">
        <f t="shared" si="95"/>
        <v>4.4120708129076203E-2</v>
      </c>
      <c r="T100" s="2">
        <f t="shared" si="96"/>
        <v>4.4120708129076203E-2</v>
      </c>
      <c r="W100" s="8" t="e">
        <f t="shared" si="97"/>
        <v>#DIV/0!</v>
      </c>
      <c r="X100" s="2" t="e">
        <f t="shared" ref="X100:X154" si="105">EXP(-EXP($W100))</f>
        <v>#DIV/0!</v>
      </c>
      <c r="Y100" s="2" t="e">
        <f t="shared" ref="Y100:Y115" si="106">EXP(-EXP($W100+Z$29))</f>
        <v>#DIV/0!</v>
      </c>
      <c r="AA100" s="8" t="e">
        <f t="shared" si="98"/>
        <v>#DIV/0!</v>
      </c>
      <c r="AB100" s="2" t="e">
        <f t="shared" ref="AB100:AB154" si="107">1-(EXP($AA100)/(1 + EXP($AA100)))</f>
        <v>#DIV/0!</v>
      </c>
      <c r="AC100" s="2" t="e">
        <f t="shared" ref="AC100:AC115" si="108">1-(EXP($AA100+AD$29)/(1 + EXP($AA100+AD$29)))</f>
        <v>#DIV/0!</v>
      </c>
      <c r="AE100" s="8" t="e">
        <f t="shared" si="99"/>
        <v>#DIV/0!</v>
      </c>
      <c r="AF100" s="2" t="e">
        <f t="shared" ref="AF100:AF154" si="109">1-NORMSDIST($AE100)</f>
        <v>#DIV/0!</v>
      </c>
      <c r="AG100" s="2" t="e">
        <f t="shared" ref="AG100:AG115" si="110">1-NORMSDIST($AE100+AH$29)</f>
        <v>#DIV/0!</v>
      </c>
      <c r="AI100" s="8" t="e">
        <f t="shared" si="100"/>
        <v>#DIV/0!</v>
      </c>
      <c r="AJ100" s="2" t="e">
        <f t="shared" ref="AJ100:AJ154" si="111">EXP(-EXP($AI100))</f>
        <v>#DIV/0!</v>
      </c>
      <c r="AK100" s="2" t="e">
        <f t="shared" ref="AK100:AK154" si="112">EXP(-EXP($AI100+AM$29))</f>
        <v>#DIV/0!</v>
      </c>
      <c r="AN100" s="8" t="e">
        <f t="shared" si="101"/>
        <v>#DIV/0!</v>
      </c>
      <c r="AO100" s="2" t="e">
        <f t="shared" ref="AO100:AO154" si="113">1-(EXP($AN100)/(1 + EXP($AN100)))</f>
        <v>#DIV/0!</v>
      </c>
      <c r="AP100" s="2" t="e">
        <f t="shared" si="58"/>
        <v>#DIV/0!</v>
      </c>
      <c r="AS100" s="8" t="e">
        <f t="shared" si="102"/>
        <v>#DIV/0!</v>
      </c>
      <c r="AT100" s="2" t="e">
        <f t="shared" ref="AT100:AT154" si="114">1-NORMSDIST($AS100)</f>
        <v>#DIV/0!</v>
      </c>
      <c r="AU100" s="2" t="e">
        <f t="shared" ref="AU100:AU154" si="115">1-NORMSDIST($AS100+AW$29)</f>
        <v>#DIV/0!</v>
      </c>
    </row>
    <row r="101" spans="1:47" x14ac:dyDescent="0.2">
      <c r="A101" s="2">
        <f t="shared" si="103"/>
        <v>5.5833333333333304</v>
      </c>
      <c r="B101" s="2">
        <f t="shared" si="104"/>
        <v>3.7600112358255212E-3</v>
      </c>
      <c r="C101" s="2">
        <f t="shared" si="84"/>
        <v>3.7600112358255212E-3</v>
      </c>
      <c r="D101" s="8">
        <f t="shared" si="85"/>
        <v>3.7600112358255212E-3</v>
      </c>
      <c r="E101" s="2">
        <f t="shared" si="86"/>
        <v>3.7600112358255212E-3</v>
      </c>
      <c r="G101" s="8" t="e">
        <f t="shared" si="87"/>
        <v>#DIV/0!</v>
      </c>
      <c r="H101" s="2" t="e">
        <f t="shared" si="88"/>
        <v>#DIV/0!</v>
      </c>
      <c r="J101" s="8">
        <f t="shared" si="89"/>
        <v>4.2735676948384538E-2</v>
      </c>
      <c r="K101" s="2">
        <f t="shared" si="90"/>
        <v>4.2735676948384538E-2</v>
      </c>
      <c r="M101" s="8">
        <f t="shared" si="91"/>
        <v>0.15189873417721522</v>
      </c>
      <c r="N101" s="2">
        <f t="shared" si="92"/>
        <v>0.15189873417721522</v>
      </c>
      <c r="P101" s="8">
        <f t="shared" si="93"/>
        <v>3.7600112358254778E-3</v>
      </c>
      <c r="Q101" s="2">
        <f t="shared" si="94"/>
        <v>3.7600112358254778E-3</v>
      </c>
      <c r="S101" s="8">
        <f t="shared" si="95"/>
        <v>4.2735676948384538E-2</v>
      </c>
      <c r="T101" s="2">
        <f t="shared" si="96"/>
        <v>4.2735676948384538E-2</v>
      </c>
      <c r="W101" s="8" t="e">
        <f t="shared" si="97"/>
        <v>#DIV/0!</v>
      </c>
      <c r="X101" s="2" t="e">
        <f t="shared" si="105"/>
        <v>#DIV/0!</v>
      </c>
      <c r="Y101" s="2" t="e">
        <f t="shared" si="106"/>
        <v>#DIV/0!</v>
      </c>
      <c r="AA101" s="8" t="e">
        <f t="shared" si="98"/>
        <v>#DIV/0!</v>
      </c>
      <c r="AB101" s="2" t="e">
        <f t="shared" si="107"/>
        <v>#DIV/0!</v>
      </c>
      <c r="AC101" s="2" t="e">
        <f t="shared" si="108"/>
        <v>#DIV/0!</v>
      </c>
      <c r="AE101" s="8" t="e">
        <f t="shared" si="99"/>
        <v>#DIV/0!</v>
      </c>
      <c r="AF101" s="2" t="e">
        <f t="shared" si="109"/>
        <v>#DIV/0!</v>
      </c>
      <c r="AG101" s="2" t="e">
        <f t="shared" si="110"/>
        <v>#DIV/0!</v>
      </c>
      <c r="AI101" s="8" t="e">
        <f t="shared" si="100"/>
        <v>#DIV/0!</v>
      </c>
      <c r="AJ101" s="2" t="e">
        <f t="shared" si="111"/>
        <v>#DIV/0!</v>
      </c>
      <c r="AK101" s="2" t="e">
        <f t="shared" si="112"/>
        <v>#DIV/0!</v>
      </c>
      <c r="AN101" s="8" t="e">
        <f t="shared" si="101"/>
        <v>#DIV/0!</v>
      </c>
      <c r="AO101" s="2" t="e">
        <f t="shared" si="113"/>
        <v>#DIV/0!</v>
      </c>
      <c r="AP101" s="2" t="e">
        <f t="shared" si="58"/>
        <v>#DIV/0!</v>
      </c>
      <c r="AS101" s="8" t="e">
        <f t="shared" si="102"/>
        <v>#DIV/0!</v>
      </c>
      <c r="AT101" s="2" t="e">
        <f t="shared" si="114"/>
        <v>#DIV/0!</v>
      </c>
      <c r="AU101" s="2" t="e">
        <f t="shared" si="115"/>
        <v>#DIV/0!</v>
      </c>
    </row>
    <row r="102" spans="1:47" x14ac:dyDescent="0.2">
      <c r="A102" s="2">
        <f t="shared" si="103"/>
        <v>5.6666666666666634</v>
      </c>
      <c r="B102" s="2">
        <f t="shared" si="104"/>
        <v>3.4593773364647706E-3</v>
      </c>
      <c r="C102" s="2">
        <f t="shared" si="84"/>
        <v>3.4593773364647706E-3</v>
      </c>
      <c r="D102" s="8">
        <f t="shared" si="85"/>
        <v>3.4593773364647706E-3</v>
      </c>
      <c r="E102" s="2">
        <f t="shared" si="86"/>
        <v>3.4593773364647706E-3</v>
      </c>
      <c r="G102" s="8" t="e">
        <f t="shared" si="87"/>
        <v>#DIV/0!</v>
      </c>
      <c r="H102" s="2" t="e">
        <f t="shared" si="88"/>
        <v>#DIV/0!</v>
      </c>
      <c r="J102" s="8">
        <f t="shared" si="89"/>
        <v>4.1405746215938177E-2</v>
      </c>
      <c r="K102" s="2">
        <f t="shared" si="90"/>
        <v>4.1405746215938177E-2</v>
      </c>
      <c r="M102" s="8">
        <f t="shared" si="91"/>
        <v>0.15000000000000002</v>
      </c>
      <c r="N102" s="2">
        <f t="shared" si="92"/>
        <v>0.15000000000000002</v>
      </c>
      <c r="P102" s="8">
        <f t="shared" si="93"/>
        <v>3.4593773364647307E-3</v>
      </c>
      <c r="Q102" s="2">
        <f t="shared" si="94"/>
        <v>3.4593773364647307E-3</v>
      </c>
      <c r="S102" s="8">
        <f t="shared" si="95"/>
        <v>4.1405746215938177E-2</v>
      </c>
      <c r="T102" s="2">
        <f t="shared" si="96"/>
        <v>4.1405746215938177E-2</v>
      </c>
      <c r="W102" s="8" t="e">
        <f t="shared" si="97"/>
        <v>#DIV/0!</v>
      </c>
      <c r="X102" s="2" t="e">
        <f t="shared" si="105"/>
        <v>#DIV/0!</v>
      </c>
      <c r="Y102" s="2" t="e">
        <f t="shared" si="106"/>
        <v>#DIV/0!</v>
      </c>
      <c r="AA102" s="8" t="e">
        <f t="shared" si="98"/>
        <v>#DIV/0!</v>
      </c>
      <c r="AB102" s="2" t="e">
        <f t="shared" si="107"/>
        <v>#DIV/0!</v>
      </c>
      <c r="AC102" s="2" t="e">
        <f t="shared" si="108"/>
        <v>#DIV/0!</v>
      </c>
      <c r="AE102" s="8" t="e">
        <f t="shared" si="99"/>
        <v>#DIV/0!</v>
      </c>
      <c r="AF102" s="2" t="e">
        <f t="shared" si="109"/>
        <v>#DIV/0!</v>
      </c>
      <c r="AG102" s="2" t="e">
        <f t="shared" si="110"/>
        <v>#DIV/0!</v>
      </c>
      <c r="AI102" s="8" t="e">
        <f t="shared" si="100"/>
        <v>#DIV/0!</v>
      </c>
      <c r="AJ102" s="2" t="e">
        <f t="shared" si="111"/>
        <v>#DIV/0!</v>
      </c>
      <c r="AK102" s="2" t="e">
        <f t="shared" si="112"/>
        <v>#DIV/0!</v>
      </c>
      <c r="AN102" s="8" t="e">
        <f t="shared" si="101"/>
        <v>#DIV/0!</v>
      </c>
      <c r="AO102" s="2" t="e">
        <f t="shared" si="113"/>
        <v>#DIV/0!</v>
      </c>
      <c r="AP102" s="2" t="e">
        <f t="shared" si="58"/>
        <v>#DIV/0!</v>
      </c>
      <c r="AS102" s="8" t="e">
        <f t="shared" si="102"/>
        <v>#DIV/0!</v>
      </c>
      <c r="AT102" s="2" t="e">
        <f t="shared" si="114"/>
        <v>#DIV/0!</v>
      </c>
      <c r="AU102" s="2" t="e">
        <f t="shared" si="115"/>
        <v>#DIV/0!</v>
      </c>
    </row>
    <row r="103" spans="1:47" x14ac:dyDescent="0.2">
      <c r="A103" s="2">
        <f t="shared" si="103"/>
        <v>5.7499999999999964</v>
      </c>
      <c r="B103" s="2">
        <f t="shared" si="104"/>
        <v>3.1827807965096782E-3</v>
      </c>
      <c r="C103" s="2">
        <f t="shared" si="84"/>
        <v>3.1827807965096782E-3</v>
      </c>
      <c r="D103" s="8">
        <f t="shared" si="85"/>
        <v>3.1827807965096782E-3</v>
      </c>
      <c r="E103" s="2">
        <f t="shared" si="86"/>
        <v>3.1827807965096782E-3</v>
      </c>
      <c r="G103" s="8" t="e">
        <f t="shared" si="87"/>
        <v>#DIV/0!</v>
      </c>
      <c r="H103" s="2" t="e">
        <f t="shared" si="88"/>
        <v>#DIV/0!</v>
      </c>
      <c r="J103" s="8">
        <f t="shared" si="89"/>
        <v>4.012823959357692E-2</v>
      </c>
      <c r="K103" s="2">
        <f t="shared" si="90"/>
        <v>4.012823959357692E-2</v>
      </c>
      <c r="M103" s="8">
        <f t="shared" si="91"/>
        <v>0.14814814814814825</v>
      </c>
      <c r="N103" s="2">
        <f t="shared" si="92"/>
        <v>0.14814814814814825</v>
      </c>
      <c r="P103" s="8">
        <f t="shared" si="93"/>
        <v>3.1827807965096877E-3</v>
      </c>
      <c r="Q103" s="2">
        <f t="shared" si="94"/>
        <v>3.1827807965096877E-3</v>
      </c>
      <c r="S103" s="8">
        <f t="shared" si="95"/>
        <v>4.012823959357692E-2</v>
      </c>
      <c r="T103" s="2">
        <f t="shared" si="96"/>
        <v>4.012823959357692E-2</v>
      </c>
      <c r="W103" s="8" t="e">
        <f t="shared" si="97"/>
        <v>#DIV/0!</v>
      </c>
      <c r="X103" s="2" t="e">
        <f t="shared" si="105"/>
        <v>#DIV/0!</v>
      </c>
      <c r="Y103" s="2" t="e">
        <f t="shared" si="106"/>
        <v>#DIV/0!</v>
      </c>
      <c r="AA103" s="8" t="e">
        <f t="shared" si="98"/>
        <v>#DIV/0!</v>
      </c>
      <c r="AB103" s="2" t="e">
        <f t="shared" si="107"/>
        <v>#DIV/0!</v>
      </c>
      <c r="AC103" s="2" t="e">
        <f t="shared" si="108"/>
        <v>#DIV/0!</v>
      </c>
      <c r="AE103" s="8" t="e">
        <f t="shared" si="99"/>
        <v>#DIV/0!</v>
      </c>
      <c r="AF103" s="2" t="e">
        <f t="shared" si="109"/>
        <v>#DIV/0!</v>
      </c>
      <c r="AG103" s="2" t="e">
        <f t="shared" si="110"/>
        <v>#DIV/0!</v>
      </c>
      <c r="AI103" s="8" t="e">
        <f t="shared" si="100"/>
        <v>#DIV/0!</v>
      </c>
      <c r="AJ103" s="2" t="e">
        <f t="shared" si="111"/>
        <v>#DIV/0!</v>
      </c>
      <c r="AK103" s="2" t="e">
        <f t="shared" si="112"/>
        <v>#DIV/0!</v>
      </c>
      <c r="AN103" s="8" t="e">
        <f t="shared" si="101"/>
        <v>#DIV/0!</v>
      </c>
      <c r="AO103" s="2" t="e">
        <f t="shared" si="113"/>
        <v>#DIV/0!</v>
      </c>
      <c r="AP103" s="2" t="e">
        <f t="shared" si="58"/>
        <v>#DIV/0!</v>
      </c>
      <c r="AS103" s="8" t="e">
        <f t="shared" si="102"/>
        <v>#DIV/0!</v>
      </c>
      <c r="AT103" s="2" t="e">
        <f t="shared" si="114"/>
        <v>#DIV/0!</v>
      </c>
      <c r="AU103" s="2" t="e">
        <f t="shared" si="115"/>
        <v>#DIV/0!</v>
      </c>
    </row>
    <row r="104" spans="1:47" x14ac:dyDescent="0.2">
      <c r="A104" s="2">
        <f t="shared" si="103"/>
        <v>5.8333333333333295</v>
      </c>
      <c r="B104" s="2">
        <f t="shared" si="104"/>
        <v>2.9282996948181992E-3</v>
      </c>
      <c r="C104" s="2">
        <f t="shared" si="84"/>
        <v>2.9282996948181992E-3</v>
      </c>
      <c r="D104" s="8">
        <f t="shared" si="85"/>
        <v>2.9282996948181992E-3</v>
      </c>
      <c r="E104" s="2">
        <f t="shared" si="86"/>
        <v>2.9282996948181992E-3</v>
      </c>
      <c r="G104" s="8" t="e">
        <f t="shared" si="87"/>
        <v>#DIV/0!</v>
      </c>
      <c r="H104" s="2" t="e">
        <f t="shared" si="88"/>
        <v>#DIV/0!</v>
      </c>
      <c r="J104" s="8">
        <f t="shared" si="89"/>
        <v>3.8900634863338279E-2</v>
      </c>
      <c r="K104" s="2">
        <f t="shared" si="90"/>
        <v>3.8900634863338279E-2</v>
      </c>
      <c r="M104" s="8">
        <f t="shared" si="91"/>
        <v>0.14634146341463417</v>
      </c>
      <c r="N104" s="2">
        <f t="shared" si="92"/>
        <v>0.14634146341463417</v>
      </c>
      <c r="P104" s="8">
        <f t="shared" si="93"/>
        <v>2.9282996948182261E-3</v>
      </c>
      <c r="Q104" s="2">
        <f t="shared" si="94"/>
        <v>2.9282996948182261E-3</v>
      </c>
      <c r="S104" s="8">
        <f t="shared" si="95"/>
        <v>3.8900634863338279E-2</v>
      </c>
      <c r="T104" s="2">
        <f t="shared" si="96"/>
        <v>3.8900634863338279E-2</v>
      </c>
      <c r="W104" s="8" t="e">
        <f t="shared" si="97"/>
        <v>#DIV/0!</v>
      </c>
      <c r="X104" s="2" t="e">
        <f t="shared" si="105"/>
        <v>#DIV/0!</v>
      </c>
      <c r="Y104" s="2" t="e">
        <f t="shared" si="106"/>
        <v>#DIV/0!</v>
      </c>
      <c r="AA104" s="8" t="e">
        <f t="shared" si="98"/>
        <v>#DIV/0!</v>
      </c>
      <c r="AB104" s="2" t="e">
        <f t="shared" si="107"/>
        <v>#DIV/0!</v>
      </c>
      <c r="AC104" s="2" t="e">
        <f t="shared" si="108"/>
        <v>#DIV/0!</v>
      </c>
      <c r="AE104" s="8" t="e">
        <f t="shared" si="99"/>
        <v>#DIV/0!</v>
      </c>
      <c r="AF104" s="2" t="e">
        <f t="shared" si="109"/>
        <v>#DIV/0!</v>
      </c>
      <c r="AG104" s="2" t="e">
        <f t="shared" si="110"/>
        <v>#DIV/0!</v>
      </c>
      <c r="AI104" s="8" t="e">
        <f t="shared" si="100"/>
        <v>#DIV/0!</v>
      </c>
      <c r="AJ104" s="2" t="e">
        <f t="shared" si="111"/>
        <v>#DIV/0!</v>
      </c>
      <c r="AK104" s="2" t="e">
        <f t="shared" si="112"/>
        <v>#DIV/0!</v>
      </c>
      <c r="AN104" s="8" t="e">
        <f t="shared" si="101"/>
        <v>#DIV/0!</v>
      </c>
      <c r="AO104" s="2" t="e">
        <f t="shared" si="113"/>
        <v>#DIV/0!</v>
      </c>
      <c r="AP104" s="2" t="e">
        <f t="shared" si="58"/>
        <v>#DIV/0!</v>
      </c>
      <c r="AS104" s="8" t="e">
        <f t="shared" si="102"/>
        <v>#DIV/0!</v>
      </c>
      <c r="AT104" s="2" t="e">
        <f t="shared" si="114"/>
        <v>#DIV/0!</v>
      </c>
      <c r="AU104" s="2" t="e">
        <f t="shared" si="115"/>
        <v>#DIV/0!</v>
      </c>
    </row>
    <row r="105" spans="1:47" x14ac:dyDescent="0.2">
      <c r="A105" s="2">
        <f t="shared" si="103"/>
        <v>5.9166666666666625</v>
      </c>
      <c r="B105" s="2">
        <f t="shared" si="104"/>
        <v>2.6941657785782367E-3</v>
      </c>
      <c r="C105" s="2">
        <f t="shared" si="84"/>
        <v>2.6941657785782367E-3</v>
      </c>
      <c r="D105" s="8">
        <f t="shared" si="85"/>
        <v>2.6941657785782367E-3</v>
      </c>
      <c r="E105" s="2">
        <f t="shared" si="86"/>
        <v>2.6941657785782367E-3</v>
      </c>
      <c r="G105" s="8" t="e">
        <f t="shared" si="87"/>
        <v>#DIV/0!</v>
      </c>
      <c r="H105" s="2" t="e">
        <f t="shared" si="88"/>
        <v>#DIV/0!</v>
      </c>
      <c r="J105" s="8">
        <f t="shared" si="89"/>
        <v>3.7720553649090549E-2</v>
      </c>
      <c r="K105" s="2">
        <f t="shared" si="90"/>
        <v>3.7720553649090549E-2</v>
      </c>
      <c r="M105" s="8">
        <f t="shared" si="91"/>
        <v>0.14457831325301218</v>
      </c>
      <c r="N105" s="2">
        <f t="shared" si="92"/>
        <v>0.14457831325301218</v>
      </c>
      <c r="P105" s="8">
        <f t="shared" si="93"/>
        <v>2.6941657785782835E-3</v>
      </c>
      <c r="Q105" s="2">
        <f t="shared" si="94"/>
        <v>2.6941657785782835E-3</v>
      </c>
      <c r="S105" s="8">
        <f t="shared" si="95"/>
        <v>3.7720553649090549E-2</v>
      </c>
      <c r="T105" s="2">
        <f t="shared" si="96"/>
        <v>3.7720553649090549E-2</v>
      </c>
      <c r="W105" s="8" t="e">
        <f t="shared" si="97"/>
        <v>#DIV/0!</v>
      </c>
      <c r="X105" s="2" t="e">
        <f t="shared" si="105"/>
        <v>#DIV/0!</v>
      </c>
      <c r="Y105" s="2" t="e">
        <f t="shared" si="106"/>
        <v>#DIV/0!</v>
      </c>
      <c r="AA105" s="8" t="e">
        <f t="shared" si="98"/>
        <v>#DIV/0!</v>
      </c>
      <c r="AB105" s="2" t="e">
        <f t="shared" si="107"/>
        <v>#DIV/0!</v>
      </c>
      <c r="AC105" s="2" t="e">
        <f t="shared" si="108"/>
        <v>#DIV/0!</v>
      </c>
      <c r="AE105" s="8" t="e">
        <f t="shared" si="99"/>
        <v>#DIV/0!</v>
      </c>
      <c r="AF105" s="2" t="e">
        <f t="shared" si="109"/>
        <v>#DIV/0!</v>
      </c>
      <c r="AG105" s="2" t="e">
        <f t="shared" si="110"/>
        <v>#DIV/0!</v>
      </c>
      <c r="AI105" s="8" t="e">
        <f t="shared" si="100"/>
        <v>#DIV/0!</v>
      </c>
      <c r="AJ105" s="2" t="e">
        <f t="shared" si="111"/>
        <v>#DIV/0!</v>
      </c>
      <c r="AK105" s="2" t="e">
        <f t="shared" si="112"/>
        <v>#DIV/0!</v>
      </c>
      <c r="AN105" s="8" t="e">
        <f t="shared" si="101"/>
        <v>#DIV/0!</v>
      </c>
      <c r="AO105" s="2" t="e">
        <f t="shared" si="113"/>
        <v>#DIV/0!</v>
      </c>
      <c r="AP105" s="2" t="e">
        <f t="shared" si="58"/>
        <v>#DIV/0!</v>
      </c>
      <c r="AS105" s="8" t="e">
        <f t="shared" si="102"/>
        <v>#DIV/0!</v>
      </c>
      <c r="AT105" s="2" t="e">
        <f t="shared" si="114"/>
        <v>#DIV/0!</v>
      </c>
      <c r="AU105" s="2" t="e">
        <f t="shared" si="115"/>
        <v>#DIV/0!</v>
      </c>
    </row>
    <row r="106" spans="1:47" x14ac:dyDescent="0.2">
      <c r="A106" s="2">
        <f t="shared" si="103"/>
        <v>5.9999999999999956</v>
      </c>
      <c r="B106" s="2">
        <f t="shared" si="104"/>
        <v>2.4787521766663693E-3</v>
      </c>
      <c r="C106" s="2">
        <f t="shared" si="84"/>
        <v>2.4787521766663693E-3</v>
      </c>
      <c r="D106" s="8">
        <f t="shared" si="85"/>
        <v>2.4787521766663693E-3</v>
      </c>
      <c r="E106" s="2">
        <f t="shared" si="86"/>
        <v>2.4787521766663693E-3</v>
      </c>
      <c r="G106" s="8" t="e">
        <f t="shared" si="87"/>
        <v>#DIV/0!</v>
      </c>
      <c r="H106" s="2" t="e">
        <f t="shared" si="88"/>
        <v>#DIV/0!</v>
      </c>
      <c r="J106" s="8">
        <f t="shared" si="89"/>
        <v>3.6585751917042941E-2</v>
      </c>
      <c r="K106" s="2">
        <f t="shared" si="90"/>
        <v>3.6585751917042941E-2</v>
      </c>
      <c r="M106" s="8">
        <f t="shared" si="91"/>
        <v>0.1428571428571429</v>
      </c>
      <c r="N106" s="2">
        <f t="shared" si="92"/>
        <v>0.1428571428571429</v>
      </c>
      <c r="P106" s="8">
        <f t="shared" si="93"/>
        <v>2.4787521766663767E-3</v>
      </c>
      <c r="Q106" s="2">
        <f t="shared" si="94"/>
        <v>2.4787521766663767E-3</v>
      </c>
      <c r="S106" s="8">
        <f t="shared" si="95"/>
        <v>3.6585751917042941E-2</v>
      </c>
      <c r="T106" s="2">
        <f t="shared" si="96"/>
        <v>3.6585751917042941E-2</v>
      </c>
      <c r="W106" s="8" t="e">
        <f t="shared" si="97"/>
        <v>#DIV/0!</v>
      </c>
      <c r="X106" s="2" t="e">
        <f t="shared" si="105"/>
        <v>#DIV/0!</v>
      </c>
      <c r="Y106" s="2" t="e">
        <f t="shared" si="106"/>
        <v>#DIV/0!</v>
      </c>
      <c r="AA106" s="8" t="e">
        <f t="shared" si="98"/>
        <v>#DIV/0!</v>
      </c>
      <c r="AB106" s="2" t="e">
        <f t="shared" si="107"/>
        <v>#DIV/0!</v>
      </c>
      <c r="AC106" s="2" t="e">
        <f t="shared" si="108"/>
        <v>#DIV/0!</v>
      </c>
      <c r="AE106" s="8" t="e">
        <f t="shared" si="99"/>
        <v>#DIV/0!</v>
      </c>
      <c r="AF106" s="2" t="e">
        <f t="shared" si="109"/>
        <v>#DIV/0!</v>
      </c>
      <c r="AG106" s="2" t="e">
        <f t="shared" si="110"/>
        <v>#DIV/0!</v>
      </c>
      <c r="AI106" s="8" t="e">
        <f t="shared" si="100"/>
        <v>#DIV/0!</v>
      </c>
      <c r="AJ106" s="2" t="e">
        <f t="shared" si="111"/>
        <v>#DIV/0!</v>
      </c>
      <c r="AK106" s="2" t="e">
        <f t="shared" si="112"/>
        <v>#DIV/0!</v>
      </c>
      <c r="AN106" s="8" t="e">
        <f t="shared" si="101"/>
        <v>#DIV/0!</v>
      </c>
      <c r="AO106" s="2" t="e">
        <f t="shared" si="113"/>
        <v>#DIV/0!</v>
      </c>
      <c r="AP106" s="2" t="e">
        <f t="shared" si="58"/>
        <v>#DIV/0!</v>
      </c>
      <c r="AS106" s="8" t="e">
        <f t="shared" si="102"/>
        <v>#DIV/0!</v>
      </c>
      <c r="AT106" s="2" t="e">
        <f t="shared" si="114"/>
        <v>#DIV/0!</v>
      </c>
      <c r="AU106" s="2" t="e">
        <f t="shared" si="115"/>
        <v>#DIV/0!</v>
      </c>
    </row>
    <row r="107" spans="1:47" x14ac:dyDescent="0.2">
      <c r="A107" s="2">
        <f t="shared" si="103"/>
        <v>6.0833333333333286</v>
      </c>
      <c r="B107" s="2">
        <f t="shared" si="104"/>
        <v>2.2805620953921715E-3</v>
      </c>
      <c r="C107" s="2">
        <f t="shared" si="84"/>
        <v>2.2805620953921715E-3</v>
      </c>
      <c r="D107" s="8">
        <f t="shared" si="85"/>
        <v>2.2805620953921715E-3</v>
      </c>
      <c r="E107" s="2">
        <f t="shared" si="86"/>
        <v>2.2805620953921715E-3</v>
      </c>
      <c r="G107" s="8" t="e">
        <f t="shared" si="87"/>
        <v>#DIV/0!</v>
      </c>
      <c r="H107" s="2" t="e">
        <f t="shared" si="88"/>
        <v>#DIV/0!</v>
      </c>
      <c r="J107" s="8">
        <f t="shared" si="89"/>
        <v>3.5494111189116828E-2</v>
      </c>
      <c r="K107" s="2">
        <f t="shared" si="90"/>
        <v>3.5494111189116828E-2</v>
      </c>
      <c r="M107" s="8">
        <f t="shared" si="91"/>
        <v>0.14117647058823546</v>
      </c>
      <c r="N107" s="2">
        <f t="shared" si="92"/>
        <v>0.14117647058823546</v>
      </c>
      <c r="P107" s="8">
        <f t="shared" si="93"/>
        <v>2.2805620953921801E-3</v>
      </c>
      <c r="Q107" s="2">
        <f t="shared" si="94"/>
        <v>2.2805620953921801E-3</v>
      </c>
      <c r="S107" s="8">
        <f t="shared" si="95"/>
        <v>3.5494111189116828E-2</v>
      </c>
      <c r="T107" s="2">
        <f t="shared" si="96"/>
        <v>3.5494111189116828E-2</v>
      </c>
      <c r="W107" s="8" t="e">
        <f t="shared" si="97"/>
        <v>#DIV/0!</v>
      </c>
      <c r="X107" s="2" t="e">
        <f t="shared" si="105"/>
        <v>#DIV/0!</v>
      </c>
      <c r="Y107" s="2" t="e">
        <f t="shared" si="106"/>
        <v>#DIV/0!</v>
      </c>
      <c r="AA107" s="8" t="e">
        <f t="shared" si="98"/>
        <v>#DIV/0!</v>
      </c>
      <c r="AB107" s="2" t="e">
        <f t="shared" si="107"/>
        <v>#DIV/0!</v>
      </c>
      <c r="AC107" s="2" t="e">
        <f t="shared" si="108"/>
        <v>#DIV/0!</v>
      </c>
      <c r="AE107" s="8" t="e">
        <f t="shared" si="99"/>
        <v>#DIV/0!</v>
      </c>
      <c r="AF107" s="2" t="e">
        <f t="shared" si="109"/>
        <v>#DIV/0!</v>
      </c>
      <c r="AG107" s="2" t="e">
        <f t="shared" si="110"/>
        <v>#DIV/0!</v>
      </c>
      <c r="AI107" s="8" t="e">
        <f t="shared" si="100"/>
        <v>#DIV/0!</v>
      </c>
      <c r="AJ107" s="2" t="e">
        <f t="shared" si="111"/>
        <v>#DIV/0!</v>
      </c>
      <c r="AK107" s="2" t="e">
        <f t="shared" si="112"/>
        <v>#DIV/0!</v>
      </c>
      <c r="AN107" s="8" t="e">
        <f t="shared" si="101"/>
        <v>#DIV/0!</v>
      </c>
      <c r="AO107" s="2" t="e">
        <f t="shared" si="113"/>
        <v>#DIV/0!</v>
      </c>
      <c r="AP107" s="2" t="e">
        <f t="shared" si="58"/>
        <v>#DIV/0!</v>
      </c>
      <c r="AS107" s="8" t="e">
        <f t="shared" si="102"/>
        <v>#DIV/0!</v>
      </c>
      <c r="AT107" s="2" t="e">
        <f t="shared" si="114"/>
        <v>#DIV/0!</v>
      </c>
      <c r="AU107" s="2" t="e">
        <f t="shared" si="115"/>
        <v>#DIV/0!</v>
      </c>
    </row>
    <row r="108" spans="1:47" x14ac:dyDescent="0.2">
      <c r="A108" s="2">
        <f t="shared" si="103"/>
        <v>6.1666666666666616</v>
      </c>
      <c r="B108" s="2">
        <f t="shared" si="104"/>
        <v>2.0982184180809139E-3</v>
      </c>
      <c r="C108" s="2">
        <f t="shared" si="84"/>
        <v>2.0982184180809139E-3</v>
      </c>
      <c r="D108" s="8">
        <f t="shared" si="85"/>
        <v>2.0982184180809139E-3</v>
      </c>
      <c r="E108" s="2">
        <f t="shared" si="86"/>
        <v>2.0982184180809139E-3</v>
      </c>
      <c r="G108" s="8" t="e">
        <f t="shared" si="87"/>
        <v>#DIV/0!</v>
      </c>
      <c r="H108" s="2" t="e">
        <f t="shared" si="88"/>
        <v>#DIV/0!</v>
      </c>
      <c r="J108" s="8">
        <f t="shared" si="89"/>
        <v>3.4443630409332404E-2</v>
      </c>
      <c r="K108" s="2">
        <f t="shared" si="90"/>
        <v>3.4443630409332404E-2</v>
      </c>
      <c r="M108" s="8">
        <f t="shared" si="91"/>
        <v>0.13953488372093037</v>
      </c>
      <c r="N108" s="2">
        <f t="shared" si="92"/>
        <v>0.13953488372093037</v>
      </c>
      <c r="P108" s="8">
        <f t="shared" si="93"/>
        <v>2.0982184180808883E-3</v>
      </c>
      <c r="Q108" s="2">
        <f t="shared" si="94"/>
        <v>2.0982184180808883E-3</v>
      </c>
      <c r="S108" s="8">
        <f t="shared" si="95"/>
        <v>3.4443630409332404E-2</v>
      </c>
      <c r="T108" s="2">
        <f t="shared" si="96"/>
        <v>3.4443630409332404E-2</v>
      </c>
      <c r="W108" s="8" t="e">
        <f t="shared" si="97"/>
        <v>#DIV/0!</v>
      </c>
      <c r="X108" s="2" t="e">
        <f t="shared" si="105"/>
        <v>#DIV/0!</v>
      </c>
      <c r="Y108" s="2" t="e">
        <f t="shared" si="106"/>
        <v>#DIV/0!</v>
      </c>
      <c r="AA108" s="8" t="e">
        <f t="shared" si="98"/>
        <v>#DIV/0!</v>
      </c>
      <c r="AB108" s="2" t="e">
        <f t="shared" si="107"/>
        <v>#DIV/0!</v>
      </c>
      <c r="AC108" s="2" t="e">
        <f t="shared" si="108"/>
        <v>#DIV/0!</v>
      </c>
      <c r="AE108" s="8" t="e">
        <f t="shared" si="99"/>
        <v>#DIV/0!</v>
      </c>
      <c r="AF108" s="2" t="e">
        <f t="shared" si="109"/>
        <v>#DIV/0!</v>
      </c>
      <c r="AG108" s="2" t="e">
        <f t="shared" si="110"/>
        <v>#DIV/0!</v>
      </c>
      <c r="AI108" s="8" t="e">
        <f t="shared" si="100"/>
        <v>#DIV/0!</v>
      </c>
      <c r="AJ108" s="2" t="e">
        <f t="shared" si="111"/>
        <v>#DIV/0!</v>
      </c>
      <c r="AK108" s="2" t="e">
        <f t="shared" si="112"/>
        <v>#DIV/0!</v>
      </c>
      <c r="AN108" s="8" t="e">
        <f t="shared" si="101"/>
        <v>#DIV/0!</v>
      </c>
      <c r="AO108" s="2" t="e">
        <f t="shared" si="113"/>
        <v>#DIV/0!</v>
      </c>
      <c r="AP108" s="2" t="e">
        <f t="shared" si="58"/>
        <v>#DIV/0!</v>
      </c>
      <c r="AS108" s="8" t="e">
        <f t="shared" si="102"/>
        <v>#DIV/0!</v>
      </c>
      <c r="AT108" s="2" t="e">
        <f t="shared" si="114"/>
        <v>#DIV/0!</v>
      </c>
      <c r="AU108" s="2" t="e">
        <f t="shared" si="115"/>
        <v>#DIV/0!</v>
      </c>
    </row>
    <row r="109" spans="1:47" x14ac:dyDescent="0.2">
      <c r="A109" s="2">
        <f t="shared" si="103"/>
        <v>6.2499999999999947</v>
      </c>
      <c r="B109" s="2">
        <f t="shared" si="104"/>
        <v>1.9304541362277195E-3</v>
      </c>
      <c r="C109" s="2">
        <f t="shared" si="84"/>
        <v>1.9304541362277195E-3</v>
      </c>
      <c r="D109" s="8">
        <f t="shared" si="85"/>
        <v>1.9304541362277195E-3</v>
      </c>
      <c r="E109" s="2">
        <f t="shared" si="86"/>
        <v>1.9304541362277195E-3</v>
      </c>
      <c r="G109" s="8" t="e">
        <f t="shared" si="87"/>
        <v>#DIV/0!</v>
      </c>
      <c r="H109" s="2" t="e">
        <f t="shared" si="88"/>
        <v>#DIV/0!</v>
      </c>
      <c r="J109" s="8">
        <f t="shared" si="89"/>
        <v>3.3432418408916975E-2</v>
      </c>
      <c r="K109" s="2">
        <f t="shared" si="90"/>
        <v>3.3432418408916975E-2</v>
      </c>
      <c r="M109" s="8">
        <f t="shared" si="91"/>
        <v>0.13793103448275867</v>
      </c>
      <c r="N109" s="2">
        <f t="shared" si="92"/>
        <v>0.13793103448275867</v>
      </c>
      <c r="P109" s="8">
        <f t="shared" si="93"/>
        <v>1.9304541362277217E-3</v>
      </c>
      <c r="Q109" s="2">
        <f t="shared" si="94"/>
        <v>1.9304541362277217E-3</v>
      </c>
      <c r="S109" s="8">
        <f t="shared" si="95"/>
        <v>3.3432418408916975E-2</v>
      </c>
      <c r="T109" s="2">
        <f t="shared" si="96"/>
        <v>3.3432418408916975E-2</v>
      </c>
      <c r="W109" s="8" t="e">
        <f t="shared" si="97"/>
        <v>#DIV/0!</v>
      </c>
      <c r="X109" s="2" t="e">
        <f t="shared" si="105"/>
        <v>#DIV/0!</v>
      </c>
      <c r="Y109" s="2" t="e">
        <f t="shared" si="106"/>
        <v>#DIV/0!</v>
      </c>
      <c r="AA109" s="8" t="e">
        <f t="shared" si="98"/>
        <v>#DIV/0!</v>
      </c>
      <c r="AB109" s="2" t="e">
        <f t="shared" si="107"/>
        <v>#DIV/0!</v>
      </c>
      <c r="AC109" s="2" t="e">
        <f t="shared" si="108"/>
        <v>#DIV/0!</v>
      </c>
      <c r="AE109" s="8" t="e">
        <f t="shared" si="99"/>
        <v>#DIV/0!</v>
      </c>
      <c r="AF109" s="2" t="e">
        <f t="shared" si="109"/>
        <v>#DIV/0!</v>
      </c>
      <c r="AG109" s="2" t="e">
        <f t="shared" si="110"/>
        <v>#DIV/0!</v>
      </c>
      <c r="AI109" s="8" t="e">
        <f t="shared" si="100"/>
        <v>#DIV/0!</v>
      </c>
      <c r="AJ109" s="2" t="e">
        <f t="shared" si="111"/>
        <v>#DIV/0!</v>
      </c>
      <c r="AK109" s="2" t="e">
        <f t="shared" si="112"/>
        <v>#DIV/0!</v>
      </c>
      <c r="AN109" s="8" t="e">
        <f t="shared" si="101"/>
        <v>#DIV/0!</v>
      </c>
      <c r="AO109" s="2" t="e">
        <f t="shared" si="113"/>
        <v>#DIV/0!</v>
      </c>
      <c r="AP109" s="2" t="e">
        <f t="shared" si="58"/>
        <v>#DIV/0!</v>
      </c>
      <c r="AS109" s="8" t="e">
        <f t="shared" si="102"/>
        <v>#DIV/0!</v>
      </c>
      <c r="AT109" s="2" t="e">
        <f t="shared" si="114"/>
        <v>#DIV/0!</v>
      </c>
      <c r="AU109" s="2" t="e">
        <f t="shared" si="115"/>
        <v>#DIV/0!</v>
      </c>
    </row>
    <row r="110" spans="1:47" x14ac:dyDescent="0.2">
      <c r="A110" s="2">
        <f t="shared" si="103"/>
        <v>6.3333333333333277</v>
      </c>
      <c r="B110" s="2">
        <f t="shared" si="104"/>
        <v>1.7761035457343887E-3</v>
      </c>
      <c r="C110" s="2">
        <f t="shared" si="84"/>
        <v>1.7761035457343887E-3</v>
      </c>
      <c r="D110" s="8">
        <f t="shared" si="85"/>
        <v>1.7761035457343887E-3</v>
      </c>
      <c r="E110" s="2">
        <f t="shared" si="86"/>
        <v>1.7761035457343887E-3</v>
      </c>
      <c r="G110" s="8" t="e">
        <f t="shared" si="87"/>
        <v>#DIV/0!</v>
      </c>
      <c r="H110" s="2" t="e">
        <f t="shared" si="88"/>
        <v>#DIV/0!</v>
      </c>
      <c r="J110" s="8">
        <f t="shared" si="89"/>
        <v>3.2458686920822988E-2</v>
      </c>
      <c r="K110" s="2">
        <f t="shared" si="90"/>
        <v>3.2458686920822988E-2</v>
      </c>
      <c r="M110" s="8">
        <f t="shared" si="91"/>
        <v>0.13636363636363635</v>
      </c>
      <c r="N110" s="2">
        <f t="shared" si="92"/>
        <v>0.13636363636363635</v>
      </c>
      <c r="P110" s="8">
        <f t="shared" si="93"/>
        <v>1.776103545734431E-3</v>
      </c>
      <c r="Q110" s="2">
        <f t="shared" si="94"/>
        <v>1.776103545734431E-3</v>
      </c>
      <c r="S110" s="8">
        <f t="shared" si="95"/>
        <v>3.2458686920822988E-2</v>
      </c>
      <c r="T110" s="2">
        <f t="shared" si="96"/>
        <v>3.2458686920822988E-2</v>
      </c>
      <c r="W110" s="8" t="e">
        <f t="shared" si="97"/>
        <v>#DIV/0!</v>
      </c>
      <c r="X110" s="2" t="e">
        <f t="shared" si="105"/>
        <v>#DIV/0!</v>
      </c>
      <c r="Y110" s="2" t="e">
        <f t="shared" si="106"/>
        <v>#DIV/0!</v>
      </c>
      <c r="AA110" s="8" t="e">
        <f t="shared" si="98"/>
        <v>#DIV/0!</v>
      </c>
      <c r="AB110" s="2" t="e">
        <f t="shared" si="107"/>
        <v>#DIV/0!</v>
      </c>
      <c r="AC110" s="2" t="e">
        <f t="shared" si="108"/>
        <v>#DIV/0!</v>
      </c>
      <c r="AE110" s="8" t="e">
        <f t="shared" si="99"/>
        <v>#DIV/0!</v>
      </c>
      <c r="AF110" s="2" t="e">
        <f t="shared" si="109"/>
        <v>#DIV/0!</v>
      </c>
      <c r="AG110" s="2" t="e">
        <f t="shared" si="110"/>
        <v>#DIV/0!</v>
      </c>
      <c r="AI110" s="8" t="e">
        <f t="shared" si="100"/>
        <v>#DIV/0!</v>
      </c>
      <c r="AJ110" s="2" t="e">
        <f t="shared" si="111"/>
        <v>#DIV/0!</v>
      </c>
      <c r="AK110" s="2" t="e">
        <f t="shared" si="112"/>
        <v>#DIV/0!</v>
      </c>
      <c r="AN110" s="8" t="e">
        <f t="shared" si="101"/>
        <v>#DIV/0!</v>
      </c>
      <c r="AO110" s="2" t="e">
        <f t="shared" si="113"/>
        <v>#DIV/0!</v>
      </c>
      <c r="AP110" s="2" t="e">
        <f t="shared" si="58"/>
        <v>#DIV/0!</v>
      </c>
      <c r="AS110" s="8" t="e">
        <f t="shared" si="102"/>
        <v>#DIV/0!</v>
      </c>
      <c r="AT110" s="2" t="e">
        <f t="shared" si="114"/>
        <v>#DIV/0!</v>
      </c>
      <c r="AU110" s="2" t="e">
        <f t="shared" si="115"/>
        <v>#DIV/0!</v>
      </c>
    </row>
    <row r="111" spans="1:47" x14ac:dyDescent="0.2">
      <c r="A111" s="2">
        <f t="shared" si="103"/>
        <v>6.4166666666666607</v>
      </c>
      <c r="B111" s="2">
        <f t="shared" si="104"/>
        <v>1.6340941470562615E-3</v>
      </c>
      <c r="C111" s="2">
        <f t="shared" si="84"/>
        <v>1.6340941470562615E-3</v>
      </c>
      <c r="D111" s="8">
        <f t="shared" si="85"/>
        <v>1.6340941470562615E-3</v>
      </c>
      <c r="E111" s="2">
        <f t="shared" si="86"/>
        <v>1.6340941470562615E-3</v>
      </c>
      <c r="G111" s="8" t="e">
        <f t="shared" si="87"/>
        <v>#DIV/0!</v>
      </c>
      <c r="H111" s="2" t="e">
        <f t="shared" si="88"/>
        <v>#DIV/0!</v>
      </c>
      <c r="J111" s="8">
        <f t="shared" si="89"/>
        <v>3.1520744098831543E-2</v>
      </c>
      <c r="K111" s="2">
        <f t="shared" si="90"/>
        <v>3.1520744098831543E-2</v>
      </c>
      <c r="M111" s="8">
        <f t="shared" si="91"/>
        <v>0.1348314606741573</v>
      </c>
      <c r="N111" s="2">
        <f t="shared" si="92"/>
        <v>0.1348314606741573</v>
      </c>
      <c r="P111" s="8">
        <f t="shared" si="93"/>
        <v>1.6340941470562864E-3</v>
      </c>
      <c r="Q111" s="2">
        <f t="shared" si="94"/>
        <v>1.6340941470562864E-3</v>
      </c>
      <c r="S111" s="8">
        <f t="shared" si="95"/>
        <v>3.1520744098831543E-2</v>
      </c>
      <c r="T111" s="2">
        <f t="shared" si="96"/>
        <v>3.1520744098831543E-2</v>
      </c>
      <c r="W111" s="8" t="e">
        <f t="shared" si="97"/>
        <v>#DIV/0!</v>
      </c>
      <c r="X111" s="2" t="e">
        <f t="shared" si="105"/>
        <v>#DIV/0!</v>
      </c>
      <c r="Y111" s="2" t="e">
        <f t="shared" si="106"/>
        <v>#DIV/0!</v>
      </c>
      <c r="AA111" s="8" t="e">
        <f t="shared" si="98"/>
        <v>#DIV/0!</v>
      </c>
      <c r="AB111" s="2" t="e">
        <f t="shared" si="107"/>
        <v>#DIV/0!</v>
      </c>
      <c r="AC111" s="2" t="e">
        <f t="shared" si="108"/>
        <v>#DIV/0!</v>
      </c>
      <c r="AE111" s="8" t="e">
        <f t="shared" si="99"/>
        <v>#DIV/0!</v>
      </c>
      <c r="AF111" s="2" t="e">
        <f t="shared" si="109"/>
        <v>#DIV/0!</v>
      </c>
      <c r="AG111" s="2" t="e">
        <f t="shared" si="110"/>
        <v>#DIV/0!</v>
      </c>
      <c r="AI111" s="8" t="e">
        <f t="shared" si="100"/>
        <v>#DIV/0!</v>
      </c>
      <c r="AJ111" s="2" t="e">
        <f t="shared" si="111"/>
        <v>#DIV/0!</v>
      </c>
      <c r="AK111" s="2" t="e">
        <f t="shared" si="112"/>
        <v>#DIV/0!</v>
      </c>
      <c r="AN111" s="8" t="e">
        <f t="shared" si="101"/>
        <v>#DIV/0!</v>
      </c>
      <c r="AO111" s="2" t="e">
        <f t="shared" si="113"/>
        <v>#DIV/0!</v>
      </c>
      <c r="AP111" s="2" t="e">
        <f t="shared" si="58"/>
        <v>#DIV/0!</v>
      </c>
      <c r="AS111" s="8" t="e">
        <f t="shared" si="102"/>
        <v>#DIV/0!</v>
      </c>
      <c r="AT111" s="2" t="e">
        <f t="shared" si="114"/>
        <v>#DIV/0!</v>
      </c>
      <c r="AU111" s="2" t="e">
        <f t="shared" si="115"/>
        <v>#DIV/0!</v>
      </c>
    </row>
    <row r="112" spans="1:47" x14ac:dyDescent="0.2">
      <c r="A112" s="2">
        <f t="shared" si="103"/>
        <v>6.4999999999999938</v>
      </c>
      <c r="B112" s="2">
        <f t="shared" si="104"/>
        <v>1.5034391929775817E-3</v>
      </c>
      <c r="C112" s="2">
        <f t="shared" si="84"/>
        <v>1.5034391929775817E-3</v>
      </c>
      <c r="D112" s="8">
        <f t="shared" si="85"/>
        <v>1.5034391929775817E-3</v>
      </c>
      <c r="E112" s="2">
        <f t="shared" si="86"/>
        <v>1.5034391929775817E-3</v>
      </c>
      <c r="G112" s="8" t="e">
        <f t="shared" si="87"/>
        <v>#DIV/0!</v>
      </c>
      <c r="H112" s="2" t="e">
        <f t="shared" si="88"/>
        <v>#DIV/0!</v>
      </c>
      <c r="J112" s="8">
        <f t="shared" si="89"/>
        <v>3.0616988500454356E-2</v>
      </c>
      <c r="K112" s="2">
        <f t="shared" si="90"/>
        <v>3.0616988500454356E-2</v>
      </c>
      <c r="M112" s="8">
        <f t="shared" si="91"/>
        <v>0.13333333333333341</v>
      </c>
      <c r="N112" s="2">
        <f t="shared" si="92"/>
        <v>0.13333333333333341</v>
      </c>
      <c r="P112" s="8">
        <f t="shared" si="93"/>
        <v>1.5034391929775737E-3</v>
      </c>
      <c r="Q112" s="2">
        <f t="shared" si="94"/>
        <v>1.5034391929775737E-3</v>
      </c>
      <c r="S112" s="8">
        <f t="shared" si="95"/>
        <v>3.0616988500454356E-2</v>
      </c>
      <c r="T112" s="2">
        <f t="shared" si="96"/>
        <v>3.0616988500454356E-2</v>
      </c>
      <c r="W112" s="8" t="e">
        <f t="shared" si="97"/>
        <v>#DIV/0!</v>
      </c>
      <c r="X112" s="2" t="e">
        <f t="shared" si="105"/>
        <v>#DIV/0!</v>
      </c>
      <c r="Y112" s="2" t="e">
        <f t="shared" si="106"/>
        <v>#DIV/0!</v>
      </c>
      <c r="AA112" s="8" t="e">
        <f t="shared" si="98"/>
        <v>#DIV/0!</v>
      </c>
      <c r="AB112" s="2" t="e">
        <f t="shared" si="107"/>
        <v>#DIV/0!</v>
      </c>
      <c r="AC112" s="2" t="e">
        <f t="shared" si="108"/>
        <v>#DIV/0!</v>
      </c>
      <c r="AE112" s="8" t="e">
        <f t="shared" si="99"/>
        <v>#DIV/0!</v>
      </c>
      <c r="AF112" s="2" t="e">
        <f t="shared" si="109"/>
        <v>#DIV/0!</v>
      </c>
      <c r="AG112" s="2" t="e">
        <f t="shared" si="110"/>
        <v>#DIV/0!</v>
      </c>
      <c r="AI112" s="8" t="e">
        <f t="shared" si="100"/>
        <v>#DIV/0!</v>
      </c>
      <c r="AJ112" s="2" t="e">
        <f t="shared" si="111"/>
        <v>#DIV/0!</v>
      </c>
      <c r="AK112" s="2" t="e">
        <f t="shared" si="112"/>
        <v>#DIV/0!</v>
      </c>
      <c r="AN112" s="8" t="e">
        <f t="shared" si="101"/>
        <v>#DIV/0!</v>
      </c>
      <c r="AO112" s="2" t="e">
        <f t="shared" si="113"/>
        <v>#DIV/0!</v>
      </c>
      <c r="AP112" s="2" t="e">
        <f t="shared" si="58"/>
        <v>#DIV/0!</v>
      </c>
      <c r="AS112" s="8" t="e">
        <f t="shared" si="102"/>
        <v>#DIV/0!</v>
      </c>
      <c r="AT112" s="2" t="e">
        <f t="shared" si="114"/>
        <v>#DIV/0!</v>
      </c>
      <c r="AU112" s="2" t="e">
        <f t="shared" si="115"/>
        <v>#DIV/0!</v>
      </c>
    </row>
    <row r="113" spans="1:47" x14ac:dyDescent="0.2">
      <c r="A113" s="2">
        <f t="shared" si="103"/>
        <v>6.5833333333333268</v>
      </c>
      <c r="B113" s="2">
        <f t="shared" si="104"/>
        <v>1.3832308322338418E-3</v>
      </c>
      <c r="C113" s="2">
        <f t="shared" si="84"/>
        <v>1.3832308322338418E-3</v>
      </c>
      <c r="D113" s="8">
        <f t="shared" si="85"/>
        <v>1.3832308322338418E-3</v>
      </c>
      <c r="E113" s="2">
        <f t="shared" si="86"/>
        <v>1.3832308322338418E-3</v>
      </c>
      <c r="G113" s="8" t="e">
        <f t="shared" si="87"/>
        <v>#DIV/0!</v>
      </c>
      <c r="H113" s="2" t="e">
        <f t="shared" si="88"/>
        <v>#DIV/0!</v>
      </c>
      <c r="J113" s="8">
        <f t="shared" si="89"/>
        <v>2.9745903496491088E-2</v>
      </c>
      <c r="K113" s="2">
        <f t="shared" si="90"/>
        <v>2.9745903496491088E-2</v>
      </c>
      <c r="M113" s="8">
        <f t="shared" si="91"/>
        <v>0.13186813186813195</v>
      </c>
      <c r="N113" s="2">
        <f t="shared" si="92"/>
        <v>0.13186813186813195</v>
      </c>
      <c r="P113" s="8">
        <f t="shared" si="93"/>
        <v>1.3832308322337949E-3</v>
      </c>
      <c r="Q113" s="2">
        <f t="shared" si="94"/>
        <v>1.3832308322337949E-3</v>
      </c>
      <c r="S113" s="8">
        <f t="shared" si="95"/>
        <v>2.9745903496491088E-2</v>
      </c>
      <c r="T113" s="2">
        <f t="shared" si="96"/>
        <v>2.9745903496491088E-2</v>
      </c>
      <c r="W113" s="8" t="e">
        <f t="shared" si="97"/>
        <v>#DIV/0!</v>
      </c>
      <c r="X113" s="2" t="e">
        <f t="shared" si="105"/>
        <v>#DIV/0!</v>
      </c>
      <c r="Y113" s="2" t="e">
        <f t="shared" si="106"/>
        <v>#DIV/0!</v>
      </c>
      <c r="AA113" s="8" t="e">
        <f t="shared" si="98"/>
        <v>#DIV/0!</v>
      </c>
      <c r="AB113" s="2" t="e">
        <f t="shared" si="107"/>
        <v>#DIV/0!</v>
      </c>
      <c r="AC113" s="2" t="e">
        <f t="shared" si="108"/>
        <v>#DIV/0!</v>
      </c>
      <c r="AE113" s="8" t="e">
        <f t="shared" si="99"/>
        <v>#DIV/0!</v>
      </c>
      <c r="AF113" s="2" t="e">
        <f t="shared" si="109"/>
        <v>#DIV/0!</v>
      </c>
      <c r="AG113" s="2" t="e">
        <f t="shared" si="110"/>
        <v>#DIV/0!</v>
      </c>
      <c r="AI113" s="8" t="e">
        <f t="shared" si="100"/>
        <v>#DIV/0!</v>
      </c>
      <c r="AJ113" s="2" t="e">
        <f t="shared" si="111"/>
        <v>#DIV/0!</v>
      </c>
      <c r="AK113" s="2" t="e">
        <f t="shared" si="112"/>
        <v>#DIV/0!</v>
      </c>
      <c r="AN113" s="8" t="e">
        <f t="shared" si="101"/>
        <v>#DIV/0!</v>
      </c>
      <c r="AO113" s="2" t="e">
        <f t="shared" si="113"/>
        <v>#DIV/0!</v>
      </c>
      <c r="AP113" s="2" t="e">
        <f t="shared" si="58"/>
        <v>#DIV/0!</v>
      </c>
      <c r="AS113" s="8" t="e">
        <f t="shared" si="102"/>
        <v>#DIV/0!</v>
      </c>
      <c r="AT113" s="2" t="e">
        <f t="shared" si="114"/>
        <v>#DIV/0!</v>
      </c>
      <c r="AU113" s="2" t="e">
        <f t="shared" si="115"/>
        <v>#DIV/0!</v>
      </c>
    </row>
    <row r="114" spans="1:47" x14ac:dyDescent="0.2">
      <c r="A114" s="2">
        <f t="shared" si="103"/>
        <v>6.6666666666666599</v>
      </c>
      <c r="B114" s="2">
        <f t="shared" si="104"/>
        <v>1.272633801339817E-3</v>
      </c>
      <c r="C114" s="2">
        <f t="shared" si="84"/>
        <v>1.272633801339817E-3</v>
      </c>
      <c r="D114" s="8">
        <f t="shared" si="85"/>
        <v>1.272633801339817E-3</v>
      </c>
      <c r="E114" s="2">
        <f t="shared" si="86"/>
        <v>1.272633801339817E-3</v>
      </c>
      <c r="G114" s="8" t="e">
        <f t="shared" si="87"/>
        <v>#DIV/0!</v>
      </c>
      <c r="H114" s="2" t="e">
        <f t="shared" si="88"/>
        <v>#DIV/0!</v>
      </c>
      <c r="J114" s="8">
        <f t="shared" si="89"/>
        <v>2.8906052073385036E-2</v>
      </c>
      <c r="K114" s="2">
        <f t="shared" si="90"/>
        <v>2.8906052073385036E-2</v>
      </c>
      <c r="M114" s="8">
        <f t="shared" si="91"/>
        <v>0.13043478260869579</v>
      </c>
      <c r="N114" s="2">
        <f t="shared" si="92"/>
        <v>0.13043478260869579</v>
      </c>
      <c r="P114" s="8">
        <f t="shared" si="93"/>
        <v>1.2726338013397953E-3</v>
      </c>
      <c r="Q114" s="2">
        <f t="shared" si="94"/>
        <v>1.2726338013397953E-3</v>
      </c>
      <c r="S114" s="8">
        <f t="shared" si="95"/>
        <v>2.8906052073385036E-2</v>
      </c>
      <c r="T114" s="2">
        <f t="shared" si="96"/>
        <v>2.8906052073385036E-2</v>
      </c>
      <c r="W114" s="8" t="e">
        <f t="shared" si="97"/>
        <v>#DIV/0!</v>
      </c>
      <c r="X114" s="2" t="e">
        <f t="shared" si="105"/>
        <v>#DIV/0!</v>
      </c>
      <c r="Y114" s="2" t="e">
        <f t="shared" si="106"/>
        <v>#DIV/0!</v>
      </c>
      <c r="AA114" s="8" t="e">
        <f t="shared" si="98"/>
        <v>#DIV/0!</v>
      </c>
      <c r="AB114" s="2" t="e">
        <f t="shared" si="107"/>
        <v>#DIV/0!</v>
      </c>
      <c r="AC114" s="2" t="e">
        <f t="shared" si="108"/>
        <v>#DIV/0!</v>
      </c>
      <c r="AE114" s="8" t="e">
        <f t="shared" si="99"/>
        <v>#DIV/0!</v>
      </c>
      <c r="AF114" s="2" t="e">
        <f t="shared" si="109"/>
        <v>#DIV/0!</v>
      </c>
      <c r="AG114" s="2" t="e">
        <f t="shared" si="110"/>
        <v>#DIV/0!</v>
      </c>
      <c r="AI114" s="8" t="e">
        <f t="shared" si="100"/>
        <v>#DIV/0!</v>
      </c>
      <c r="AJ114" s="2" t="e">
        <f t="shared" si="111"/>
        <v>#DIV/0!</v>
      </c>
      <c r="AK114" s="2" t="e">
        <f t="shared" si="112"/>
        <v>#DIV/0!</v>
      </c>
      <c r="AN114" s="8" t="e">
        <f t="shared" si="101"/>
        <v>#DIV/0!</v>
      </c>
      <c r="AO114" s="2" t="e">
        <f t="shared" si="113"/>
        <v>#DIV/0!</v>
      </c>
      <c r="AP114" s="2" t="e">
        <f t="shared" si="58"/>
        <v>#DIV/0!</v>
      </c>
      <c r="AS114" s="8" t="e">
        <f t="shared" si="102"/>
        <v>#DIV/0!</v>
      </c>
      <c r="AT114" s="2" t="e">
        <f t="shared" si="114"/>
        <v>#DIV/0!</v>
      </c>
      <c r="AU114" s="2" t="e">
        <f t="shared" si="115"/>
        <v>#DIV/0!</v>
      </c>
    </row>
    <row r="115" spans="1:47" x14ac:dyDescent="0.2">
      <c r="A115" s="2">
        <f t="shared" si="103"/>
        <v>6.7499999999999929</v>
      </c>
      <c r="B115" s="2">
        <f t="shared" si="104"/>
        <v>1.1708796207911827E-3</v>
      </c>
      <c r="C115" s="2">
        <f t="shared" si="84"/>
        <v>1.1708796207911827E-3</v>
      </c>
      <c r="D115" s="8">
        <f t="shared" si="85"/>
        <v>1.1708796207911827E-3</v>
      </c>
      <c r="E115" s="2">
        <f t="shared" si="86"/>
        <v>1.1708796207911827E-3</v>
      </c>
      <c r="G115" s="8" t="e">
        <f t="shared" si="87"/>
        <v>#DIV/0!</v>
      </c>
      <c r="H115" s="2" t="e">
        <f t="shared" si="88"/>
        <v>#DIV/0!</v>
      </c>
      <c r="J115" s="8">
        <f t="shared" si="89"/>
        <v>2.8096071997489203E-2</v>
      </c>
      <c r="K115" s="2">
        <f t="shared" si="90"/>
        <v>2.8096071997489203E-2</v>
      </c>
      <c r="M115" s="8">
        <f t="shared" si="91"/>
        <v>0.12903225806451624</v>
      </c>
      <c r="N115" s="2">
        <f t="shared" si="92"/>
        <v>0.12903225806451624</v>
      </c>
      <c r="P115" s="8">
        <f t="shared" si="93"/>
        <v>1.1708796207912098E-3</v>
      </c>
      <c r="Q115" s="2">
        <f t="shared" si="94"/>
        <v>1.1708796207912098E-3</v>
      </c>
      <c r="S115" s="8">
        <f t="shared" si="95"/>
        <v>2.8096071997489203E-2</v>
      </c>
      <c r="T115" s="2">
        <f t="shared" si="96"/>
        <v>2.8096071997489203E-2</v>
      </c>
      <c r="W115" s="8" t="e">
        <f t="shared" si="97"/>
        <v>#DIV/0!</v>
      </c>
      <c r="X115" s="2" t="e">
        <f t="shared" si="105"/>
        <v>#DIV/0!</v>
      </c>
      <c r="Y115" s="2" t="e">
        <f t="shared" si="106"/>
        <v>#DIV/0!</v>
      </c>
      <c r="AA115" s="8" t="e">
        <f t="shared" si="98"/>
        <v>#DIV/0!</v>
      </c>
      <c r="AB115" s="2" t="e">
        <f t="shared" si="107"/>
        <v>#DIV/0!</v>
      </c>
      <c r="AC115" s="2" t="e">
        <f t="shared" si="108"/>
        <v>#DIV/0!</v>
      </c>
      <c r="AE115" s="8" t="e">
        <f t="shared" si="99"/>
        <v>#DIV/0!</v>
      </c>
      <c r="AF115" s="2" t="e">
        <f t="shared" si="109"/>
        <v>#DIV/0!</v>
      </c>
      <c r="AG115" s="2" t="e">
        <f t="shared" si="110"/>
        <v>#DIV/0!</v>
      </c>
      <c r="AI115" s="8" t="e">
        <f t="shared" si="100"/>
        <v>#DIV/0!</v>
      </c>
      <c r="AJ115" s="2" t="e">
        <f t="shared" si="111"/>
        <v>#DIV/0!</v>
      </c>
      <c r="AK115" s="2" t="e">
        <f t="shared" si="112"/>
        <v>#DIV/0!</v>
      </c>
      <c r="AN115" s="8" t="e">
        <f t="shared" si="101"/>
        <v>#DIV/0!</v>
      </c>
      <c r="AO115" s="2" t="e">
        <f t="shared" si="113"/>
        <v>#DIV/0!</v>
      </c>
      <c r="AP115" s="2" t="e">
        <f t="shared" si="58"/>
        <v>#DIV/0!</v>
      </c>
      <c r="AS115" s="8" t="e">
        <f t="shared" si="102"/>
        <v>#DIV/0!</v>
      </c>
      <c r="AT115" s="2" t="e">
        <f t="shared" si="114"/>
        <v>#DIV/0!</v>
      </c>
      <c r="AU115" s="2" t="e">
        <f t="shared" si="115"/>
        <v>#DIV/0!</v>
      </c>
    </row>
    <row r="116" spans="1:47" x14ac:dyDescent="0.2">
      <c r="A116" s="2">
        <f t="shared" si="103"/>
        <v>6.8333333333333259</v>
      </c>
      <c r="B116" s="2">
        <f t="shared" si="104"/>
        <v>1.0772612553122281E-3</v>
      </c>
      <c r="C116" s="2">
        <f t="shared" si="84"/>
        <v>1.0772612553122281E-3</v>
      </c>
      <c r="D116" s="8">
        <f t="shared" si="85"/>
        <v>1.0772612553122281E-3</v>
      </c>
      <c r="E116" s="2">
        <f t="shared" si="86"/>
        <v>1.0772612553122281E-3</v>
      </c>
      <c r="G116" s="8" t="e">
        <f t="shared" si="87"/>
        <v>#DIV/0!</v>
      </c>
      <c r="H116" s="2" t="e">
        <f t="shared" si="88"/>
        <v>#DIV/0!</v>
      </c>
      <c r="J116" s="8">
        <f t="shared" si="89"/>
        <v>2.7314671313038219E-2</v>
      </c>
      <c r="K116" s="2">
        <f t="shared" si="90"/>
        <v>2.7314671313038219E-2</v>
      </c>
      <c r="M116" s="8">
        <f t="shared" si="91"/>
        <v>0.12765957446808518</v>
      </c>
      <c r="N116" s="2">
        <f t="shared" si="92"/>
        <v>0.12765957446808518</v>
      </c>
      <c r="P116" s="8">
        <f t="shared" si="93"/>
        <v>1.0772612553122674E-3</v>
      </c>
      <c r="Q116" s="2">
        <f t="shared" si="94"/>
        <v>1.0772612553122674E-3</v>
      </c>
      <c r="S116" s="8">
        <f t="shared" si="95"/>
        <v>2.7314671313038219E-2</v>
      </c>
      <c r="T116" s="2">
        <f t="shared" si="96"/>
        <v>2.7314671313038219E-2</v>
      </c>
      <c r="W116" s="8" t="e">
        <f t="shared" si="97"/>
        <v>#DIV/0!</v>
      </c>
      <c r="X116" s="2" t="e">
        <f t="shared" si="105"/>
        <v>#DIV/0!</v>
      </c>
      <c r="Y116" s="2" t="e">
        <f t="shared" ref="Y116:Y131" si="116">EXP(-EXP($W116+Z$29))</f>
        <v>#DIV/0!</v>
      </c>
      <c r="AA116" s="8" t="e">
        <f t="shared" si="98"/>
        <v>#DIV/0!</v>
      </c>
      <c r="AB116" s="2" t="e">
        <f t="shared" si="107"/>
        <v>#DIV/0!</v>
      </c>
      <c r="AC116" s="2" t="e">
        <f t="shared" ref="AC116:AC131" si="117">1-(EXP($AA116+AD$29)/(1 + EXP($AA116+AD$29)))</f>
        <v>#DIV/0!</v>
      </c>
      <c r="AE116" s="8" t="e">
        <f t="shared" si="99"/>
        <v>#DIV/0!</v>
      </c>
      <c r="AF116" s="2" t="e">
        <f t="shared" si="109"/>
        <v>#DIV/0!</v>
      </c>
      <c r="AG116" s="2" t="e">
        <f t="shared" ref="AG116:AG131" si="118">1-NORMSDIST($AE116+AH$29)</f>
        <v>#DIV/0!</v>
      </c>
      <c r="AI116" s="8" t="e">
        <f t="shared" si="100"/>
        <v>#DIV/0!</v>
      </c>
      <c r="AJ116" s="2" t="e">
        <f t="shared" si="111"/>
        <v>#DIV/0!</v>
      </c>
      <c r="AK116" s="2" t="e">
        <f t="shared" si="112"/>
        <v>#DIV/0!</v>
      </c>
      <c r="AN116" s="8" t="e">
        <f t="shared" si="101"/>
        <v>#DIV/0!</v>
      </c>
      <c r="AO116" s="2" t="e">
        <f t="shared" si="113"/>
        <v>#DIV/0!</v>
      </c>
      <c r="AP116" s="2" t="e">
        <f t="shared" ref="AP116:AP154" si="119">1-(EXP($AN116+AR$29)/(1 + EXP($AN116+AR$29)))</f>
        <v>#DIV/0!</v>
      </c>
      <c r="AS116" s="8" t="e">
        <f t="shared" si="102"/>
        <v>#DIV/0!</v>
      </c>
      <c r="AT116" s="2" t="e">
        <f t="shared" si="114"/>
        <v>#DIV/0!</v>
      </c>
      <c r="AU116" s="2" t="e">
        <f t="shared" si="115"/>
        <v>#DIV/0!</v>
      </c>
    </row>
    <row r="117" spans="1:47" x14ac:dyDescent="0.2">
      <c r="A117" s="2">
        <f t="shared" si="103"/>
        <v>6.916666666666659</v>
      </c>
      <c r="B117" s="2">
        <f t="shared" si="104"/>
        <v>9.9112820104658907E-4</v>
      </c>
      <c r="C117" s="2">
        <f t="shared" si="84"/>
        <v>9.9112820104658907E-4</v>
      </c>
      <c r="D117" s="8">
        <f t="shared" si="85"/>
        <v>9.9112820104658907E-4</v>
      </c>
      <c r="E117" s="2">
        <f t="shared" si="86"/>
        <v>9.9112820104658907E-4</v>
      </c>
      <c r="G117" s="8" t="e">
        <f t="shared" si="87"/>
        <v>#DIV/0!</v>
      </c>
      <c r="H117" s="2" t="e">
        <f t="shared" si="88"/>
        <v>#DIV/0!</v>
      </c>
      <c r="J117" s="8">
        <f t="shared" si="89"/>
        <v>2.6560624148051049E-2</v>
      </c>
      <c r="K117" s="2">
        <f t="shared" si="90"/>
        <v>2.6560624148051049E-2</v>
      </c>
      <c r="M117" s="8">
        <f t="shared" si="91"/>
        <v>0.12631578947368438</v>
      </c>
      <c r="N117" s="2">
        <f t="shared" si="92"/>
        <v>0.12631578947368438</v>
      </c>
      <c r="P117" s="8">
        <f t="shared" si="93"/>
        <v>9.9112820104663157E-4</v>
      </c>
      <c r="Q117" s="2">
        <f t="shared" si="94"/>
        <v>9.9112820104663157E-4</v>
      </c>
      <c r="S117" s="8">
        <f t="shared" si="95"/>
        <v>2.6560624148051049E-2</v>
      </c>
      <c r="T117" s="2">
        <f t="shared" si="96"/>
        <v>2.6560624148051049E-2</v>
      </c>
      <c r="W117" s="8" t="e">
        <f t="shared" si="97"/>
        <v>#DIV/0!</v>
      </c>
      <c r="X117" s="2" t="e">
        <f t="shared" si="105"/>
        <v>#DIV/0!</v>
      </c>
      <c r="Y117" s="2" t="e">
        <f t="shared" si="116"/>
        <v>#DIV/0!</v>
      </c>
      <c r="AA117" s="8" t="e">
        <f t="shared" si="98"/>
        <v>#DIV/0!</v>
      </c>
      <c r="AB117" s="2" t="e">
        <f t="shared" si="107"/>
        <v>#DIV/0!</v>
      </c>
      <c r="AC117" s="2" t="e">
        <f t="shared" si="117"/>
        <v>#DIV/0!</v>
      </c>
      <c r="AE117" s="8" t="e">
        <f t="shared" si="99"/>
        <v>#DIV/0!</v>
      </c>
      <c r="AF117" s="2" t="e">
        <f t="shared" si="109"/>
        <v>#DIV/0!</v>
      </c>
      <c r="AG117" s="2" t="e">
        <f t="shared" si="118"/>
        <v>#DIV/0!</v>
      </c>
      <c r="AI117" s="8" t="e">
        <f t="shared" si="100"/>
        <v>#DIV/0!</v>
      </c>
      <c r="AJ117" s="2" t="e">
        <f t="shared" si="111"/>
        <v>#DIV/0!</v>
      </c>
      <c r="AK117" s="2" t="e">
        <f t="shared" si="112"/>
        <v>#DIV/0!</v>
      </c>
      <c r="AN117" s="8" t="e">
        <f t="shared" si="101"/>
        <v>#DIV/0!</v>
      </c>
      <c r="AO117" s="2" t="e">
        <f t="shared" si="113"/>
        <v>#DIV/0!</v>
      </c>
      <c r="AP117" s="2" t="e">
        <f t="shared" si="119"/>
        <v>#DIV/0!</v>
      </c>
      <c r="AS117" s="8" t="e">
        <f t="shared" si="102"/>
        <v>#DIV/0!</v>
      </c>
      <c r="AT117" s="2" t="e">
        <f t="shared" si="114"/>
        <v>#DIV/0!</v>
      </c>
      <c r="AU117" s="2" t="e">
        <f t="shared" si="115"/>
        <v>#DIV/0!</v>
      </c>
    </row>
    <row r="118" spans="1:47" x14ac:dyDescent="0.2">
      <c r="A118" s="2">
        <f t="shared" si="103"/>
        <v>6.999999999999992</v>
      </c>
      <c r="B118" s="2">
        <f t="shared" si="104"/>
        <v>9.1188196555452351E-4</v>
      </c>
      <c r="C118" s="2">
        <f t="shared" si="84"/>
        <v>9.1188196555452351E-4</v>
      </c>
      <c r="D118" s="8">
        <f t="shared" si="85"/>
        <v>9.1188196555452351E-4</v>
      </c>
      <c r="E118" s="2">
        <f t="shared" si="86"/>
        <v>9.1188196555452351E-4</v>
      </c>
      <c r="G118" s="8" t="e">
        <f t="shared" si="87"/>
        <v>#DIV/0!</v>
      </c>
      <c r="H118" s="2" t="e">
        <f t="shared" si="88"/>
        <v>#DIV/0!</v>
      </c>
      <c r="J118" s="8">
        <f t="shared" si="89"/>
        <v>2.5832766804592233E-2</v>
      </c>
      <c r="K118" s="2">
        <f t="shared" si="90"/>
        <v>2.5832766804592233E-2</v>
      </c>
      <c r="M118" s="8">
        <f t="shared" si="91"/>
        <v>0.12500000000000011</v>
      </c>
      <c r="N118" s="2">
        <f t="shared" si="92"/>
        <v>0.12500000000000011</v>
      </c>
      <c r="P118" s="8">
        <f t="shared" si="93"/>
        <v>9.1188196555447298E-4</v>
      </c>
      <c r="Q118" s="2">
        <f t="shared" si="94"/>
        <v>9.1188196555447298E-4</v>
      </c>
      <c r="S118" s="8">
        <f t="shared" si="95"/>
        <v>2.5832766804592233E-2</v>
      </c>
      <c r="T118" s="2">
        <f t="shared" si="96"/>
        <v>2.5832766804592233E-2</v>
      </c>
      <c r="W118" s="8" t="e">
        <f t="shared" si="97"/>
        <v>#DIV/0!</v>
      </c>
      <c r="X118" s="2" t="e">
        <f t="shared" si="105"/>
        <v>#DIV/0!</v>
      </c>
      <c r="Y118" s="2" t="e">
        <f t="shared" si="116"/>
        <v>#DIV/0!</v>
      </c>
      <c r="AA118" s="8" t="e">
        <f t="shared" si="98"/>
        <v>#DIV/0!</v>
      </c>
      <c r="AB118" s="2" t="e">
        <f t="shared" si="107"/>
        <v>#DIV/0!</v>
      </c>
      <c r="AC118" s="2" t="e">
        <f t="shared" si="117"/>
        <v>#DIV/0!</v>
      </c>
      <c r="AE118" s="8" t="e">
        <f t="shared" si="99"/>
        <v>#DIV/0!</v>
      </c>
      <c r="AF118" s="2" t="e">
        <f t="shared" si="109"/>
        <v>#DIV/0!</v>
      </c>
      <c r="AG118" s="2" t="e">
        <f t="shared" si="118"/>
        <v>#DIV/0!</v>
      </c>
      <c r="AI118" s="8" t="e">
        <f t="shared" si="100"/>
        <v>#DIV/0!</v>
      </c>
      <c r="AJ118" s="2" t="e">
        <f t="shared" si="111"/>
        <v>#DIV/0!</v>
      </c>
      <c r="AK118" s="2" t="e">
        <f t="shared" si="112"/>
        <v>#DIV/0!</v>
      </c>
      <c r="AN118" s="8" t="e">
        <f t="shared" si="101"/>
        <v>#DIV/0!</v>
      </c>
      <c r="AO118" s="2" t="e">
        <f t="shared" si="113"/>
        <v>#DIV/0!</v>
      </c>
      <c r="AP118" s="2" t="e">
        <f t="shared" si="119"/>
        <v>#DIV/0!</v>
      </c>
      <c r="AS118" s="8" t="e">
        <f t="shared" si="102"/>
        <v>#DIV/0!</v>
      </c>
      <c r="AT118" s="2" t="e">
        <f t="shared" si="114"/>
        <v>#DIV/0!</v>
      </c>
      <c r="AU118" s="2" t="e">
        <f t="shared" si="115"/>
        <v>#DIV/0!</v>
      </c>
    </row>
    <row r="119" spans="1:47" x14ac:dyDescent="0.2">
      <c r="A119" s="2">
        <f t="shared" si="103"/>
        <v>7.083333333333325</v>
      </c>
      <c r="B119" s="2">
        <f t="shared" si="104"/>
        <v>8.3897190920964853E-4</v>
      </c>
      <c r="C119" s="2">
        <f t="shared" si="84"/>
        <v>8.3897190920964853E-4</v>
      </c>
      <c r="D119" s="8">
        <f t="shared" si="85"/>
        <v>8.3897190920964853E-4</v>
      </c>
      <c r="E119" s="2">
        <f t="shared" si="86"/>
        <v>8.3897190920964853E-4</v>
      </c>
      <c r="G119" s="8" t="e">
        <f t="shared" si="87"/>
        <v>#DIV/0!</v>
      </c>
      <c r="H119" s="2" t="e">
        <f t="shared" si="88"/>
        <v>#DIV/0!</v>
      </c>
      <c r="J119" s="8">
        <f t="shared" si="89"/>
        <v>2.5129994111808607E-2</v>
      </c>
      <c r="K119" s="2">
        <f t="shared" si="90"/>
        <v>2.5129994111808607E-2</v>
      </c>
      <c r="M119" s="8">
        <f t="shared" si="91"/>
        <v>0.12371134020618568</v>
      </c>
      <c r="N119" s="2">
        <f t="shared" si="92"/>
        <v>0.12371134020618568</v>
      </c>
      <c r="P119" s="8">
        <f t="shared" si="93"/>
        <v>8.3897190920967368E-4</v>
      </c>
      <c r="Q119" s="2">
        <f t="shared" si="94"/>
        <v>8.3897190920967368E-4</v>
      </c>
      <c r="S119" s="8">
        <f t="shared" si="95"/>
        <v>2.5129994111808607E-2</v>
      </c>
      <c r="T119" s="2">
        <f t="shared" si="96"/>
        <v>2.5129994111808607E-2</v>
      </c>
      <c r="W119" s="8" t="e">
        <f t="shared" si="97"/>
        <v>#DIV/0!</v>
      </c>
      <c r="X119" s="2" t="e">
        <f t="shared" si="105"/>
        <v>#DIV/0!</v>
      </c>
      <c r="Y119" s="2" t="e">
        <f t="shared" si="116"/>
        <v>#DIV/0!</v>
      </c>
      <c r="AA119" s="8" t="e">
        <f t="shared" si="98"/>
        <v>#DIV/0!</v>
      </c>
      <c r="AB119" s="2" t="e">
        <f t="shared" si="107"/>
        <v>#DIV/0!</v>
      </c>
      <c r="AC119" s="2" t="e">
        <f t="shared" si="117"/>
        <v>#DIV/0!</v>
      </c>
      <c r="AE119" s="8" t="e">
        <f t="shared" si="99"/>
        <v>#DIV/0!</v>
      </c>
      <c r="AF119" s="2" t="e">
        <f t="shared" si="109"/>
        <v>#DIV/0!</v>
      </c>
      <c r="AG119" s="2" t="e">
        <f t="shared" si="118"/>
        <v>#DIV/0!</v>
      </c>
      <c r="AI119" s="8" t="e">
        <f t="shared" si="100"/>
        <v>#DIV/0!</v>
      </c>
      <c r="AJ119" s="2" t="e">
        <f t="shared" si="111"/>
        <v>#DIV/0!</v>
      </c>
      <c r="AK119" s="2" t="e">
        <f t="shared" si="112"/>
        <v>#DIV/0!</v>
      </c>
      <c r="AN119" s="8" t="e">
        <f t="shared" si="101"/>
        <v>#DIV/0!</v>
      </c>
      <c r="AO119" s="2" t="e">
        <f t="shared" si="113"/>
        <v>#DIV/0!</v>
      </c>
      <c r="AP119" s="2" t="e">
        <f t="shared" si="119"/>
        <v>#DIV/0!</v>
      </c>
      <c r="AS119" s="8" t="e">
        <f t="shared" si="102"/>
        <v>#DIV/0!</v>
      </c>
      <c r="AT119" s="2" t="e">
        <f t="shared" si="114"/>
        <v>#DIV/0!</v>
      </c>
      <c r="AU119" s="2" t="e">
        <f t="shared" si="115"/>
        <v>#DIV/0!</v>
      </c>
    </row>
    <row r="120" spans="1:47" x14ac:dyDescent="0.2">
      <c r="A120" s="2">
        <f t="shared" si="103"/>
        <v>7.1666666666666581</v>
      </c>
      <c r="B120" s="2">
        <f t="shared" si="104"/>
        <v>7.71891419099237E-4</v>
      </c>
      <c r="C120" s="2">
        <f t="shared" si="84"/>
        <v>7.71891419099237E-4</v>
      </c>
      <c r="D120" s="8">
        <f t="shared" si="85"/>
        <v>7.71891419099237E-4</v>
      </c>
      <c r="E120" s="2">
        <f t="shared" si="86"/>
        <v>7.71891419099237E-4</v>
      </c>
      <c r="G120" s="8" t="e">
        <f t="shared" si="87"/>
        <v>#DIV/0!</v>
      </c>
      <c r="H120" s="2" t="e">
        <f t="shared" si="88"/>
        <v>#DIV/0!</v>
      </c>
      <c r="J120" s="8">
        <f t="shared" si="89"/>
        <v>2.4451256021976842E-2</v>
      </c>
      <c r="K120" s="2">
        <f t="shared" si="90"/>
        <v>2.4451256021976842E-2</v>
      </c>
      <c r="M120" s="8">
        <f t="shared" si="91"/>
        <v>0.12244897959183687</v>
      </c>
      <c r="N120" s="2">
        <f t="shared" si="92"/>
        <v>0.12244897959183687</v>
      </c>
      <c r="P120" s="8">
        <f t="shared" si="93"/>
        <v>7.7189141909927983E-4</v>
      </c>
      <c r="Q120" s="2">
        <f t="shared" si="94"/>
        <v>7.7189141909927983E-4</v>
      </c>
      <c r="S120" s="8">
        <f t="shared" si="95"/>
        <v>2.4451256021976842E-2</v>
      </c>
      <c r="T120" s="2">
        <f t="shared" si="96"/>
        <v>2.4451256021976842E-2</v>
      </c>
      <c r="W120" s="8" t="e">
        <f t="shared" si="97"/>
        <v>#DIV/0!</v>
      </c>
      <c r="X120" s="2" t="e">
        <f t="shared" si="105"/>
        <v>#DIV/0!</v>
      </c>
      <c r="Y120" s="2" t="e">
        <f t="shared" si="116"/>
        <v>#DIV/0!</v>
      </c>
      <c r="AA120" s="8" t="e">
        <f t="shared" si="98"/>
        <v>#DIV/0!</v>
      </c>
      <c r="AB120" s="2" t="e">
        <f t="shared" si="107"/>
        <v>#DIV/0!</v>
      </c>
      <c r="AC120" s="2" t="e">
        <f t="shared" si="117"/>
        <v>#DIV/0!</v>
      </c>
      <c r="AE120" s="8" t="e">
        <f t="shared" si="99"/>
        <v>#DIV/0!</v>
      </c>
      <c r="AF120" s="2" t="e">
        <f t="shared" si="109"/>
        <v>#DIV/0!</v>
      </c>
      <c r="AG120" s="2" t="e">
        <f t="shared" si="118"/>
        <v>#DIV/0!</v>
      </c>
      <c r="AI120" s="8" t="e">
        <f t="shared" si="100"/>
        <v>#DIV/0!</v>
      </c>
      <c r="AJ120" s="2" t="e">
        <f t="shared" si="111"/>
        <v>#DIV/0!</v>
      </c>
      <c r="AK120" s="2" t="e">
        <f t="shared" si="112"/>
        <v>#DIV/0!</v>
      </c>
      <c r="AN120" s="8" t="e">
        <f t="shared" si="101"/>
        <v>#DIV/0!</v>
      </c>
      <c r="AO120" s="2" t="e">
        <f t="shared" si="113"/>
        <v>#DIV/0!</v>
      </c>
      <c r="AP120" s="2" t="e">
        <f t="shared" si="119"/>
        <v>#DIV/0!</v>
      </c>
      <c r="AS120" s="8" t="e">
        <f t="shared" si="102"/>
        <v>#DIV/0!</v>
      </c>
      <c r="AT120" s="2" t="e">
        <f t="shared" si="114"/>
        <v>#DIV/0!</v>
      </c>
      <c r="AU120" s="2" t="e">
        <f t="shared" si="115"/>
        <v>#DIV/0!</v>
      </c>
    </row>
    <row r="121" spans="1:47" x14ac:dyDescent="0.2">
      <c r="A121" s="2">
        <f t="shared" si="103"/>
        <v>7.2499999999999911</v>
      </c>
      <c r="B121" s="2">
        <f t="shared" si="104"/>
        <v>7.1017438884255542E-4</v>
      </c>
      <c r="C121" s="2">
        <f t="shared" si="84"/>
        <v>7.1017438884255542E-4</v>
      </c>
      <c r="D121" s="8">
        <f t="shared" si="85"/>
        <v>7.1017438884255542E-4</v>
      </c>
      <c r="E121" s="2">
        <f t="shared" si="86"/>
        <v>7.1017438884255542E-4</v>
      </c>
      <c r="G121" s="8" t="e">
        <f t="shared" si="87"/>
        <v>#DIV/0!</v>
      </c>
      <c r="H121" s="2" t="e">
        <f t="shared" si="88"/>
        <v>#DIV/0!</v>
      </c>
      <c r="J121" s="8">
        <f t="shared" si="89"/>
        <v>2.3795554431433441E-2</v>
      </c>
      <c r="K121" s="2">
        <f t="shared" si="90"/>
        <v>2.3795554431433441E-2</v>
      </c>
      <c r="M121" s="8">
        <f t="shared" si="91"/>
        <v>0.12121212121212144</v>
      </c>
      <c r="N121" s="2">
        <f t="shared" si="92"/>
        <v>0.12121212121212144</v>
      </c>
      <c r="P121" s="8">
        <f t="shared" si="93"/>
        <v>7.1017438884257711E-4</v>
      </c>
      <c r="Q121" s="2">
        <f t="shared" si="94"/>
        <v>7.1017438884257711E-4</v>
      </c>
      <c r="S121" s="8">
        <f t="shared" si="95"/>
        <v>2.3795554431433441E-2</v>
      </c>
      <c r="T121" s="2">
        <f t="shared" si="96"/>
        <v>2.3795554431433441E-2</v>
      </c>
      <c r="W121" s="8" t="e">
        <f t="shared" si="97"/>
        <v>#DIV/0!</v>
      </c>
      <c r="X121" s="2" t="e">
        <f t="shared" si="105"/>
        <v>#DIV/0!</v>
      </c>
      <c r="Y121" s="2" t="e">
        <f t="shared" si="116"/>
        <v>#DIV/0!</v>
      </c>
      <c r="AA121" s="8" t="e">
        <f t="shared" si="98"/>
        <v>#DIV/0!</v>
      </c>
      <c r="AB121" s="2" t="e">
        <f t="shared" si="107"/>
        <v>#DIV/0!</v>
      </c>
      <c r="AC121" s="2" t="e">
        <f t="shared" si="117"/>
        <v>#DIV/0!</v>
      </c>
      <c r="AE121" s="8" t="e">
        <f t="shared" si="99"/>
        <v>#DIV/0!</v>
      </c>
      <c r="AF121" s="2" t="e">
        <f t="shared" si="109"/>
        <v>#DIV/0!</v>
      </c>
      <c r="AG121" s="2" t="e">
        <f t="shared" si="118"/>
        <v>#DIV/0!</v>
      </c>
      <c r="AI121" s="8" t="e">
        <f t="shared" si="100"/>
        <v>#DIV/0!</v>
      </c>
      <c r="AJ121" s="2" t="e">
        <f t="shared" si="111"/>
        <v>#DIV/0!</v>
      </c>
      <c r="AK121" s="2" t="e">
        <f t="shared" si="112"/>
        <v>#DIV/0!</v>
      </c>
      <c r="AN121" s="8" t="e">
        <f t="shared" si="101"/>
        <v>#DIV/0!</v>
      </c>
      <c r="AO121" s="2" t="e">
        <f t="shared" si="113"/>
        <v>#DIV/0!</v>
      </c>
      <c r="AP121" s="2" t="e">
        <f t="shared" si="119"/>
        <v>#DIV/0!</v>
      </c>
      <c r="AS121" s="8" t="e">
        <f t="shared" si="102"/>
        <v>#DIV/0!</v>
      </c>
      <c r="AT121" s="2" t="e">
        <f t="shared" si="114"/>
        <v>#DIV/0!</v>
      </c>
      <c r="AU121" s="2" t="e">
        <f t="shared" si="115"/>
        <v>#DIV/0!</v>
      </c>
    </row>
    <row r="122" spans="1:47" x14ac:dyDescent="0.2">
      <c r="A122" s="2">
        <f t="shared" si="103"/>
        <v>7.3333333333333242</v>
      </c>
      <c r="B122" s="2">
        <f t="shared" si="104"/>
        <v>6.5339197986738647E-4</v>
      </c>
      <c r="C122" s="2">
        <f t="shared" si="84"/>
        <v>6.5339197986738647E-4</v>
      </c>
      <c r="D122" s="8">
        <f t="shared" si="85"/>
        <v>6.5339197986738647E-4</v>
      </c>
      <c r="E122" s="2">
        <f t="shared" si="86"/>
        <v>6.5339197986738647E-4</v>
      </c>
      <c r="G122" s="8" t="e">
        <f t="shared" si="87"/>
        <v>#DIV/0!</v>
      </c>
      <c r="H122" s="2" t="e">
        <f t="shared" si="88"/>
        <v>#DIV/0!</v>
      </c>
      <c r="J122" s="8">
        <f t="shared" si="89"/>
        <v>2.3161940209759813E-2</v>
      </c>
      <c r="K122" s="2">
        <f t="shared" si="90"/>
        <v>2.3161940209759813E-2</v>
      </c>
      <c r="M122" s="8">
        <f t="shared" si="91"/>
        <v>0.12000000000000011</v>
      </c>
      <c r="N122" s="2">
        <f t="shared" si="92"/>
        <v>0.12000000000000011</v>
      </c>
      <c r="P122" s="8">
        <f t="shared" si="93"/>
        <v>6.5339197986735709E-4</v>
      </c>
      <c r="Q122" s="2">
        <f t="shared" si="94"/>
        <v>6.5339197986735709E-4</v>
      </c>
      <c r="S122" s="8">
        <f t="shared" si="95"/>
        <v>2.3161940209759813E-2</v>
      </c>
      <c r="T122" s="2">
        <f t="shared" si="96"/>
        <v>2.3161940209759813E-2</v>
      </c>
      <c r="W122" s="8" t="e">
        <f t="shared" si="97"/>
        <v>#DIV/0!</v>
      </c>
      <c r="X122" s="2" t="e">
        <f t="shared" si="105"/>
        <v>#DIV/0!</v>
      </c>
      <c r="Y122" s="2" t="e">
        <f t="shared" si="116"/>
        <v>#DIV/0!</v>
      </c>
      <c r="AA122" s="8" t="e">
        <f t="shared" si="98"/>
        <v>#DIV/0!</v>
      </c>
      <c r="AB122" s="2" t="e">
        <f t="shared" si="107"/>
        <v>#DIV/0!</v>
      </c>
      <c r="AC122" s="2" t="e">
        <f t="shared" si="117"/>
        <v>#DIV/0!</v>
      </c>
      <c r="AE122" s="8" t="e">
        <f t="shared" si="99"/>
        <v>#DIV/0!</v>
      </c>
      <c r="AF122" s="2" t="e">
        <f t="shared" si="109"/>
        <v>#DIV/0!</v>
      </c>
      <c r="AG122" s="2" t="e">
        <f t="shared" si="118"/>
        <v>#DIV/0!</v>
      </c>
      <c r="AI122" s="8" t="e">
        <f t="shared" si="100"/>
        <v>#DIV/0!</v>
      </c>
      <c r="AJ122" s="2" t="e">
        <f t="shared" si="111"/>
        <v>#DIV/0!</v>
      </c>
      <c r="AK122" s="2" t="e">
        <f t="shared" si="112"/>
        <v>#DIV/0!</v>
      </c>
      <c r="AN122" s="8" t="e">
        <f t="shared" si="101"/>
        <v>#DIV/0!</v>
      </c>
      <c r="AO122" s="2" t="e">
        <f t="shared" si="113"/>
        <v>#DIV/0!</v>
      </c>
      <c r="AP122" s="2" t="e">
        <f t="shared" si="119"/>
        <v>#DIV/0!</v>
      </c>
      <c r="AS122" s="8" t="e">
        <f t="shared" si="102"/>
        <v>#DIV/0!</v>
      </c>
      <c r="AT122" s="2" t="e">
        <f t="shared" si="114"/>
        <v>#DIV/0!</v>
      </c>
      <c r="AU122" s="2" t="e">
        <f t="shared" si="115"/>
        <v>#DIV/0!</v>
      </c>
    </row>
    <row r="123" spans="1:47" x14ac:dyDescent="0.2">
      <c r="A123" s="2">
        <f t="shared" si="103"/>
        <v>7.4166666666666572</v>
      </c>
      <c r="B123" s="2">
        <f t="shared" si="104"/>
        <v>6.0114964164058435E-4</v>
      </c>
      <c r="C123" s="2">
        <f t="shared" si="84"/>
        <v>6.0114964164058435E-4</v>
      </c>
      <c r="D123" s="8">
        <f t="shared" si="85"/>
        <v>6.0114964164058435E-4</v>
      </c>
      <c r="E123" s="2">
        <f t="shared" si="86"/>
        <v>6.0114964164058435E-4</v>
      </c>
      <c r="G123" s="8" t="e">
        <f t="shared" si="87"/>
        <v>#DIV/0!</v>
      </c>
      <c r="H123" s="2" t="e">
        <f t="shared" si="88"/>
        <v>#DIV/0!</v>
      </c>
      <c r="J123" s="8">
        <f t="shared" si="89"/>
        <v>2.2549510421949082E-2</v>
      </c>
      <c r="K123" s="2">
        <f t="shared" si="90"/>
        <v>2.2549510421949082E-2</v>
      </c>
      <c r="M123" s="8">
        <f t="shared" si="91"/>
        <v>0.11881188118811892</v>
      </c>
      <c r="N123" s="2">
        <f t="shared" si="92"/>
        <v>0.11881188118811892</v>
      </c>
      <c r="P123" s="8">
        <f t="shared" si="93"/>
        <v>6.0114964164059703E-4</v>
      </c>
      <c r="Q123" s="2">
        <f t="shared" si="94"/>
        <v>6.0114964164059703E-4</v>
      </c>
      <c r="S123" s="8">
        <f t="shared" si="95"/>
        <v>2.2549510421949082E-2</v>
      </c>
      <c r="T123" s="2">
        <f t="shared" si="96"/>
        <v>2.2549510421949082E-2</v>
      </c>
      <c r="W123" s="8" t="e">
        <f t="shared" si="97"/>
        <v>#DIV/0!</v>
      </c>
      <c r="X123" s="2" t="e">
        <f t="shared" si="105"/>
        <v>#DIV/0!</v>
      </c>
      <c r="Y123" s="2" t="e">
        <f t="shared" si="116"/>
        <v>#DIV/0!</v>
      </c>
      <c r="AA123" s="8" t="e">
        <f t="shared" si="98"/>
        <v>#DIV/0!</v>
      </c>
      <c r="AB123" s="2" t="e">
        <f t="shared" si="107"/>
        <v>#DIV/0!</v>
      </c>
      <c r="AC123" s="2" t="e">
        <f t="shared" si="117"/>
        <v>#DIV/0!</v>
      </c>
      <c r="AE123" s="8" t="e">
        <f t="shared" si="99"/>
        <v>#DIV/0!</v>
      </c>
      <c r="AF123" s="2" t="e">
        <f t="shared" si="109"/>
        <v>#DIV/0!</v>
      </c>
      <c r="AG123" s="2" t="e">
        <f t="shared" si="118"/>
        <v>#DIV/0!</v>
      </c>
      <c r="AI123" s="8" t="e">
        <f t="shared" si="100"/>
        <v>#DIV/0!</v>
      </c>
      <c r="AJ123" s="2" t="e">
        <f t="shared" si="111"/>
        <v>#DIV/0!</v>
      </c>
      <c r="AK123" s="2" t="e">
        <f t="shared" si="112"/>
        <v>#DIV/0!</v>
      </c>
      <c r="AN123" s="8" t="e">
        <f t="shared" si="101"/>
        <v>#DIV/0!</v>
      </c>
      <c r="AO123" s="2" t="e">
        <f t="shared" si="113"/>
        <v>#DIV/0!</v>
      </c>
      <c r="AP123" s="2" t="e">
        <f t="shared" si="119"/>
        <v>#DIV/0!</v>
      </c>
      <c r="AS123" s="8" t="e">
        <f t="shared" si="102"/>
        <v>#DIV/0!</v>
      </c>
      <c r="AT123" s="2" t="e">
        <f t="shared" si="114"/>
        <v>#DIV/0!</v>
      </c>
      <c r="AU123" s="2" t="e">
        <f t="shared" si="115"/>
        <v>#DIV/0!</v>
      </c>
    </row>
    <row r="124" spans="1:47" x14ac:dyDescent="0.2">
      <c r="A124" s="2">
        <f t="shared" si="103"/>
        <v>7.4999999999999902</v>
      </c>
      <c r="B124" s="2">
        <f t="shared" si="104"/>
        <v>5.5308437014783894E-4</v>
      </c>
      <c r="C124" s="2">
        <f t="shared" si="84"/>
        <v>5.5308437014783894E-4</v>
      </c>
      <c r="D124" s="8">
        <f t="shared" si="85"/>
        <v>5.5308437014783894E-4</v>
      </c>
      <c r="E124" s="2">
        <f t="shared" si="86"/>
        <v>5.5308437014783894E-4</v>
      </c>
      <c r="G124" s="8" t="e">
        <f t="shared" si="87"/>
        <v>#DIV/0!</v>
      </c>
      <c r="H124" s="2" t="e">
        <f t="shared" si="88"/>
        <v>#DIV/0!</v>
      </c>
      <c r="J124" s="8">
        <f t="shared" si="89"/>
        <v>2.1957405729526314E-2</v>
      </c>
      <c r="K124" s="2">
        <f t="shared" si="90"/>
        <v>2.1957405729526314E-2</v>
      </c>
      <c r="M124" s="8">
        <f t="shared" si="91"/>
        <v>0.11764705882352955</v>
      </c>
      <c r="N124" s="2">
        <f t="shared" si="92"/>
        <v>0.11764705882352955</v>
      </c>
      <c r="P124" s="8">
        <f t="shared" si="93"/>
        <v>5.530843701478938E-4</v>
      </c>
      <c r="Q124" s="2">
        <f t="shared" si="94"/>
        <v>5.530843701478938E-4</v>
      </c>
      <c r="S124" s="8">
        <f t="shared" si="95"/>
        <v>2.1957405729526314E-2</v>
      </c>
      <c r="T124" s="2">
        <f t="shared" si="96"/>
        <v>2.1957405729526314E-2</v>
      </c>
      <c r="W124" s="8" t="e">
        <f t="shared" si="97"/>
        <v>#DIV/0!</v>
      </c>
      <c r="X124" s="2" t="e">
        <f t="shared" si="105"/>
        <v>#DIV/0!</v>
      </c>
      <c r="Y124" s="2" t="e">
        <f t="shared" si="116"/>
        <v>#DIV/0!</v>
      </c>
      <c r="AA124" s="8" t="e">
        <f t="shared" si="98"/>
        <v>#DIV/0!</v>
      </c>
      <c r="AB124" s="2" t="e">
        <f t="shared" si="107"/>
        <v>#DIV/0!</v>
      </c>
      <c r="AC124" s="2" t="e">
        <f t="shared" si="117"/>
        <v>#DIV/0!</v>
      </c>
      <c r="AE124" s="8" t="e">
        <f t="shared" si="99"/>
        <v>#DIV/0!</v>
      </c>
      <c r="AF124" s="2" t="e">
        <f t="shared" si="109"/>
        <v>#DIV/0!</v>
      </c>
      <c r="AG124" s="2" t="e">
        <f t="shared" si="118"/>
        <v>#DIV/0!</v>
      </c>
      <c r="AI124" s="8" t="e">
        <f t="shared" si="100"/>
        <v>#DIV/0!</v>
      </c>
      <c r="AJ124" s="2" t="e">
        <f t="shared" si="111"/>
        <v>#DIV/0!</v>
      </c>
      <c r="AK124" s="2" t="e">
        <f t="shared" si="112"/>
        <v>#DIV/0!</v>
      </c>
      <c r="AN124" s="8" t="e">
        <f t="shared" si="101"/>
        <v>#DIV/0!</v>
      </c>
      <c r="AO124" s="2" t="e">
        <f t="shared" si="113"/>
        <v>#DIV/0!</v>
      </c>
      <c r="AP124" s="2" t="e">
        <f t="shared" si="119"/>
        <v>#DIV/0!</v>
      </c>
      <c r="AS124" s="8" t="e">
        <f t="shared" si="102"/>
        <v>#DIV/0!</v>
      </c>
      <c r="AT124" s="2" t="e">
        <f t="shared" si="114"/>
        <v>#DIV/0!</v>
      </c>
      <c r="AU124" s="2" t="e">
        <f t="shared" si="115"/>
        <v>#DIV/0!</v>
      </c>
    </row>
    <row r="125" spans="1:47" x14ac:dyDescent="0.2">
      <c r="A125" s="2">
        <f t="shared" si="103"/>
        <v>7.5833333333333233</v>
      </c>
      <c r="B125" s="2">
        <f t="shared" si="104"/>
        <v>5.0886218557329665E-4</v>
      </c>
      <c r="C125" s="2">
        <f t="shared" si="84"/>
        <v>5.0886218557329665E-4</v>
      </c>
      <c r="D125" s="8">
        <f t="shared" si="85"/>
        <v>5.0886218557329665E-4</v>
      </c>
      <c r="E125" s="2">
        <f t="shared" si="86"/>
        <v>5.0886218557329665E-4</v>
      </c>
      <c r="G125" s="8" t="e">
        <f t="shared" si="87"/>
        <v>#DIV/0!</v>
      </c>
      <c r="H125" s="2" t="e">
        <f t="shared" si="88"/>
        <v>#DIV/0!</v>
      </c>
      <c r="J125" s="8">
        <f t="shared" si="89"/>
        <v>2.1384807957713803E-2</v>
      </c>
      <c r="K125" s="2">
        <f t="shared" si="90"/>
        <v>2.1384807957713803E-2</v>
      </c>
      <c r="M125" s="8">
        <f t="shared" si="91"/>
        <v>0.11650485436893221</v>
      </c>
      <c r="N125" s="2">
        <f t="shared" si="92"/>
        <v>0.11650485436893221</v>
      </c>
      <c r="P125" s="8">
        <f t="shared" si="93"/>
        <v>5.0886218557333329E-4</v>
      </c>
      <c r="Q125" s="2">
        <f t="shared" si="94"/>
        <v>5.0886218557333329E-4</v>
      </c>
      <c r="S125" s="8">
        <f t="shared" si="95"/>
        <v>2.1384807957713803E-2</v>
      </c>
      <c r="T125" s="2">
        <f t="shared" si="96"/>
        <v>2.1384807957713803E-2</v>
      </c>
      <c r="W125" s="8" t="e">
        <f t="shared" si="97"/>
        <v>#DIV/0!</v>
      </c>
      <c r="X125" s="2" t="e">
        <f t="shared" si="105"/>
        <v>#DIV/0!</v>
      </c>
      <c r="Y125" s="2" t="e">
        <f t="shared" si="116"/>
        <v>#DIV/0!</v>
      </c>
      <c r="AA125" s="8" t="e">
        <f t="shared" si="98"/>
        <v>#DIV/0!</v>
      </c>
      <c r="AB125" s="2" t="e">
        <f t="shared" si="107"/>
        <v>#DIV/0!</v>
      </c>
      <c r="AC125" s="2" t="e">
        <f t="shared" si="117"/>
        <v>#DIV/0!</v>
      </c>
      <c r="AE125" s="8" t="e">
        <f t="shared" si="99"/>
        <v>#DIV/0!</v>
      </c>
      <c r="AF125" s="2" t="e">
        <f t="shared" si="109"/>
        <v>#DIV/0!</v>
      </c>
      <c r="AG125" s="2" t="e">
        <f t="shared" si="118"/>
        <v>#DIV/0!</v>
      </c>
      <c r="AI125" s="8" t="e">
        <f t="shared" si="100"/>
        <v>#DIV/0!</v>
      </c>
      <c r="AJ125" s="2" t="e">
        <f t="shared" si="111"/>
        <v>#DIV/0!</v>
      </c>
      <c r="AK125" s="2" t="e">
        <f t="shared" si="112"/>
        <v>#DIV/0!</v>
      </c>
      <c r="AN125" s="8" t="e">
        <f t="shared" si="101"/>
        <v>#DIV/0!</v>
      </c>
      <c r="AO125" s="2" t="e">
        <f t="shared" si="113"/>
        <v>#DIV/0!</v>
      </c>
      <c r="AP125" s="2" t="e">
        <f t="shared" si="119"/>
        <v>#DIV/0!</v>
      </c>
      <c r="AS125" s="8" t="e">
        <f t="shared" si="102"/>
        <v>#DIV/0!</v>
      </c>
      <c r="AT125" s="2" t="e">
        <f t="shared" si="114"/>
        <v>#DIV/0!</v>
      </c>
      <c r="AU125" s="2" t="e">
        <f t="shared" si="115"/>
        <v>#DIV/0!</v>
      </c>
    </row>
    <row r="126" spans="1:47" x14ac:dyDescent="0.2">
      <c r="A126" s="2">
        <f t="shared" si="103"/>
        <v>7.6666666666666563</v>
      </c>
      <c r="B126" s="2">
        <f t="shared" si="104"/>
        <v>4.6817581165278186E-4</v>
      </c>
      <c r="C126" s="2">
        <f t="shared" si="84"/>
        <v>4.6817581165278186E-4</v>
      </c>
      <c r="D126" s="8">
        <f t="shared" si="85"/>
        <v>4.6817581165278186E-4</v>
      </c>
      <c r="E126" s="2">
        <f t="shared" si="86"/>
        <v>4.6817581165278186E-4</v>
      </c>
      <c r="G126" s="8" t="e">
        <f t="shared" si="87"/>
        <v>#DIV/0!</v>
      </c>
      <c r="H126" s="2" t="e">
        <f t="shared" si="88"/>
        <v>#DIV/0!</v>
      </c>
      <c r="J126" s="8">
        <f t="shared" si="89"/>
        <v>2.0830937816769701E-2</v>
      </c>
      <c r="K126" s="2">
        <f t="shared" si="90"/>
        <v>2.0830937816769701E-2</v>
      </c>
      <c r="M126" s="8">
        <f t="shared" si="91"/>
        <v>0.11538461538461553</v>
      </c>
      <c r="N126" s="2">
        <f t="shared" si="92"/>
        <v>0.11538461538461553</v>
      </c>
      <c r="P126" s="8">
        <f t="shared" si="93"/>
        <v>4.6817581165281563E-4</v>
      </c>
      <c r="Q126" s="2">
        <f t="shared" si="94"/>
        <v>4.6817581165281563E-4</v>
      </c>
      <c r="S126" s="8">
        <f t="shared" si="95"/>
        <v>2.0830937816769701E-2</v>
      </c>
      <c r="T126" s="2">
        <f t="shared" si="96"/>
        <v>2.0830937816769701E-2</v>
      </c>
      <c r="W126" s="8" t="e">
        <f t="shared" si="97"/>
        <v>#DIV/0!</v>
      </c>
      <c r="X126" s="2" t="e">
        <f t="shared" si="105"/>
        <v>#DIV/0!</v>
      </c>
      <c r="Y126" s="2" t="e">
        <f t="shared" si="116"/>
        <v>#DIV/0!</v>
      </c>
      <c r="AA126" s="8" t="e">
        <f t="shared" si="98"/>
        <v>#DIV/0!</v>
      </c>
      <c r="AB126" s="2" t="e">
        <f t="shared" si="107"/>
        <v>#DIV/0!</v>
      </c>
      <c r="AC126" s="2" t="e">
        <f t="shared" si="117"/>
        <v>#DIV/0!</v>
      </c>
      <c r="AE126" s="8" t="e">
        <f t="shared" si="99"/>
        <v>#DIV/0!</v>
      </c>
      <c r="AF126" s="2" t="e">
        <f t="shared" si="109"/>
        <v>#DIV/0!</v>
      </c>
      <c r="AG126" s="2" t="e">
        <f t="shared" si="118"/>
        <v>#DIV/0!</v>
      </c>
      <c r="AI126" s="8" t="e">
        <f t="shared" si="100"/>
        <v>#DIV/0!</v>
      </c>
      <c r="AJ126" s="2" t="e">
        <f t="shared" si="111"/>
        <v>#DIV/0!</v>
      </c>
      <c r="AK126" s="2" t="e">
        <f t="shared" si="112"/>
        <v>#DIV/0!</v>
      </c>
      <c r="AN126" s="8" t="e">
        <f t="shared" si="101"/>
        <v>#DIV/0!</v>
      </c>
      <c r="AO126" s="2" t="e">
        <f t="shared" si="113"/>
        <v>#DIV/0!</v>
      </c>
      <c r="AP126" s="2" t="e">
        <f t="shared" si="119"/>
        <v>#DIV/0!</v>
      </c>
      <c r="AS126" s="8" t="e">
        <f t="shared" si="102"/>
        <v>#DIV/0!</v>
      </c>
      <c r="AT126" s="2" t="e">
        <f t="shared" si="114"/>
        <v>#DIV/0!</v>
      </c>
      <c r="AU126" s="2" t="e">
        <f t="shared" si="115"/>
        <v>#DIV/0!</v>
      </c>
    </row>
    <row r="127" spans="1:47" x14ac:dyDescent="0.2">
      <c r="A127" s="2">
        <f t="shared" si="103"/>
        <v>7.7499999999999893</v>
      </c>
      <c r="B127" s="2">
        <f t="shared" si="104"/>
        <v>4.3074254057569214E-4</v>
      </c>
      <c r="C127" s="2">
        <f t="shared" si="84"/>
        <v>4.3074254057569214E-4</v>
      </c>
      <c r="D127" s="8">
        <f t="shared" si="85"/>
        <v>4.3074254057569214E-4</v>
      </c>
      <c r="E127" s="2">
        <f t="shared" si="86"/>
        <v>4.3074254057569214E-4</v>
      </c>
      <c r="G127" s="8" t="e">
        <f t="shared" si="87"/>
        <v>#DIV/0!</v>
      </c>
      <c r="H127" s="2" t="e">
        <f t="shared" si="88"/>
        <v>#DIV/0!</v>
      </c>
      <c r="J127" s="8">
        <f t="shared" si="89"/>
        <v>2.0295052766562183E-2</v>
      </c>
      <c r="K127" s="2">
        <f t="shared" si="90"/>
        <v>2.0295052766562183E-2</v>
      </c>
      <c r="M127" s="8">
        <f t="shared" si="91"/>
        <v>0.11428571428571432</v>
      </c>
      <c r="N127" s="2">
        <f t="shared" si="92"/>
        <v>0.11428571428571432</v>
      </c>
      <c r="P127" s="8">
        <f t="shared" si="93"/>
        <v>4.307425405757348E-4</v>
      </c>
      <c r="Q127" s="2">
        <f t="shared" si="94"/>
        <v>4.307425405757348E-4</v>
      </c>
      <c r="S127" s="8">
        <f t="shared" si="95"/>
        <v>2.0295052766562183E-2</v>
      </c>
      <c r="T127" s="2">
        <f t="shared" si="96"/>
        <v>2.0295052766562183E-2</v>
      </c>
      <c r="W127" s="8" t="e">
        <f t="shared" si="97"/>
        <v>#DIV/0!</v>
      </c>
      <c r="X127" s="2" t="e">
        <f t="shared" si="105"/>
        <v>#DIV/0!</v>
      </c>
      <c r="Y127" s="2" t="e">
        <f t="shared" si="116"/>
        <v>#DIV/0!</v>
      </c>
      <c r="AA127" s="8" t="e">
        <f t="shared" si="98"/>
        <v>#DIV/0!</v>
      </c>
      <c r="AB127" s="2" t="e">
        <f t="shared" si="107"/>
        <v>#DIV/0!</v>
      </c>
      <c r="AC127" s="2" t="e">
        <f t="shared" si="117"/>
        <v>#DIV/0!</v>
      </c>
      <c r="AE127" s="8" t="e">
        <f t="shared" si="99"/>
        <v>#DIV/0!</v>
      </c>
      <c r="AF127" s="2" t="e">
        <f t="shared" si="109"/>
        <v>#DIV/0!</v>
      </c>
      <c r="AG127" s="2" t="e">
        <f t="shared" si="118"/>
        <v>#DIV/0!</v>
      </c>
      <c r="AI127" s="8" t="e">
        <f t="shared" si="100"/>
        <v>#DIV/0!</v>
      </c>
      <c r="AJ127" s="2" t="e">
        <f t="shared" si="111"/>
        <v>#DIV/0!</v>
      </c>
      <c r="AK127" s="2" t="e">
        <f t="shared" si="112"/>
        <v>#DIV/0!</v>
      </c>
      <c r="AN127" s="8" t="e">
        <f t="shared" si="101"/>
        <v>#DIV/0!</v>
      </c>
      <c r="AO127" s="2" t="e">
        <f t="shared" si="113"/>
        <v>#DIV/0!</v>
      </c>
      <c r="AP127" s="2" t="e">
        <f t="shared" si="119"/>
        <v>#DIV/0!</v>
      </c>
      <c r="AS127" s="8" t="e">
        <f t="shared" si="102"/>
        <v>#DIV/0!</v>
      </c>
      <c r="AT127" s="2" t="e">
        <f t="shared" si="114"/>
        <v>#DIV/0!</v>
      </c>
      <c r="AU127" s="2" t="e">
        <f t="shared" si="115"/>
        <v>#DIV/0!</v>
      </c>
    </row>
    <row r="128" spans="1:47" x14ac:dyDescent="0.2">
      <c r="A128" s="2">
        <f t="shared" si="103"/>
        <v>7.8333333333333224</v>
      </c>
      <c r="B128" s="2">
        <f t="shared" si="104"/>
        <v>3.9630226859991029E-4</v>
      </c>
      <c r="C128" s="2">
        <f t="shared" si="84"/>
        <v>3.9630226859991029E-4</v>
      </c>
      <c r="D128" s="8">
        <f t="shared" si="85"/>
        <v>3.9630226859991029E-4</v>
      </c>
      <c r="E128" s="2">
        <f t="shared" si="86"/>
        <v>3.9630226859991029E-4</v>
      </c>
      <c r="G128" s="8" t="e">
        <f t="shared" si="87"/>
        <v>#DIV/0!</v>
      </c>
      <c r="H128" s="2" t="e">
        <f t="shared" si="88"/>
        <v>#DIV/0!</v>
      </c>
      <c r="J128" s="8">
        <f t="shared" si="89"/>
        <v>1.9776445014302646E-2</v>
      </c>
      <c r="K128" s="2">
        <f t="shared" si="90"/>
        <v>1.9776445014302646E-2</v>
      </c>
      <c r="M128" s="8">
        <f t="shared" si="91"/>
        <v>0.11320754716981152</v>
      </c>
      <c r="N128" s="2">
        <f t="shared" si="92"/>
        <v>0.11320754716981152</v>
      </c>
      <c r="P128" s="8">
        <f t="shared" si="93"/>
        <v>3.963022685998796E-4</v>
      </c>
      <c r="Q128" s="2">
        <f t="shared" si="94"/>
        <v>3.963022685998796E-4</v>
      </c>
      <c r="S128" s="8">
        <f t="shared" si="95"/>
        <v>1.9776445014302646E-2</v>
      </c>
      <c r="T128" s="2">
        <f t="shared" si="96"/>
        <v>1.9776445014302646E-2</v>
      </c>
      <c r="W128" s="8" t="e">
        <f t="shared" si="97"/>
        <v>#DIV/0!</v>
      </c>
      <c r="X128" s="2" t="e">
        <f t="shared" si="105"/>
        <v>#DIV/0!</v>
      </c>
      <c r="Y128" s="2" t="e">
        <f t="shared" si="116"/>
        <v>#DIV/0!</v>
      </c>
      <c r="AA128" s="8" t="e">
        <f t="shared" si="98"/>
        <v>#DIV/0!</v>
      </c>
      <c r="AB128" s="2" t="e">
        <f t="shared" si="107"/>
        <v>#DIV/0!</v>
      </c>
      <c r="AC128" s="2" t="e">
        <f t="shared" si="117"/>
        <v>#DIV/0!</v>
      </c>
      <c r="AE128" s="8" t="e">
        <f t="shared" si="99"/>
        <v>#DIV/0!</v>
      </c>
      <c r="AF128" s="2" t="e">
        <f t="shared" si="109"/>
        <v>#DIV/0!</v>
      </c>
      <c r="AG128" s="2" t="e">
        <f t="shared" si="118"/>
        <v>#DIV/0!</v>
      </c>
      <c r="AI128" s="8" t="e">
        <f t="shared" si="100"/>
        <v>#DIV/0!</v>
      </c>
      <c r="AJ128" s="2" t="e">
        <f t="shared" si="111"/>
        <v>#DIV/0!</v>
      </c>
      <c r="AK128" s="2" t="e">
        <f t="shared" si="112"/>
        <v>#DIV/0!</v>
      </c>
      <c r="AN128" s="8" t="e">
        <f t="shared" si="101"/>
        <v>#DIV/0!</v>
      </c>
      <c r="AO128" s="2" t="e">
        <f t="shared" si="113"/>
        <v>#DIV/0!</v>
      </c>
      <c r="AP128" s="2" t="e">
        <f t="shared" si="119"/>
        <v>#DIV/0!</v>
      </c>
      <c r="AS128" s="8" t="e">
        <f t="shared" si="102"/>
        <v>#DIV/0!</v>
      </c>
      <c r="AT128" s="2" t="e">
        <f t="shared" si="114"/>
        <v>#DIV/0!</v>
      </c>
      <c r="AU128" s="2" t="e">
        <f t="shared" si="115"/>
        <v>#DIV/0!</v>
      </c>
    </row>
    <row r="129" spans="1:47" x14ac:dyDescent="0.2">
      <c r="A129" s="2">
        <f t="shared" si="103"/>
        <v>7.9166666666666554</v>
      </c>
      <c r="B129" s="2">
        <f t="shared" si="104"/>
        <v>3.6461568873027739E-4</v>
      </c>
      <c r="C129" s="2">
        <f t="shared" si="84"/>
        <v>3.6461568873027739E-4</v>
      </c>
      <c r="D129" s="8">
        <f t="shared" si="85"/>
        <v>3.6461568873027739E-4</v>
      </c>
      <c r="E129" s="2">
        <f t="shared" si="86"/>
        <v>3.6461568873027739E-4</v>
      </c>
      <c r="G129" s="8" t="e">
        <f t="shared" si="87"/>
        <v>#DIV/0!</v>
      </c>
      <c r="H129" s="2" t="e">
        <f t="shared" si="88"/>
        <v>#DIV/0!</v>
      </c>
      <c r="J129" s="8">
        <f t="shared" si="89"/>
        <v>1.9274439636141727E-2</v>
      </c>
      <c r="K129" s="2">
        <f t="shared" si="90"/>
        <v>1.9274439636141727E-2</v>
      </c>
      <c r="M129" s="8">
        <f t="shared" si="91"/>
        <v>0.1121495327102805</v>
      </c>
      <c r="N129" s="2">
        <f t="shared" si="92"/>
        <v>0.1121495327102805</v>
      </c>
      <c r="P129" s="8">
        <f t="shared" si="93"/>
        <v>3.6461568873025207E-4</v>
      </c>
      <c r="Q129" s="2">
        <f t="shared" si="94"/>
        <v>3.6461568873025207E-4</v>
      </c>
      <c r="S129" s="8">
        <f t="shared" si="95"/>
        <v>1.9274439636141727E-2</v>
      </c>
      <c r="T129" s="2">
        <f t="shared" si="96"/>
        <v>1.9274439636141727E-2</v>
      </c>
      <c r="W129" s="8" t="e">
        <f t="shared" si="97"/>
        <v>#DIV/0!</v>
      </c>
      <c r="X129" s="2" t="e">
        <f t="shared" si="105"/>
        <v>#DIV/0!</v>
      </c>
      <c r="Y129" s="2" t="e">
        <f t="shared" si="116"/>
        <v>#DIV/0!</v>
      </c>
      <c r="AA129" s="8" t="e">
        <f t="shared" si="98"/>
        <v>#DIV/0!</v>
      </c>
      <c r="AB129" s="2" t="e">
        <f t="shared" si="107"/>
        <v>#DIV/0!</v>
      </c>
      <c r="AC129" s="2" t="e">
        <f t="shared" si="117"/>
        <v>#DIV/0!</v>
      </c>
      <c r="AE129" s="8" t="e">
        <f t="shared" si="99"/>
        <v>#DIV/0!</v>
      </c>
      <c r="AF129" s="2" t="e">
        <f t="shared" si="109"/>
        <v>#DIV/0!</v>
      </c>
      <c r="AG129" s="2" t="e">
        <f t="shared" si="118"/>
        <v>#DIV/0!</v>
      </c>
      <c r="AI129" s="8" t="e">
        <f t="shared" si="100"/>
        <v>#DIV/0!</v>
      </c>
      <c r="AJ129" s="2" t="e">
        <f t="shared" si="111"/>
        <v>#DIV/0!</v>
      </c>
      <c r="AK129" s="2" t="e">
        <f t="shared" si="112"/>
        <v>#DIV/0!</v>
      </c>
      <c r="AN129" s="8" t="e">
        <f t="shared" si="101"/>
        <v>#DIV/0!</v>
      </c>
      <c r="AO129" s="2" t="e">
        <f t="shared" si="113"/>
        <v>#DIV/0!</v>
      </c>
      <c r="AP129" s="2" t="e">
        <f t="shared" si="119"/>
        <v>#DIV/0!</v>
      </c>
      <c r="AS129" s="8" t="e">
        <f t="shared" si="102"/>
        <v>#DIV/0!</v>
      </c>
      <c r="AT129" s="2" t="e">
        <f t="shared" si="114"/>
        <v>#DIV/0!</v>
      </c>
      <c r="AU129" s="2" t="e">
        <f t="shared" si="115"/>
        <v>#DIV/0!</v>
      </c>
    </row>
    <row r="130" spans="1:47" x14ac:dyDescent="0.2">
      <c r="A130" s="2">
        <f t="shared" si="103"/>
        <v>7.9999999999999885</v>
      </c>
      <c r="B130" s="2">
        <f t="shared" si="104"/>
        <v>3.354626279025157E-4</v>
      </c>
      <c r="C130" s="2">
        <f t="shared" si="84"/>
        <v>3.354626279025157E-4</v>
      </c>
      <c r="D130" s="8">
        <f t="shared" si="85"/>
        <v>3.354626279025157E-4</v>
      </c>
      <c r="E130" s="2">
        <f t="shared" si="86"/>
        <v>3.354626279025157E-4</v>
      </c>
      <c r="G130" s="8" t="e">
        <f t="shared" si="87"/>
        <v>#DIV/0!</v>
      </c>
      <c r="H130" s="2" t="e">
        <f t="shared" si="88"/>
        <v>#DIV/0!</v>
      </c>
      <c r="J130" s="8">
        <f t="shared" si="89"/>
        <v>1.8788392814055199E-2</v>
      </c>
      <c r="K130" s="2">
        <f t="shared" si="90"/>
        <v>1.8788392814055199E-2</v>
      </c>
      <c r="M130" s="8">
        <f t="shared" si="91"/>
        <v>0.11111111111111127</v>
      </c>
      <c r="N130" s="2">
        <f t="shared" si="92"/>
        <v>0.11111111111111127</v>
      </c>
      <c r="P130" s="8">
        <f t="shared" si="93"/>
        <v>3.3546262790251635E-4</v>
      </c>
      <c r="Q130" s="2">
        <f t="shared" si="94"/>
        <v>3.3546262790251635E-4</v>
      </c>
      <c r="S130" s="8">
        <f t="shared" si="95"/>
        <v>1.8788392814055199E-2</v>
      </c>
      <c r="T130" s="2">
        <f t="shared" si="96"/>
        <v>1.8788392814055199E-2</v>
      </c>
      <c r="W130" s="8" t="e">
        <f t="shared" si="97"/>
        <v>#DIV/0!</v>
      </c>
      <c r="X130" s="2" t="e">
        <f t="shared" si="105"/>
        <v>#DIV/0!</v>
      </c>
      <c r="Y130" s="2" t="e">
        <f t="shared" si="116"/>
        <v>#DIV/0!</v>
      </c>
      <c r="AA130" s="8" t="e">
        <f t="shared" si="98"/>
        <v>#DIV/0!</v>
      </c>
      <c r="AB130" s="2" t="e">
        <f t="shared" si="107"/>
        <v>#DIV/0!</v>
      </c>
      <c r="AC130" s="2" t="e">
        <f t="shared" si="117"/>
        <v>#DIV/0!</v>
      </c>
      <c r="AE130" s="8" t="e">
        <f t="shared" si="99"/>
        <v>#DIV/0!</v>
      </c>
      <c r="AF130" s="2" t="e">
        <f t="shared" si="109"/>
        <v>#DIV/0!</v>
      </c>
      <c r="AG130" s="2" t="e">
        <f t="shared" si="118"/>
        <v>#DIV/0!</v>
      </c>
      <c r="AI130" s="8" t="e">
        <f t="shared" si="100"/>
        <v>#DIV/0!</v>
      </c>
      <c r="AJ130" s="2" t="e">
        <f t="shared" si="111"/>
        <v>#DIV/0!</v>
      </c>
      <c r="AK130" s="2" t="e">
        <f t="shared" si="112"/>
        <v>#DIV/0!</v>
      </c>
      <c r="AN130" s="8" t="e">
        <f t="shared" si="101"/>
        <v>#DIV/0!</v>
      </c>
      <c r="AO130" s="2" t="e">
        <f t="shared" si="113"/>
        <v>#DIV/0!</v>
      </c>
      <c r="AP130" s="2" t="e">
        <f t="shared" si="119"/>
        <v>#DIV/0!</v>
      </c>
      <c r="AS130" s="8" t="e">
        <f t="shared" si="102"/>
        <v>#DIV/0!</v>
      </c>
      <c r="AT130" s="2" t="e">
        <f t="shared" si="114"/>
        <v>#DIV/0!</v>
      </c>
      <c r="AU130" s="2" t="e">
        <f t="shared" si="115"/>
        <v>#DIV/0!</v>
      </c>
    </row>
    <row r="131" spans="1:47" x14ac:dyDescent="0.2">
      <c r="A131" s="2">
        <f t="shared" si="103"/>
        <v>8.0833333333333215</v>
      </c>
      <c r="B131" s="2">
        <f t="shared" si="104"/>
        <v>3.0864051711858466E-4</v>
      </c>
      <c r="C131" s="2">
        <f t="shared" ref="C131:C154" si="120">EXP(-$A131*$B$29*C$29)</f>
        <v>3.0864051711858466E-4</v>
      </c>
      <c r="D131" s="8">
        <f t="shared" ref="D131:D154" si="121">EXP(-(($A131*$E$29)^$D$29))</f>
        <v>3.0864051711858466E-4</v>
      </c>
      <c r="E131" s="2">
        <f t="shared" ref="E131:E154" si="122">EXP(-(($A131*$E$29*F$29)^$D$29))</f>
        <v>3.0864051711858466E-4</v>
      </c>
      <c r="G131" s="8" t="e">
        <f t="shared" ref="G131:G154" si="123">EXP(-(($H$29)/$G$29)*(EXP($G$29*$A131)-1))</f>
        <v>#DIV/0!</v>
      </c>
      <c r="H131" s="2" t="e">
        <f t="shared" ref="H131:H154" si="124">EXP(-(($H$29*I$29)/$G$29)*(EXP($G$29*$A131)-1))</f>
        <v>#DIV/0!</v>
      </c>
      <c r="J131" s="8">
        <f t="shared" ref="J131:J154" si="125">1-_xlfn.NORM.S.DIST((LN($A131)-$J$29)/$K$29,TRUE)</f>
        <v>1.8317690180096213E-2</v>
      </c>
      <c r="K131" s="2">
        <f t="shared" ref="K131:K154" si="126">1-_xlfn.NORM.S.DIST((LN($A131)-$J$29-L$29)/$K$29,TRUE)</f>
        <v>1.8317690180096213E-2</v>
      </c>
      <c r="M131" s="8">
        <f t="shared" ref="M131:M154" si="127">1-(1/(1+($A131/($N$29))^(-$M$29)))</f>
        <v>0.11009174311926628</v>
      </c>
      <c r="N131" s="2">
        <f t="shared" ref="N131:N154" si="128">1-(1/(1+($A131/($N$29*O$29))^(-$M$29)))</f>
        <v>0.11009174311926628</v>
      </c>
      <c r="P131" s="8">
        <f t="shared" ref="P131:P154" si="129">1-(_xlfn.GAMMA.DIST($Q$29*$A131,$P$29,1,TRUE)*EXP(GAMMALN($P$29)))/EXP(GAMMALN($P$29))</f>
        <v>3.0864051711854135E-4</v>
      </c>
      <c r="Q131" s="2">
        <f t="shared" ref="Q131:Q154" si="130">1-(_xlfn.GAMMA.DIST($Q$29*R$29*$A131,$P$29,1,TRUE)*EXP(GAMMALN($P$29)))/EXP(GAMMALN($P$29))</f>
        <v>3.0864051711854135E-4</v>
      </c>
      <c r="S131" s="8">
        <f t="shared" ref="S131:S154" si="131">IF(ABS($U$29)&lt;0.05,
        1-_xlfn.NORM.S.DIST((LN($A131)-$S$29)/$T$29,TRUE),
        IF(0=1-
            IF($U$29&gt;0,
                    _xlfn.GAMMA.DIST(EXP($U$29*((LN($A131)-$S$29)/$T$29))*($U$29^(-2)),($U$29^(-2)),1, TRUE),
                    1-_xlfn.GAMMA.DIST(EXP($U$29*((LN($A131)-$S$29)/$T$29))*($U$29^(-2)),($U$29^(-2)),1, TRUE)),
            0,
            EXP(LN(1-
                IF($U$29&gt;0,
                    _xlfn.GAMMA.DIST(EXP($U$29*((LN($A131)-$S$29)/$T$29))*($U$29^(-2)),($U$29^(-2)),1, TRUE),
                    1-_xlfn.GAMMA.DIST(EXP($U$29*((LN($A131)-$S$29)/$T$29))*($U$29^(-2)),($U$29^(-2)),1, TRUE))))))</f>
        <v>1.8317690180096213E-2</v>
      </c>
      <c r="T131" s="2">
        <f t="shared" ref="T131:T154" si="132">IF(ABS($U$29)&lt;0.05,
        1-_xlfn.NORM.S.DIST((LN($A131)-($S$29+V$29))/$T$29,TRUE),
        IF(0=1-
            IF($U$29&gt;0,
                    _xlfn.GAMMA.DIST(EXP($U$29*((LN($A131)-($S$29+V$29))/$T$29))*($U$29^(-2)),($U$29^(-2)),1, TRUE),
                    1-_xlfn.GAMMA.DIST(EXP($U$29*((LN($A131)-($S$29+V$29))/$T$29))*($U$29^(-2)),($U$29^(-2)),1, TRUE)),
            0,
            EXP(LN(1-
                IF($U$29&gt;0,
                    _xlfn.GAMMA.DIST(EXP($U$29*((LN($A131)-($S$29+V$29))/$T$29))*($U$29^(-2)),($U$29^(-2)),1, TRUE),
                    1-_xlfn.GAMMA.DIST(EXP($U$29*((LN($A131)-($S$29+V$29))/$T$29))*($U$29^(-2)),($U$29^(-2)),1, TRUE))))))</f>
        <v>1.8317690180096213E-2</v>
      </c>
      <c r="W131" s="8" t="e">
        <f t="shared" ref="W131:W154" si="133">W$29+
X$29*LN($A131)+
Y$29*(MAX(LN($A131)-X$9,0)^3-Y$31*MAX(LN($A131)-W$9,0)^3-(1-Y$31)*MAX(LN($A131)-Y$9,0)^3)</f>
        <v>#DIV/0!</v>
      </c>
      <c r="X131" s="2" t="e">
        <f t="shared" si="105"/>
        <v>#DIV/0!</v>
      </c>
      <c r="Y131" s="2" t="e">
        <f t="shared" si="116"/>
        <v>#DIV/0!</v>
      </c>
      <c r="AA131" s="8" t="e">
        <f t="shared" ref="AA131:AA154" si="134">AA$29+
AB$29*LN($A131)+
AC$29*(MAX(LN($A131)-AB$9,0)^3-AC$31*MAX(LN($A131)-AA$9,0)^3-(1-AC$31)*MAX(LN($A131)-AC$9,0)^3)</f>
        <v>#DIV/0!</v>
      </c>
      <c r="AB131" s="2" t="e">
        <f t="shared" si="107"/>
        <v>#DIV/0!</v>
      </c>
      <c r="AC131" s="2" t="e">
        <f t="shared" si="117"/>
        <v>#DIV/0!</v>
      </c>
      <c r="AE131" s="8" t="e">
        <f t="shared" ref="AE131:AE154" si="135">AE$29+
AF$29*LN($A131)+
AG$29*(MAX(LN($A131)-AF$9,0)^3-AG$31*MAX(LN($A131)-AE$9,0)^3-(1-AG$31)*MAX(LN($A131)-AG$9,0)^3)</f>
        <v>#DIV/0!</v>
      </c>
      <c r="AF131" s="2" t="e">
        <f t="shared" si="109"/>
        <v>#DIV/0!</v>
      </c>
      <c r="AG131" s="2" t="e">
        <f t="shared" si="118"/>
        <v>#DIV/0!</v>
      </c>
      <c r="AI131" s="8" t="e">
        <f t="shared" ref="AI131:AI154" si="136">AI$29+
AJ$29*LN($A131)+
AK$29*(MAX(LN($A131)-AJ$9,0)^3-AK$31*MAX(LN($A131)-AI$9,0)^3-(1-AK$31)*MAX(LN($A131)-AL$9,0)^3)+
AL$29*(MAX(LN($A131)-AK$9,0)^3-AL$31*MAX(LN($A131)-AI$9,0)^3-(1-AL$31)*MAX(LN($A131)-AL$9,0)^3)</f>
        <v>#DIV/0!</v>
      </c>
      <c r="AJ131" s="2" t="e">
        <f t="shared" si="111"/>
        <v>#DIV/0!</v>
      </c>
      <c r="AK131" s="2" t="e">
        <f t="shared" si="112"/>
        <v>#DIV/0!</v>
      </c>
      <c r="AN131" s="8" t="e">
        <f t="shared" ref="AN131:AN154" si="137">AN$29+
AO$29*LN($A131)+
AP$29*(MAX(LN($A131)-AO$9,0)^3-AP$31*MAX(LN($A131)-AN$9,0)^3-(1-AP$31)*MAX(LN($A131)-AQ$9,0)^3)+
AQ$29*(MAX(LN($A131)-AP$9,0)^3-AQ$31*MAX(LN($A131)-AN$9,0)^3-(1-AQ$31)*MAX(LN($A131)-AQ$9,0)^3)</f>
        <v>#DIV/0!</v>
      </c>
      <c r="AO131" s="2" t="e">
        <f t="shared" si="113"/>
        <v>#DIV/0!</v>
      </c>
      <c r="AP131" s="2" t="e">
        <f t="shared" si="119"/>
        <v>#DIV/0!</v>
      </c>
      <c r="AS131" s="8" t="e">
        <f t="shared" ref="AS131:AS154" si="138">AS$29+
AT$29*LN($A131)+
AU$29*(MAX(LN($A131)-AT$9,0)^3-AU$31*MAX(LN($A131)-AS$9,0)^3-(1-AU$31)*MAX(LN($A131)-AV$9,0)^3)+
AV$29*(MAX(LN($A131)-AU$9,0)^3-AV$31*MAX(LN($A131)-AS$9,0)^3-(1-AV$31)*MAX(LN($A131)-AV$9,0)^3)</f>
        <v>#DIV/0!</v>
      </c>
      <c r="AT131" s="2" t="e">
        <f t="shared" si="114"/>
        <v>#DIV/0!</v>
      </c>
      <c r="AU131" s="2" t="e">
        <f t="shared" si="115"/>
        <v>#DIV/0!</v>
      </c>
    </row>
    <row r="132" spans="1:47" x14ac:dyDescent="0.2">
      <c r="A132" s="2">
        <f t="shared" si="103"/>
        <v>8.1666666666666554</v>
      </c>
      <c r="B132" s="2">
        <f t="shared" si="104"/>
        <v>2.8396298390325966E-4</v>
      </c>
      <c r="C132" s="2">
        <f t="shared" si="120"/>
        <v>2.8396298390325966E-4</v>
      </c>
      <c r="D132" s="8">
        <f t="shared" si="121"/>
        <v>2.8396298390325966E-4</v>
      </c>
      <c r="E132" s="2">
        <f t="shared" si="122"/>
        <v>2.8396298390325966E-4</v>
      </c>
      <c r="G132" s="8" t="e">
        <f t="shared" si="123"/>
        <v>#DIV/0!</v>
      </c>
      <c r="H132" s="2" t="e">
        <f t="shared" si="124"/>
        <v>#DIV/0!</v>
      </c>
      <c r="J132" s="8">
        <f t="shared" si="125"/>
        <v>1.7861745260699391E-2</v>
      </c>
      <c r="K132" s="2">
        <f t="shared" si="126"/>
        <v>1.7861745260699391E-2</v>
      </c>
      <c r="M132" s="8">
        <f t="shared" si="127"/>
        <v>0.10909090909090924</v>
      </c>
      <c r="N132" s="2">
        <f t="shared" si="128"/>
        <v>0.10909090909090924</v>
      </c>
      <c r="P132" s="8">
        <f t="shared" si="129"/>
        <v>2.8396298390320762E-4</v>
      </c>
      <c r="Q132" s="2">
        <f t="shared" si="130"/>
        <v>2.8396298390320762E-4</v>
      </c>
      <c r="S132" s="8">
        <f t="shared" si="131"/>
        <v>1.7861745260699391E-2</v>
      </c>
      <c r="T132" s="2">
        <f t="shared" si="132"/>
        <v>1.7861745260699391E-2</v>
      </c>
      <c r="W132" s="8" t="e">
        <f t="shared" si="133"/>
        <v>#DIV/0!</v>
      </c>
      <c r="X132" s="2" t="e">
        <f t="shared" si="105"/>
        <v>#DIV/0!</v>
      </c>
      <c r="Y132" s="2" t="e">
        <f t="shared" ref="Y132:Y147" si="139">EXP(-EXP($W132+Z$29))</f>
        <v>#DIV/0!</v>
      </c>
      <c r="AA132" s="8" t="e">
        <f t="shared" si="134"/>
        <v>#DIV/0!</v>
      </c>
      <c r="AB132" s="2" t="e">
        <f t="shared" si="107"/>
        <v>#DIV/0!</v>
      </c>
      <c r="AC132" s="2" t="e">
        <f t="shared" ref="AC132:AC147" si="140">1-(EXP($AA132+AD$29)/(1 + EXP($AA132+AD$29)))</f>
        <v>#DIV/0!</v>
      </c>
      <c r="AE132" s="8" t="e">
        <f t="shared" si="135"/>
        <v>#DIV/0!</v>
      </c>
      <c r="AF132" s="2" t="e">
        <f t="shared" si="109"/>
        <v>#DIV/0!</v>
      </c>
      <c r="AG132" s="2" t="e">
        <f t="shared" ref="AG132:AG147" si="141">1-NORMSDIST($AE132+AH$29)</f>
        <v>#DIV/0!</v>
      </c>
      <c r="AI132" s="8" t="e">
        <f t="shared" si="136"/>
        <v>#DIV/0!</v>
      </c>
      <c r="AJ132" s="2" t="e">
        <f t="shared" si="111"/>
        <v>#DIV/0!</v>
      </c>
      <c r="AK132" s="2" t="e">
        <f t="shared" si="112"/>
        <v>#DIV/0!</v>
      </c>
      <c r="AN132" s="8" t="e">
        <f t="shared" si="137"/>
        <v>#DIV/0!</v>
      </c>
      <c r="AO132" s="2" t="e">
        <f t="shared" si="113"/>
        <v>#DIV/0!</v>
      </c>
      <c r="AP132" s="2" t="e">
        <f t="shared" si="119"/>
        <v>#DIV/0!</v>
      </c>
      <c r="AS132" s="8" t="e">
        <f t="shared" si="138"/>
        <v>#DIV/0!</v>
      </c>
      <c r="AT132" s="2" t="e">
        <f t="shared" si="114"/>
        <v>#DIV/0!</v>
      </c>
      <c r="AU132" s="2" t="e">
        <f t="shared" si="115"/>
        <v>#DIV/0!</v>
      </c>
    </row>
    <row r="133" spans="1:47" x14ac:dyDescent="0.2">
      <c r="A133" s="2">
        <f t="shared" si="103"/>
        <v>8.2499999999999893</v>
      </c>
      <c r="B133" s="2">
        <f t="shared" si="104"/>
        <v>2.612585573016703E-4</v>
      </c>
      <c r="C133" s="2">
        <f t="shared" si="120"/>
        <v>2.612585573016703E-4</v>
      </c>
      <c r="D133" s="8">
        <f t="shared" si="121"/>
        <v>2.612585573016703E-4</v>
      </c>
      <c r="E133" s="2">
        <f t="shared" si="122"/>
        <v>2.612585573016703E-4</v>
      </c>
      <c r="G133" s="8" t="e">
        <f t="shared" si="123"/>
        <v>#DIV/0!</v>
      </c>
      <c r="H133" s="2" t="e">
        <f t="shared" si="124"/>
        <v>#DIV/0!</v>
      </c>
      <c r="J133" s="8">
        <f t="shared" si="125"/>
        <v>1.7419998014267635E-2</v>
      </c>
      <c r="K133" s="2">
        <f t="shared" si="126"/>
        <v>1.7419998014267635E-2</v>
      </c>
      <c r="M133" s="8">
        <f t="shared" si="127"/>
        <v>0.10810810810810823</v>
      </c>
      <c r="N133" s="2">
        <f t="shared" si="128"/>
        <v>0.10810810810810823</v>
      </c>
      <c r="P133" s="8">
        <f t="shared" si="129"/>
        <v>2.6125855730163572E-4</v>
      </c>
      <c r="Q133" s="2">
        <f t="shared" si="130"/>
        <v>2.6125855730163572E-4</v>
      </c>
      <c r="S133" s="8">
        <f t="shared" si="131"/>
        <v>1.7419998014267635E-2</v>
      </c>
      <c r="T133" s="2">
        <f t="shared" si="132"/>
        <v>1.7419998014267635E-2</v>
      </c>
      <c r="W133" s="8" t="e">
        <f t="shared" si="133"/>
        <v>#DIV/0!</v>
      </c>
      <c r="X133" s="2" t="e">
        <f t="shared" si="105"/>
        <v>#DIV/0!</v>
      </c>
      <c r="Y133" s="2" t="e">
        <f t="shared" si="139"/>
        <v>#DIV/0!</v>
      </c>
      <c r="AA133" s="8" t="e">
        <f t="shared" si="134"/>
        <v>#DIV/0!</v>
      </c>
      <c r="AB133" s="2" t="e">
        <f t="shared" si="107"/>
        <v>#DIV/0!</v>
      </c>
      <c r="AC133" s="2" t="e">
        <f t="shared" si="140"/>
        <v>#DIV/0!</v>
      </c>
      <c r="AE133" s="8" t="e">
        <f t="shared" si="135"/>
        <v>#DIV/0!</v>
      </c>
      <c r="AF133" s="2" t="e">
        <f t="shared" si="109"/>
        <v>#DIV/0!</v>
      </c>
      <c r="AG133" s="2" t="e">
        <f t="shared" si="141"/>
        <v>#DIV/0!</v>
      </c>
      <c r="AI133" s="8" t="e">
        <f t="shared" si="136"/>
        <v>#DIV/0!</v>
      </c>
      <c r="AJ133" s="2" t="e">
        <f t="shared" si="111"/>
        <v>#DIV/0!</v>
      </c>
      <c r="AK133" s="2" t="e">
        <f t="shared" si="112"/>
        <v>#DIV/0!</v>
      </c>
      <c r="AN133" s="8" t="e">
        <f t="shared" si="137"/>
        <v>#DIV/0!</v>
      </c>
      <c r="AO133" s="2" t="e">
        <f t="shared" si="113"/>
        <v>#DIV/0!</v>
      </c>
      <c r="AP133" s="2" t="e">
        <f t="shared" si="119"/>
        <v>#DIV/0!</v>
      </c>
      <c r="AS133" s="8" t="e">
        <f t="shared" si="138"/>
        <v>#DIV/0!</v>
      </c>
      <c r="AT133" s="2" t="e">
        <f t="shared" si="114"/>
        <v>#DIV/0!</v>
      </c>
      <c r="AU133" s="2" t="e">
        <f t="shared" si="115"/>
        <v>#DIV/0!</v>
      </c>
    </row>
    <row r="134" spans="1:47" x14ac:dyDescent="0.2">
      <c r="A134" s="2">
        <f t="shared" si="103"/>
        <v>8.3333333333333233</v>
      </c>
      <c r="B134" s="2">
        <f t="shared" si="104"/>
        <v>2.4036947641951662E-4</v>
      </c>
      <c r="C134" s="2">
        <f t="shared" si="120"/>
        <v>2.4036947641951662E-4</v>
      </c>
      <c r="D134" s="8">
        <f t="shared" si="121"/>
        <v>2.4036947641951662E-4</v>
      </c>
      <c r="E134" s="2">
        <f t="shared" si="122"/>
        <v>2.4036947641951662E-4</v>
      </c>
      <c r="G134" s="8" t="e">
        <f t="shared" si="123"/>
        <v>#DIV/0!</v>
      </c>
      <c r="H134" s="2" t="e">
        <f t="shared" si="124"/>
        <v>#DIV/0!</v>
      </c>
      <c r="J134" s="8">
        <f t="shared" si="125"/>
        <v>1.6991913455783769E-2</v>
      </c>
      <c r="K134" s="2">
        <f t="shared" si="126"/>
        <v>1.6991913455783769E-2</v>
      </c>
      <c r="M134" s="8">
        <f t="shared" si="127"/>
        <v>0.10714285714285721</v>
      </c>
      <c r="N134" s="2">
        <f t="shared" si="128"/>
        <v>0.10714285714285721</v>
      </c>
      <c r="P134" s="8">
        <f t="shared" si="129"/>
        <v>2.4036947641947748E-4</v>
      </c>
      <c r="Q134" s="2">
        <f t="shared" si="130"/>
        <v>2.4036947641947748E-4</v>
      </c>
      <c r="S134" s="8">
        <f t="shared" si="131"/>
        <v>1.6991913455783769E-2</v>
      </c>
      <c r="T134" s="2">
        <f t="shared" si="132"/>
        <v>1.6991913455783769E-2</v>
      </c>
      <c r="W134" s="8" t="e">
        <f t="shared" si="133"/>
        <v>#DIV/0!</v>
      </c>
      <c r="X134" s="2" t="e">
        <f t="shared" si="105"/>
        <v>#DIV/0!</v>
      </c>
      <c r="Y134" s="2" t="e">
        <f t="shared" si="139"/>
        <v>#DIV/0!</v>
      </c>
      <c r="AA134" s="8" t="e">
        <f t="shared" si="134"/>
        <v>#DIV/0!</v>
      </c>
      <c r="AB134" s="2" t="e">
        <f t="shared" si="107"/>
        <v>#DIV/0!</v>
      </c>
      <c r="AC134" s="2" t="e">
        <f t="shared" si="140"/>
        <v>#DIV/0!</v>
      </c>
      <c r="AE134" s="8" t="e">
        <f t="shared" si="135"/>
        <v>#DIV/0!</v>
      </c>
      <c r="AF134" s="2" t="e">
        <f t="shared" si="109"/>
        <v>#DIV/0!</v>
      </c>
      <c r="AG134" s="2" t="e">
        <f t="shared" si="141"/>
        <v>#DIV/0!</v>
      </c>
      <c r="AI134" s="8" t="e">
        <f t="shared" si="136"/>
        <v>#DIV/0!</v>
      </c>
      <c r="AJ134" s="2" t="e">
        <f t="shared" si="111"/>
        <v>#DIV/0!</v>
      </c>
      <c r="AK134" s="2" t="e">
        <f t="shared" si="112"/>
        <v>#DIV/0!</v>
      </c>
      <c r="AN134" s="8" t="e">
        <f t="shared" si="137"/>
        <v>#DIV/0!</v>
      </c>
      <c r="AO134" s="2" t="e">
        <f t="shared" si="113"/>
        <v>#DIV/0!</v>
      </c>
      <c r="AP134" s="2" t="e">
        <f t="shared" si="119"/>
        <v>#DIV/0!</v>
      </c>
      <c r="AS134" s="8" t="e">
        <f t="shared" si="138"/>
        <v>#DIV/0!</v>
      </c>
      <c r="AT134" s="2" t="e">
        <f t="shared" si="114"/>
        <v>#DIV/0!</v>
      </c>
      <c r="AU134" s="2" t="e">
        <f t="shared" si="115"/>
        <v>#DIV/0!</v>
      </c>
    </row>
    <row r="135" spans="1:47" x14ac:dyDescent="0.2">
      <c r="A135" s="2">
        <f t="shared" si="103"/>
        <v>8.4166666666666572</v>
      </c>
      <c r="B135" s="2">
        <f t="shared" si="104"/>
        <v>2.2115059422715097E-4</v>
      </c>
      <c r="C135" s="2">
        <f t="shared" si="120"/>
        <v>2.2115059422715097E-4</v>
      </c>
      <c r="D135" s="8">
        <f t="shared" si="121"/>
        <v>2.2115059422715097E-4</v>
      </c>
      <c r="E135" s="2">
        <f t="shared" si="122"/>
        <v>2.2115059422715097E-4</v>
      </c>
      <c r="G135" s="8" t="e">
        <f t="shared" si="123"/>
        <v>#DIV/0!</v>
      </c>
      <c r="H135" s="2" t="e">
        <f t="shared" si="124"/>
        <v>#DIV/0!</v>
      </c>
      <c r="J135" s="8">
        <f t="shared" si="125"/>
        <v>1.6576980362649874E-2</v>
      </c>
      <c r="K135" s="2">
        <f t="shared" si="126"/>
        <v>1.6576980362649874E-2</v>
      </c>
      <c r="M135" s="8">
        <f t="shared" si="127"/>
        <v>0.10619469026548678</v>
      </c>
      <c r="N135" s="2">
        <f t="shared" si="128"/>
        <v>0.10619469026548678</v>
      </c>
      <c r="P135" s="8">
        <f t="shared" si="129"/>
        <v>2.2115059422711525E-4</v>
      </c>
      <c r="Q135" s="2">
        <f t="shared" si="130"/>
        <v>2.2115059422711525E-4</v>
      </c>
      <c r="S135" s="8">
        <f t="shared" si="131"/>
        <v>1.6576980362649874E-2</v>
      </c>
      <c r="T135" s="2">
        <f t="shared" si="132"/>
        <v>1.6576980362649874E-2</v>
      </c>
      <c r="W135" s="8" t="e">
        <f t="shared" si="133"/>
        <v>#DIV/0!</v>
      </c>
      <c r="X135" s="2" t="e">
        <f t="shared" si="105"/>
        <v>#DIV/0!</v>
      </c>
      <c r="Y135" s="2" t="e">
        <f t="shared" si="139"/>
        <v>#DIV/0!</v>
      </c>
      <c r="AA135" s="8" t="e">
        <f t="shared" si="134"/>
        <v>#DIV/0!</v>
      </c>
      <c r="AB135" s="2" t="e">
        <f t="shared" si="107"/>
        <v>#DIV/0!</v>
      </c>
      <c r="AC135" s="2" t="e">
        <f t="shared" si="140"/>
        <v>#DIV/0!</v>
      </c>
      <c r="AE135" s="8" t="e">
        <f t="shared" si="135"/>
        <v>#DIV/0!</v>
      </c>
      <c r="AF135" s="2" t="e">
        <f t="shared" si="109"/>
        <v>#DIV/0!</v>
      </c>
      <c r="AG135" s="2" t="e">
        <f t="shared" si="141"/>
        <v>#DIV/0!</v>
      </c>
      <c r="AI135" s="8" t="e">
        <f t="shared" si="136"/>
        <v>#DIV/0!</v>
      </c>
      <c r="AJ135" s="2" t="e">
        <f t="shared" si="111"/>
        <v>#DIV/0!</v>
      </c>
      <c r="AK135" s="2" t="e">
        <f t="shared" si="112"/>
        <v>#DIV/0!</v>
      </c>
      <c r="AN135" s="8" t="e">
        <f t="shared" si="137"/>
        <v>#DIV/0!</v>
      </c>
      <c r="AO135" s="2" t="e">
        <f t="shared" si="113"/>
        <v>#DIV/0!</v>
      </c>
      <c r="AP135" s="2" t="e">
        <f t="shared" si="119"/>
        <v>#DIV/0!</v>
      </c>
      <c r="AS135" s="8" t="e">
        <f t="shared" si="138"/>
        <v>#DIV/0!</v>
      </c>
      <c r="AT135" s="2" t="e">
        <f t="shared" si="114"/>
        <v>#DIV/0!</v>
      </c>
      <c r="AU135" s="2" t="e">
        <f t="shared" si="115"/>
        <v>#DIV/0!</v>
      </c>
    </row>
    <row r="136" spans="1:47" x14ac:dyDescent="0.2">
      <c r="A136" s="2">
        <f t="shared" si="103"/>
        <v>8.4999999999999911</v>
      </c>
      <c r="B136" s="2">
        <f t="shared" si="104"/>
        <v>2.0346836901064598E-4</v>
      </c>
      <c r="C136" s="2">
        <f t="shared" si="120"/>
        <v>2.0346836901064598E-4</v>
      </c>
      <c r="D136" s="8">
        <f t="shared" si="121"/>
        <v>2.0346836901064598E-4</v>
      </c>
      <c r="E136" s="2">
        <f t="shared" si="122"/>
        <v>2.0346836901064598E-4</v>
      </c>
      <c r="G136" s="8" t="e">
        <f t="shared" si="123"/>
        <v>#DIV/0!</v>
      </c>
      <c r="H136" s="2" t="e">
        <f t="shared" si="124"/>
        <v>#DIV/0!</v>
      </c>
      <c r="J136" s="8">
        <f t="shared" si="125"/>
        <v>1.6174710056386488E-2</v>
      </c>
      <c r="K136" s="2">
        <f t="shared" si="126"/>
        <v>1.6174710056386488E-2</v>
      </c>
      <c r="M136" s="8">
        <f t="shared" si="127"/>
        <v>0.10526315789473684</v>
      </c>
      <c r="N136" s="2">
        <f t="shared" si="128"/>
        <v>0.10526315789473684</v>
      </c>
      <c r="P136" s="8">
        <f t="shared" si="129"/>
        <v>2.034683690106398E-4</v>
      </c>
      <c r="Q136" s="2">
        <f t="shared" si="130"/>
        <v>2.034683690106398E-4</v>
      </c>
      <c r="S136" s="8">
        <f t="shared" si="131"/>
        <v>1.6174710056386488E-2</v>
      </c>
      <c r="T136" s="2">
        <f t="shared" si="132"/>
        <v>1.6174710056386488E-2</v>
      </c>
      <c r="W136" s="8" t="e">
        <f t="shared" si="133"/>
        <v>#DIV/0!</v>
      </c>
      <c r="X136" s="2" t="e">
        <f t="shared" si="105"/>
        <v>#DIV/0!</v>
      </c>
      <c r="Y136" s="2" t="e">
        <f t="shared" si="139"/>
        <v>#DIV/0!</v>
      </c>
      <c r="AA136" s="8" t="e">
        <f t="shared" si="134"/>
        <v>#DIV/0!</v>
      </c>
      <c r="AB136" s="2" t="e">
        <f t="shared" si="107"/>
        <v>#DIV/0!</v>
      </c>
      <c r="AC136" s="2" t="e">
        <f t="shared" si="140"/>
        <v>#DIV/0!</v>
      </c>
      <c r="AE136" s="8" t="e">
        <f t="shared" si="135"/>
        <v>#DIV/0!</v>
      </c>
      <c r="AF136" s="2" t="e">
        <f t="shared" si="109"/>
        <v>#DIV/0!</v>
      </c>
      <c r="AG136" s="2" t="e">
        <f t="shared" si="141"/>
        <v>#DIV/0!</v>
      </c>
      <c r="AI136" s="8" t="e">
        <f t="shared" si="136"/>
        <v>#DIV/0!</v>
      </c>
      <c r="AJ136" s="2" t="e">
        <f t="shared" si="111"/>
        <v>#DIV/0!</v>
      </c>
      <c r="AK136" s="2" t="e">
        <f t="shared" si="112"/>
        <v>#DIV/0!</v>
      </c>
      <c r="AN136" s="8" t="e">
        <f t="shared" si="137"/>
        <v>#DIV/0!</v>
      </c>
      <c r="AO136" s="2" t="e">
        <f t="shared" si="113"/>
        <v>#DIV/0!</v>
      </c>
      <c r="AP136" s="2" t="e">
        <f t="shared" si="119"/>
        <v>#DIV/0!</v>
      </c>
      <c r="AS136" s="8" t="e">
        <f t="shared" si="138"/>
        <v>#DIV/0!</v>
      </c>
      <c r="AT136" s="2" t="e">
        <f t="shared" si="114"/>
        <v>#DIV/0!</v>
      </c>
      <c r="AU136" s="2" t="e">
        <f t="shared" si="115"/>
        <v>#DIV/0!</v>
      </c>
    </row>
    <row r="137" spans="1:47" x14ac:dyDescent="0.2">
      <c r="A137" s="2">
        <f t="shared" si="103"/>
        <v>8.583333333333325</v>
      </c>
      <c r="B137" s="2">
        <f t="shared" si="104"/>
        <v>1.8719993646198281E-4</v>
      </c>
      <c r="C137" s="2">
        <f t="shared" si="120"/>
        <v>1.8719993646198281E-4</v>
      </c>
      <c r="D137" s="8">
        <f t="shared" si="121"/>
        <v>1.8719993646198281E-4</v>
      </c>
      <c r="E137" s="2">
        <f t="shared" si="122"/>
        <v>1.8719993646198281E-4</v>
      </c>
      <c r="G137" s="8" t="e">
        <f t="shared" si="123"/>
        <v>#DIV/0!</v>
      </c>
      <c r="H137" s="2" t="e">
        <f t="shared" si="124"/>
        <v>#DIV/0!</v>
      </c>
      <c r="J137" s="8">
        <f t="shared" si="125"/>
        <v>1.5784635255215118E-2</v>
      </c>
      <c r="K137" s="2">
        <f t="shared" si="126"/>
        <v>1.5784635255215118E-2</v>
      </c>
      <c r="M137" s="8">
        <f t="shared" si="127"/>
        <v>0.1043478260869567</v>
      </c>
      <c r="N137" s="2">
        <f t="shared" si="128"/>
        <v>0.1043478260869567</v>
      </c>
      <c r="P137" s="8">
        <f t="shared" si="129"/>
        <v>1.8719993646199029E-4</v>
      </c>
      <c r="Q137" s="2">
        <f t="shared" si="130"/>
        <v>1.8719993646199029E-4</v>
      </c>
      <c r="S137" s="8">
        <f t="shared" si="131"/>
        <v>1.5784635255215118E-2</v>
      </c>
      <c r="T137" s="2">
        <f t="shared" si="132"/>
        <v>1.5784635255215118E-2</v>
      </c>
      <c r="W137" s="8" t="e">
        <f t="shared" si="133"/>
        <v>#DIV/0!</v>
      </c>
      <c r="X137" s="2" t="e">
        <f t="shared" si="105"/>
        <v>#DIV/0!</v>
      </c>
      <c r="Y137" s="2" t="e">
        <f t="shared" si="139"/>
        <v>#DIV/0!</v>
      </c>
      <c r="AA137" s="8" t="e">
        <f t="shared" si="134"/>
        <v>#DIV/0!</v>
      </c>
      <c r="AB137" s="2" t="e">
        <f t="shared" si="107"/>
        <v>#DIV/0!</v>
      </c>
      <c r="AC137" s="2" t="e">
        <f t="shared" si="140"/>
        <v>#DIV/0!</v>
      </c>
      <c r="AE137" s="8" t="e">
        <f t="shared" si="135"/>
        <v>#DIV/0!</v>
      </c>
      <c r="AF137" s="2" t="e">
        <f t="shared" si="109"/>
        <v>#DIV/0!</v>
      </c>
      <c r="AG137" s="2" t="e">
        <f t="shared" si="141"/>
        <v>#DIV/0!</v>
      </c>
      <c r="AI137" s="8" t="e">
        <f t="shared" si="136"/>
        <v>#DIV/0!</v>
      </c>
      <c r="AJ137" s="2" t="e">
        <f t="shared" si="111"/>
        <v>#DIV/0!</v>
      </c>
      <c r="AK137" s="2" t="e">
        <f t="shared" si="112"/>
        <v>#DIV/0!</v>
      </c>
      <c r="AN137" s="8" t="e">
        <f t="shared" si="137"/>
        <v>#DIV/0!</v>
      </c>
      <c r="AO137" s="2" t="e">
        <f t="shared" si="113"/>
        <v>#DIV/0!</v>
      </c>
      <c r="AP137" s="2" t="e">
        <f t="shared" si="119"/>
        <v>#DIV/0!</v>
      </c>
      <c r="AS137" s="8" t="e">
        <f t="shared" si="138"/>
        <v>#DIV/0!</v>
      </c>
      <c r="AT137" s="2" t="e">
        <f t="shared" si="114"/>
        <v>#DIV/0!</v>
      </c>
      <c r="AU137" s="2" t="e">
        <f t="shared" si="115"/>
        <v>#DIV/0!</v>
      </c>
    </row>
    <row r="138" spans="1:47" x14ac:dyDescent="0.2">
      <c r="A138" s="2">
        <f t="shared" si="103"/>
        <v>8.666666666666659</v>
      </c>
      <c r="B138" s="2">
        <f t="shared" si="104"/>
        <v>1.7223225596081138E-4</v>
      </c>
      <c r="C138" s="2">
        <f t="shared" si="120"/>
        <v>1.7223225596081138E-4</v>
      </c>
      <c r="D138" s="8">
        <f t="shared" si="121"/>
        <v>1.7223225596081138E-4</v>
      </c>
      <c r="E138" s="2">
        <f t="shared" si="122"/>
        <v>1.7223225596081138E-4</v>
      </c>
      <c r="G138" s="8" t="e">
        <f t="shared" si="123"/>
        <v>#DIV/0!</v>
      </c>
      <c r="H138" s="2" t="e">
        <f t="shared" si="124"/>
        <v>#DIV/0!</v>
      </c>
      <c r="J138" s="8">
        <f t="shared" si="125"/>
        <v>1.5406308992909512E-2</v>
      </c>
      <c r="K138" s="2">
        <f t="shared" si="126"/>
        <v>1.5406308992909512E-2</v>
      </c>
      <c r="M138" s="8">
        <f t="shared" si="127"/>
        <v>0.10344827586206895</v>
      </c>
      <c r="N138" s="2">
        <f t="shared" si="128"/>
        <v>0.10344827586206895</v>
      </c>
      <c r="P138" s="8">
        <f t="shared" si="129"/>
        <v>1.7223225596085801E-4</v>
      </c>
      <c r="Q138" s="2">
        <f t="shared" si="130"/>
        <v>1.7223225596085801E-4</v>
      </c>
      <c r="S138" s="8">
        <f t="shared" si="131"/>
        <v>1.5406308992909512E-2</v>
      </c>
      <c r="T138" s="2">
        <f t="shared" si="132"/>
        <v>1.5406308992909512E-2</v>
      </c>
      <c r="W138" s="8" t="e">
        <f t="shared" si="133"/>
        <v>#DIV/0!</v>
      </c>
      <c r="X138" s="2" t="e">
        <f t="shared" si="105"/>
        <v>#DIV/0!</v>
      </c>
      <c r="Y138" s="2" t="e">
        <f t="shared" si="139"/>
        <v>#DIV/0!</v>
      </c>
      <c r="AA138" s="8" t="e">
        <f t="shared" si="134"/>
        <v>#DIV/0!</v>
      </c>
      <c r="AB138" s="2" t="e">
        <f t="shared" si="107"/>
        <v>#DIV/0!</v>
      </c>
      <c r="AC138" s="2" t="e">
        <f t="shared" si="140"/>
        <v>#DIV/0!</v>
      </c>
      <c r="AE138" s="8" t="e">
        <f t="shared" si="135"/>
        <v>#DIV/0!</v>
      </c>
      <c r="AF138" s="2" t="e">
        <f t="shared" si="109"/>
        <v>#DIV/0!</v>
      </c>
      <c r="AG138" s="2" t="e">
        <f t="shared" si="141"/>
        <v>#DIV/0!</v>
      </c>
      <c r="AI138" s="8" t="e">
        <f t="shared" si="136"/>
        <v>#DIV/0!</v>
      </c>
      <c r="AJ138" s="2" t="e">
        <f t="shared" si="111"/>
        <v>#DIV/0!</v>
      </c>
      <c r="AK138" s="2" t="e">
        <f t="shared" si="112"/>
        <v>#DIV/0!</v>
      </c>
      <c r="AN138" s="8" t="e">
        <f t="shared" si="137"/>
        <v>#DIV/0!</v>
      </c>
      <c r="AO138" s="2" t="e">
        <f t="shared" si="113"/>
        <v>#DIV/0!</v>
      </c>
      <c r="AP138" s="2" t="e">
        <f t="shared" si="119"/>
        <v>#DIV/0!</v>
      </c>
      <c r="AS138" s="8" t="e">
        <f t="shared" si="138"/>
        <v>#DIV/0!</v>
      </c>
      <c r="AT138" s="2" t="e">
        <f t="shared" si="114"/>
        <v>#DIV/0!</v>
      </c>
      <c r="AU138" s="2" t="e">
        <f t="shared" si="115"/>
        <v>#DIV/0!</v>
      </c>
    </row>
    <row r="139" spans="1:47" x14ac:dyDescent="0.2">
      <c r="A139" s="2">
        <f t="shared" si="103"/>
        <v>8.7499999999999929</v>
      </c>
      <c r="B139" s="2">
        <f t="shared" si="104"/>
        <v>1.5846132511575237E-4</v>
      </c>
      <c r="C139" s="2">
        <f t="shared" si="120"/>
        <v>1.5846132511575237E-4</v>
      </c>
      <c r="D139" s="8">
        <f t="shared" si="121"/>
        <v>1.5846132511575237E-4</v>
      </c>
      <c r="E139" s="2">
        <f t="shared" si="122"/>
        <v>1.5846132511575237E-4</v>
      </c>
      <c r="G139" s="8" t="e">
        <f t="shared" si="123"/>
        <v>#DIV/0!</v>
      </c>
      <c r="H139" s="2" t="e">
        <f t="shared" si="124"/>
        <v>#DIV/0!</v>
      </c>
      <c r="J139" s="8">
        <f t="shared" si="125"/>
        <v>1.5039303599632015E-2</v>
      </c>
      <c r="K139" s="2">
        <f t="shared" si="126"/>
        <v>1.5039303599632015E-2</v>
      </c>
      <c r="M139" s="8">
        <f t="shared" si="127"/>
        <v>0.10256410256410264</v>
      </c>
      <c r="N139" s="2">
        <f t="shared" si="128"/>
        <v>0.10256410256410264</v>
      </c>
      <c r="P139" s="8">
        <f t="shared" si="129"/>
        <v>1.5846132511576627E-4</v>
      </c>
      <c r="Q139" s="2">
        <f t="shared" si="130"/>
        <v>1.5846132511576627E-4</v>
      </c>
      <c r="S139" s="8">
        <f t="shared" si="131"/>
        <v>1.5039303599632015E-2</v>
      </c>
      <c r="T139" s="2">
        <f t="shared" si="132"/>
        <v>1.5039303599632015E-2</v>
      </c>
      <c r="W139" s="8" t="e">
        <f t="shared" si="133"/>
        <v>#DIV/0!</v>
      </c>
      <c r="X139" s="2" t="e">
        <f t="shared" si="105"/>
        <v>#DIV/0!</v>
      </c>
      <c r="Y139" s="2" t="e">
        <f t="shared" si="139"/>
        <v>#DIV/0!</v>
      </c>
      <c r="AA139" s="8" t="e">
        <f t="shared" si="134"/>
        <v>#DIV/0!</v>
      </c>
      <c r="AB139" s="2" t="e">
        <f t="shared" si="107"/>
        <v>#DIV/0!</v>
      </c>
      <c r="AC139" s="2" t="e">
        <f t="shared" si="140"/>
        <v>#DIV/0!</v>
      </c>
      <c r="AE139" s="8" t="e">
        <f t="shared" si="135"/>
        <v>#DIV/0!</v>
      </c>
      <c r="AF139" s="2" t="e">
        <f t="shared" si="109"/>
        <v>#DIV/0!</v>
      </c>
      <c r="AG139" s="2" t="e">
        <f t="shared" si="141"/>
        <v>#DIV/0!</v>
      </c>
      <c r="AI139" s="8" t="e">
        <f t="shared" si="136"/>
        <v>#DIV/0!</v>
      </c>
      <c r="AJ139" s="2" t="e">
        <f t="shared" si="111"/>
        <v>#DIV/0!</v>
      </c>
      <c r="AK139" s="2" t="e">
        <f t="shared" si="112"/>
        <v>#DIV/0!</v>
      </c>
      <c r="AN139" s="8" t="e">
        <f t="shared" si="137"/>
        <v>#DIV/0!</v>
      </c>
      <c r="AO139" s="2" t="e">
        <f t="shared" si="113"/>
        <v>#DIV/0!</v>
      </c>
      <c r="AP139" s="2" t="e">
        <f t="shared" si="119"/>
        <v>#DIV/0!</v>
      </c>
      <c r="AS139" s="8" t="e">
        <f t="shared" si="138"/>
        <v>#DIV/0!</v>
      </c>
      <c r="AT139" s="2" t="e">
        <f t="shared" si="114"/>
        <v>#DIV/0!</v>
      </c>
      <c r="AU139" s="2" t="e">
        <f t="shared" si="115"/>
        <v>#DIV/0!</v>
      </c>
    </row>
    <row r="140" spans="1:47" x14ac:dyDescent="0.2">
      <c r="A140" s="2">
        <f t="shared" si="103"/>
        <v>8.8333333333333268</v>
      </c>
      <c r="B140" s="2">
        <f t="shared" si="104"/>
        <v>1.4579145710750919E-4</v>
      </c>
      <c r="C140" s="2">
        <f t="shared" si="120"/>
        <v>1.4579145710750919E-4</v>
      </c>
      <c r="D140" s="8">
        <f t="shared" si="121"/>
        <v>1.4579145710750919E-4</v>
      </c>
      <c r="E140" s="2">
        <f t="shared" si="122"/>
        <v>1.4579145710750919E-4</v>
      </c>
      <c r="G140" s="8" t="e">
        <f t="shared" si="123"/>
        <v>#DIV/0!</v>
      </c>
      <c r="H140" s="2" t="e">
        <f t="shared" si="124"/>
        <v>#DIV/0!</v>
      </c>
      <c r="J140" s="8">
        <f t="shared" si="125"/>
        <v>1.4683209740778969E-2</v>
      </c>
      <c r="K140" s="2">
        <f t="shared" si="126"/>
        <v>1.4683209740778969E-2</v>
      </c>
      <c r="M140" s="8">
        <f t="shared" si="127"/>
        <v>0.10169491525423724</v>
      </c>
      <c r="N140" s="2">
        <f t="shared" si="128"/>
        <v>0.10169491525423724</v>
      </c>
      <c r="P140" s="8">
        <f t="shared" si="129"/>
        <v>1.4579145710746921E-4</v>
      </c>
      <c r="Q140" s="2">
        <f t="shared" si="130"/>
        <v>1.4579145710746921E-4</v>
      </c>
      <c r="S140" s="8">
        <f t="shared" si="131"/>
        <v>1.4683209740778969E-2</v>
      </c>
      <c r="T140" s="2">
        <f t="shared" si="132"/>
        <v>1.4683209740778969E-2</v>
      </c>
      <c r="W140" s="8" t="e">
        <f t="shared" si="133"/>
        <v>#DIV/0!</v>
      </c>
      <c r="X140" s="2" t="e">
        <f t="shared" si="105"/>
        <v>#DIV/0!</v>
      </c>
      <c r="Y140" s="2" t="e">
        <f t="shared" si="139"/>
        <v>#DIV/0!</v>
      </c>
      <c r="AA140" s="8" t="e">
        <f t="shared" si="134"/>
        <v>#DIV/0!</v>
      </c>
      <c r="AB140" s="2" t="e">
        <f t="shared" si="107"/>
        <v>#DIV/0!</v>
      </c>
      <c r="AC140" s="2" t="e">
        <f t="shared" si="140"/>
        <v>#DIV/0!</v>
      </c>
      <c r="AE140" s="8" t="e">
        <f t="shared" si="135"/>
        <v>#DIV/0!</v>
      </c>
      <c r="AF140" s="2" t="e">
        <f t="shared" si="109"/>
        <v>#DIV/0!</v>
      </c>
      <c r="AG140" s="2" t="e">
        <f t="shared" si="141"/>
        <v>#DIV/0!</v>
      </c>
      <c r="AI140" s="8" t="e">
        <f t="shared" si="136"/>
        <v>#DIV/0!</v>
      </c>
      <c r="AJ140" s="2" t="e">
        <f t="shared" si="111"/>
        <v>#DIV/0!</v>
      </c>
      <c r="AK140" s="2" t="e">
        <f t="shared" si="112"/>
        <v>#DIV/0!</v>
      </c>
      <c r="AN140" s="8" t="e">
        <f t="shared" si="137"/>
        <v>#DIV/0!</v>
      </c>
      <c r="AO140" s="2" t="e">
        <f t="shared" si="113"/>
        <v>#DIV/0!</v>
      </c>
      <c r="AP140" s="2" t="e">
        <f t="shared" si="119"/>
        <v>#DIV/0!</v>
      </c>
      <c r="AS140" s="8" t="e">
        <f t="shared" si="138"/>
        <v>#DIV/0!</v>
      </c>
      <c r="AT140" s="2" t="e">
        <f t="shared" si="114"/>
        <v>#DIV/0!</v>
      </c>
      <c r="AU140" s="2" t="e">
        <f t="shared" si="115"/>
        <v>#DIV/0!</v>
      </c>
    </row>
    <row r="141" spans="1:47" x14ac:dyDescent="0.2">
      <c r="A141" s="2">
        <f t="shared" si="103"/>
        <v>8.9166666666666607</v>
      </c>
      <c r="B141" s="2">
        <f t="shared" si="104"/>
        <v>1.341346158124343E-4</v>
      </c>
      <c r="C141" s="2">
        <f t="shared" si="120"/>
        <v>1.341346158124343E-4</v>
      </c>
      <c r="D141" s="8">
        <f t="shared" si="121"/>
        <v>1.341346158124343E-4</v>
      </c>
      <c r="E141" s="2">
        <f t="shared" si="122"/>
        <v>1.341346158124343E-4</v>
      </c>
      <c r="G141" s="8" t="e">
        <f t="shared" si="123"/>
        <v>#DIV/0!</v>
      </c>
      <c r="H141" s="2" t="e">
        <f t="shared" si="124"/>
        <v>#DIV/0!</v>
      </c>
      <c r="J141" s="8">
        <f t="shared" si="125"/>
        <v>1.4337635510141555E-2</v>
      </c>
      <c r="K141" s="2">
        <f t="shared" si="126"/>
        <v>1.4337635510141555E-2</v>
      </c>
      <c r="M141" s="8">
        <f t="shared" si="127"/>
        <v>0.10084033613445376</v>
      </c>
      <c r="N141" s="2">
        <f t="shared" si="128"/>
        <v>0.10084033613445376</v>
      </c>
      <c r="P141" s="8">
        <f t="shared" si="129"/>
        <v>1.3413461581246455E-4</v>
      </c>
      <c r="Q141" s="2">
        <f t="shared" si="130"/>
        <v>1.3413461581246455E-4</v>
      </c>
      <c r="S141" s="8">
        <f t="shared" si="131"/>
        <v>1.4337635510141555E-2</v>
      </c>
      <c r="T141" s="2">
        <f t="shared" si="132"/>
        <v>1.4337635510141555E-2</v>
      </c>
      <c r="W141" s="8" t="e">
        <f t="shared" si="133"/>
        <v>#DIV/0!</v>
      </c>
      <c r="X141" s="2" t="e">
        <f t="shared" si="105"/>
        <v>#DIV/0!</v>
      </c>
      <c r="Y141" s="2" t="e">
        <f t="shared" si="139"/>
        <v>#DIV/0!</v>
      </c>
      <c r="AA141" s="8" t="e">
        <f t="shared" si="134"/>
        <v>#DIV/0!</v>
      </c>
      <c r="AB141" s="2" t="e">
        <f t="shared" si="107"/>
        <v>#DIV/0!</v>
      </c>
      <c r="AC141" s="2" t="e">
        <f t="shared" si="140"/>
        <v>#DIV/0!</v>
      </c>
      <c r="AE141" s="8" t="e">
        <f t="shared" si="135"/>
        <v>#DIV/0!</v>
      </c>
      <c r="AF141" s="2" t="e">
        <f t="shared" si="109"/>
        <v>#DIV/0!</v>
      </c>
      <c r="AG141" s="2" t="e">
        <f t="shared" si="141"/>
        <v>#DIV/0!</v>
      </c>
      <c r="AI141" s="8" t="e">
        <f t="shared" si="136"/>
        <v>#DIV/0!</v>
      </c>
      <c r="AJ141" s="2" t="e">
        <f t="shared" si="111"/>
        <v>#DIV/0!</v>
      </c>
      <c r="AK141" s="2" t="e">
        <f t="shared" si="112"/>
        <v>#DIV/0!</v>
      </c>
      <c r="AN141" s="8" t="e">
        <f t="shared" si="137"/>
        <v>#DIV/0!</v>
      </c>
      <c r="AO141" s="2" t="e">
        <f t="shared" si="113"/>
        <v>#DIV/0!</v>
      </c>
      <c r="AP141" s="2" t="e">
        <f t="shared" si="119"/>
        <v>#DIV/0!</v>
      </c>
      <c r="AS141" s="8" t="e">
        <f t="shared" si="138"/>
        <v>#DIV/0!</v>
      </c>
      <c r="AT141" s="2" t="e">
        <f t="shared" si="114"/>
        <v>#DIV/0!</v>
      </c>
      <c r="AU141" s="2" t="e">
        <f t="shared" si="115"/>
        <v>#DIV/0!</v>
      </c>
    </row>
    <row r="142" spans="1:47" x14ac:dyDescent="0.2">
      <c r="A142" s="2">
        <f t="shared" si="103"/>
        <v>8.9999999999999947</v>
      </c>
      <c r="B142" s="2">
        <f t="shared" si="104"/>
        <v>1.2340980408668021E-4</v>
      </c>
      <c r="C142" s="2">
        <f t="shared" si="120"/>
        <v>1.2340980408668021E-4</v>
      </c>
      <c r="D142" s="8">
        <f t="shared" si="121"/>
        <v>1.2340980408668021E-4</v>
      </c>
      <c r="E142" s="2">
        <f t="shared" si="122"/>
        <v>1.2340980408668021E-4</v>
      </c>
      <c r="G142" s="8" t="e">
        <f t="shared" si="123"/>
        <v>#DIV/0!</v>
      </c>
      <c r="H142" s="2" t="e">
        <f t="shared" si="124"/>
        <v>#DIV/0!</v>
      </c>
      <c r="J142" s="8">
        <f t="shared" si="125"/>
        <v>1.4002205573945048E-2</v>
      </c>
      <c r="K142" s="2">
        <f t="shared" si="126"/>
        <v>1.4002205573945048E-2</v>
      </c>
      <c r="M142" s="8">
        <f t="shared" si="127"/>
        <v>0.10000000000000009</v>
      </c>
      <c r="N142" s="2">
        <f t="shared" si="128"/>
        <v>0.10000000000000009</v>
      </c>
      <c r="P142" s="8">
        <f t="shared" si="129"/>
        <v>1.2340980408664937E-4</v>
      </c>
      <c r="Q142" s="2">
        <f t="shared" si="130"/>
        <v>1.2340980408664937E-4</v>
      </c>
      <c r="S142" s="8">
        <f t="shared" si="131"/>
        <v>1.4002205573945048E-2</v>
      </c>
      <c r="T142" s="2">
        <f t="shared" si="132"/>
        <v>1.4002205573945048E-2</v>
      </c>
      <c r="W142" s="8" t="e">
        <f t="shared" si="133"/>
        <v>#DIV/0!</v>
      </c>
      <c r="X142" s="2" t="e">
        <f t="shared" si="105"/>
        <v>#DIV/0!</v>
      </c>
      <c r="Y142" s="2" t="e">
        <f t="shared" si="139"/>
        <v>#DIV/0!</v>
      </c>
      <c r="AA142" s="8" t="e">
        <f t="shared" si="134"/>
        <v>#DIV/0!</v>
      </c>
      <c r="AB142" s="2" t="e">
        <f t="shared" si="107"/>
        <v>#DIV/0!</v>
      </c>
      <c r="AC142" s="2" t="e">
        <f t="shared" si="140"/>
        <v>#DIV/0!</v>
      </c>
      <c r="AE142" s="8" t="e">
        <f t="shared" si="135"/>
        <v>#DIV/0!</v>
      </c>
      <c r="AF142" s="2" t="e">
        <f t="shared" si="109"/>
        <v>#DIV/0!</v>
      </c>
      <c r="AG142" s="2" t="e">
        <f t="shared" si="141"/>
        <v>#DIV/0!</v>
      </c>
      <c r="AI142" s="8" t="e">
        <f t="shared" si="136"/>
        <v>#DIV/0!</v>
      </c>
      <c r="AJ142" s="2" t="e">
        <f t="shared" si="111"/>
        <v>#DIV/0!</v>
      </c>
      <c r="AK142" s="2" t="e">
        <f t="shared" si="112"/>
        <v>#DIV/0!</v>
      </c>
      <c r="AN142" s="8" t="e">
        <f t="shared" si="137"/>
        <v>#DIV/0!</v>
      </c>
      <c r="AO142" s="2" t="e">
        <f t="shared" si="113"/>
        <v>#DIV/0!</v>
      </c>
      <c r="AP142" s="2" t="e">
        <f t="shared" si="119"/>
        <v>#DIV/0!</v>
      </c>
      <c r="AS142" s="8" t="e">
        <f t="shared" si="138"/>
        <v>#DIV/0!</v>
      </c>
      <c r="AT142" s="2" t="e">
        <f t="shared" si="114"/>
        <v>#DIV/0!</v>
      </c>
      <c r="AU142" s="2" t="e">
        <f t="shared" si="115"/>
        <v>#DIV/0!</v>
      </c>
    </row>
    <row r="143" spans="1:47" x14ac:dyDescent="0.2">
      <c r="A143" s="2">
        <f t="shared" si="103"/>
        <v>9.0833333333333286</v>
      </c>
      <c r="B143" s="2">
        <f t="shared" si="104"/>
        <v>1.1354250096044909E-4</v>
      </c>
      <c r="C143" s="2">
        <f t="shared" si="120"/>
        <v>1.1354250096044909E-4</v>
      </c>
      <c r="D143" s="8">
        <f t="shared" si="121"/>
        <v>1.1354250096044909E-4</v>
      </c>
      <c r="E143" s="2">
        <f t="shared" si="122"/>
        <v>1.1354250096044909E-4</v>
      </c>
      <c r="G143" s="8" t="e">
        <f t="shared" si="123"/>
        <v>#DIV/0!</v>
      </c>
      <c r="H143" s="2" t="e">
        <f t="shared" si="124"/>
        <v>#DIV/0!</v>
      </c>
      <c r="J143" s="8">
        <f t="shared" si="125"/>
        <v>1.3676560362576251E-2</v>
      </c>
      <c r="K143" s="2">
        <f t="shared" si="126"/>
        <v>1.3676560362576251E-2</v>
      </c>
      <c r="M143" s="8">
        <f t="shared" si="127"/>
        <v>9.9173553719008267E-2</v>
      </c>
      <c r="N143" s="2">
        <f t="shared" si="128"/>
        <v>9.9173553719008267E-2</v>
      </c>
      <c r="P143" s="8">
        <f t="shared" si="129"/>
        <v>1.135425009604063E-4</v>
      </c>
      <c r="Q143" s="2">
        <f t="shared" si="130"/>
        <v>1.135425009604063E-4</v>
      </c>
      <c r="S143" s="8">
        <f t="shared" si="131"/>
        <v>1.3676560362576251E-2</v>
      </c>
      <c r="T143" s="2">
        <f t="shared" si="132"/>
        <v>1.3676560362576251E-2</v>
      </c>
      <c r="W143" s="8" t="e">
        <f t="shared" si="133"/>
        <v>#DIV/0!</v>
      </c>
      <c r="X143" s="2" t="e">
        <f t="shared" si="105"/>
        <v>#DIV/0!</v>
      </c>
      <c r="Y143" s="2" t="e">
        <f t="shared" si="139"/>
        <v>#DIV/0!</v>
      </c>
      <c r="AA143" s="8" t="e">
        <f t="shared" si="134"/>
        <v>#DIV/0!</v>
      </c>
      <c r="AB143" s="2" t="e">
        <f t="shared" si="107"/>
        <v>#DIV/0!</v>
      </c>
      <c r="AC143" s="2" t="e">
        <f t="shared" si="140"/>
        <v>#DIV/0!</v>
      </c>
      <c r="AE143" s="8" t="e">
        <f t="shared" si="135"/>
        <v>#DIV/0!</v>
      </c>
      <c r="AF143" s="2" t="e">
        <f t="shared" si="109"/>
        <v>#DIV/0!</v>
      </c>
      <c r="AG143" s="2" t="e">
        <f t="shared" si="141"/>
        <v>#DIV/0!</v>
      </c>
      <c r="AI143" s="8" t="e">
        <f t="shared" si="136"/>
        <v>#DIV/0!</v>
      </c>
      <c r="AJ143" s="2" t="e">
        <f t="shared" si="111"/>
        <v>#DIV/0!</v>
      </c>
      <c r="AK143" s="2" t="e">
        <f t="shared" si="112"/>
        <v>#DIV/0!</v>
      </c>
      <c r="AN143" s="8" t="e">
        <f t="shared" si="137"/>
        <v>#DIV/0!</v>
      </c>
      <c r="AO143" s="2" t="e">
        <f t="shared" si="113"/>
        <v>#DIV/0!</v>
      </c>
      <c r="AP143" s="2" t="e">
        <f t="shared" si="119"/>
        <v>#DIV/0!</v>
      </c>
      <c r="AS143" s="8" t="e">
        <f t="shared" si="138"/>
        <v>#DIV/0!</v>
      </c>
      <c r="AT143" s="2" t="e">
        <f t="shared" si="114"/>
        <v>#DIV/0!</v>
      </c>
      <c r="AU143" s="2" t="e">
        <f t="shared" si="115"/>
        <v>#DIV/0!</v>
      </c>
    </row>
    <row r="144" spans="1:47" x14ac:dyDescent="0.2">
      <c r="A144" s="2">
        <f t="shared" si="103"/>
        <v>9.1666666666666625</v>
      </c>
      <c r="B144" s="2">
        <f t="shared" si="104"/>
        <v>1.044641438317057E-4</v>
      </c>
      <c r="C144" s="2">
        <f t="shared" si="120"/>
        <v>1.044641438317057E-4</v>
      </c>
      <c r="D144" s="8">
        <f t="shared" si="121"/>
        <v>1.044641438317057E-4</v>
      </c>
      <c r="E144" s="2">
        <f t="shared" si="122"/>
        <v>1.044641438317057E-4</v>
      </c>
      <c r="G144" s="8" t="e">
        <f t="shared" si="123"/>
        <v>#DIV/0!</v>
      </c>
      <c r="H144" s="2" t="e">
        <f t="shared" si="124"/>
        <v>#DIV/0!</v>
      </c>
      <c r="J144" s="8">
        <f t="shared" si="125"/>
        <v>1.3360355307023286E-2</v>
      </c>
      <c r="K144" s="2">
        <f t="shared" si="126"/>
        <v>1.3360355307023286E-2</v>
      </c>
      <c r="M144" s="8">
        <f t="shared" si="127"/>
        <v>9.8360655737704916E-2</v>
      </c>
      <c r="N144" s="2">
        <f t="shared" si="128"/>
        <v>9.8360655737704916E-2</v>
      </c>
      <c r="P144" s="8">
        <f t="shared" si="129"/>
        <v>1.0446414383169511E-4</v>
      </c>
      <c r="Q144" s="2">
        <f t="shared" si="130"/>
        <v>1.0446414383169511E-4</v>
      </c>
      <c r="S144" s="8">
        <f t="shared" si="131"/>
        <v>1.3360355307023286E-2</v>
      </c>
      <c r="T144" s="2">
        <f t="shared" si="132"/>
        <v>1.3360355307023286E-2</v>
      </c>
      <c r="W144" s="8" t="e">
        <f t="shared" si="133"/>
        <v>#DIV/0!</v>
      </c>
      <c r="X144" s="2" t="e">
        <f t="shared" si="105"/>
        <v>#DIV/0!</v>
      </c>
      <c r="Y144" s="2" t="e">
        <f t="shared" si="139"/>
        <v>#DIV/0!</v>
      </c>
      <c r="AA144" s="8" t="e">
        <f t="shared" si="134"/>
        <v>#DIV/0!</v>
      </c>
      <c r="AB144" s="2" t="e">
        <f t="shared" si="107"/>
        <v>#DIV/0!</v>
      </c>
      <c r="AC144" s="2" t="e">
        <f t="shared" si="140"/>
        <v>#DIV/0!</v>
      </c>
      <c r="AE144" s="8" t="e">
        <f t="shared" si="135"/>
        <v>#DIV/0!</v>
      </c>
      <c r="AF144" s="2" t="e">
        <f t="shared" si="109"/>
        <v>#DIV/0!</v>
      </c>
      <c r="AG144" s="2" t="e">
        <f t="shared" si="141"/>
        <v>#DIV/0!</v>
      </c>
      <c r="AI144" s="8" t="e">
        <f t="shared" si="136"/>
        <v>#DIV/0!</v>
      </c>
      <c r="AJ144" s="2" t="e">
        <f t="shared" si="111"/>
        <v>#DIV/0!</v>
      </c>
      <c r="AK144" s="2" t="e">
        <f t="shared" si="112"/>
        <v>#DIV/0!</v>
      </c>
      <c r="AN144" s="8" t="e">
        <f t="shared" si="137"/>
        <v>#DIV/0!</v>
      </c>
      <c r="AO144" s="2" t="e">
        <f t="shared" si="113"/>
        <v>#DIV/0!</v>
      </c>
      <c r="AP144" s="2" t="e">
        <f t="shared" si="119"/>
        <v>#DIV/0!</v>
      </c>
      <c r="AS144" s="8" t="e">
        <f t="shared" si="138"/>
        <v>#DIV/0!</v>
      </c>
      <c r="AT144" s="2" t="e">
        <f t="shared" si="114"/>
        <v>#DIV/0!</v>
      </c>
      <c r="AU144" s="2" t="e">
        <f t="shared" si="115"/>
        <v>#DIV/0!</v>
      </c>
    </row>
    <row r="145" spans="1:47" x14ac:dyDescent="0.2">
      <c r="A145" s="2">
        <f t="shared" si="103"/>
        <v>9.2499999999999964</v>
      </c>
      <c r="B145" s="2">
        <f t="shared" si="104"/>
        <v>9.6111652061395034E-5</v>
      </c>
      <c r="C145" s="2">
        <f t="shared" si="120"/>
        <v>9.6111652061395034E-5</v>
      </c>
      <c r="D145" s="8">
        <f t="shared" si="121"/>
        <v>9.6111652061395034E-5</v>
      </c>
      <c r="E145" s="2">
        <f t="shared" si="122"/>
        <v>9.6111652061395034E-5</v>
      </c>
      <c r="G145" s="8" t="e">
        <f t="shared" si="123"/>
        <v>#DIV/0!</v>
      </c>
      <c r="H145" s="2" t="e">
        <f t="shared" si="124"/>
        <v>#DIV/0!</v>
      </c>
      <c r="J145" s="8">
        <f t="shared" si="125"/>
        <v>1.3053260117263377E-2</v>
      </c>
      <c r="K145" s="2">
        <f t="shared" si="126"/>
        <v>1.3053260117263377E-2</v>
      </c>
      <c r="M145" s="8">
        <f t="shared" si="127"/>
        <v>9.7560975609756073E-2</v>
      </c>
      <c r="N145" s="2">
        <f t="shared" si="128"/>
        <v>9.7560975609756073E-2</v>
      </c>
      <c r="P145" s="8">
        <f t="shared" si="129"/>
        <v>9.6111652061359187E-5</v>
      </c>
      <c r="Q145" s="2">
        <f t="shared" si="130"/>
        <v>9.6111652061359187E-5</v>
      </c>
      <c r="S145" s="8">
        <f t="shared" si="131"/>
        <v>1.3053260117263377E-2</v>
      </c>
      <c r="T145" s="2">
        <f t="shared" si="132"/>
        <v>1.3053260117263377E-2</v>
      </c>
      <c r="W145" s="8" t="e">
        <f t="shared" si="133"/>
        <v>#DIV/0!</v>
      </c>
      <c r="X145" s="2" t="e">
        <f t="shared" si="105"/>
        <v>#DIV/0!</v>
      </c>
      <c r="Y145" s="2" t="e">
        <f t="shared" si="139"/>
        <v>#DIV/0!</v>
      </c>
      <c r="AA145" s="8" t="e">
        <f t="shared" si="134"/>
        <v>#DIV/0!</v>
      </c>
      <c r="AB145" s="2" t="e">
        <f t="shared" si="107"/>
        <v>#DIV/0!</v>
      </c>
      <c r="AC145" s="2" t="e">
        <f t="shared" si="140"/>
        <v>#DIV/0!</v>
      </c>
      <c r="AE145" s="8" t="e">
        <f t="shared" si="135"/>
        <v>#DIV/0!</v>
      </c>
      <c r="AF145" s="2" t="e">
        <f t="shared" si="109"/>
        <v>#DIV/0!</v>
      </c>
      <c r="AG145" s="2" t="e">
        <f t="shared" si="141"/>
        <v>#DIV/0!</v>
      </c>
      <c r="AI145" s="8" t="e">
        <f t="shared" si="136"/>
        <v>#DIV/0!</v>
      </c>
      <c r="AJ145" s="2" t="e">
        <f t="shared" si="111"/>
        <v>#DIV/0!</v>
      </c>
      <c r="AK145" s="2" t="e">
        <f t="shared" si="112"/>
        <v>#DIV/0!</v>
      </c>
      <c r="AN145" s="8" t="e">
        <f t="shared" si="137"/>
        <v>#DIV/0!</v>
      </c>
      <c r="AO145" s="2" t="e">
        <f t="shared" si="113"/>
        <v>#DIV/0!</v>
      </c>
      <c r="AP145" s="2" t="e">
        <f t="shared" si="119"/>
        <v>#DIV/0!</v>
      </c>
      <c r="AS145" s="8" t="e">
        <f t="shared" si="138"/>
        <v>#DIV/0!</v>
      </c>
      <c r="AT145" s="2" t="e">
        <f t="shared" si="114"/>
        <v>#DIV/0!</v>
      </c>
      <c r="AU145" s="2" t="e">
        <f t="shared" si="115"/>
        <v>#DIV/0!</v>
      </c>
    </row>
    <row r="146" spans="1:47" x14ac:dyDescent="0.2">
      <c r="A146" s="2">
        <f t="shared" si="103"/>
        <v>9.3333333333333304</v>
      </c>
      <c r="B146" s="2">
        <f t="shared" si="104"/>
        <v>8.8426988659883328E-5</v>
      </c>
      <c r="C146" s="2">
        <f t="shared" si="120"/>
        <v>8.8426988659883328E-5</v>
      </c>
      <c r="D146" s="8">
        <f t="shared" si="121"/>
        <v>8.8426988659883328E-5</v>
      </c>
      <c r="E146" s="2">
        <f t="shared" si="122"/>
        <v>8.8426988659883328E-5</v>
      </c>
      <c r="G146" s="8" t="e">
        <f t="shared" si="123"/>
        <v>#DIV/0!</v>
      </c>
      <c r="H146" s="2" t="e">
        <f t="shared" si="124"/>
        <v>#DIV/0!</v>
      </c>
      <c r="J146" s="8">
        <f t="shared" si="125"/>
        <v>1.2754958100017921E-2</v>
      </c>
      <c r="K146" s="2">
        <f t="shared" si="126"/>
        <v>1.2754958100017921E-2</v>
      </c>
      <c r="M146" s="8">
        <f t="shared" si="127"/>
        <v>9.6774193548387122E-2</v>
      </c>
      <c r="N146" s="2">
        <f t="shared" si="128"/>
        <v>9.6774193548387122E-2</v>
      </c>
      <c r="P146" s="8">
        <f t="shared" si="129"/>
        <v>8.8426988659850991E-5</v>
      </c>
      <c r="Q146" s="2">
        <f t="shared" si="130"/>
        <v>8.8426988659850991E-5</v>
      </c>
      <c r="S146" s="8">
        <f t="shared" si="131"/>
        <v>1.2754958100017921E-2</v>
      </c>
      <c r="T146" s="2">
        <f t="shared" si="132"/>
        <v>1.2754958100017921E-2</v>
      </c>
      <c r="W146" s="8" t="e">
        <f t="shared" si="133"/>
        <v>#DIV/0!</v>
      </c>
      <c r="X146" s="2" t="e">
        <f t="shared" si="105"/>
        <v>#DIV/0!</v>
      </c>
      <c r="Y146" s="2" t="e">
        <f t="shared" si="139"/>
        <v>#DIV/0!</v>
      </c>
      <c r="AA146" s="8" t="e">
        <f t="shared" si="134"/>
        <v>#DIV/0!</v>
      </c>
      <c r="AB146" s="2" t="e">
        <f t="shared" si="107"/>
        <v>#DIV/0!</v>
      </c>
      <c r="AC146" s="2" t="e">
        <f t="shared" si="140"/>
        <v>#DIV/0!</v>
      </c>
      <c r="AE146" s="8" t="e">
        <f t="shared" si="135"/>
        <v>#DIV/0!</v>
      </c>
      <c r="AF146" s="2" t="e">
        <f t="shared" si="109"/>
        <v>#DIV/0!</v>
      </c>
      <c r="AG146" s="2" t="e">
        <f t="shared" si="141"/>
        <v>#DIV/0!</v>
      </c>
      <c r="AI146" s="8" t="e">
        <f t="shared" si="136"/>
        <v>#DIV/0!</v>
      </c>
      <c r="AJ146" s="2" t="e">
        <f t="shared" si="111"/>
        <v>#DIV/0!</v>
      </c>
      <c r="AK146" s="2" t="e">
        <f t="shared" si="112"/>
        <v>#DIV/0!</v>
      </c>
      <c r="AN146" s="8" t="e">
        <f t="shared" si="137"/>
        <v>#DIV/0!</v>
      </c>
      <c r="AO146" s="2" t="e">
        <f t="shared" si="113"/>
        <v>#DIV/0!</v>
      </c>
      <c r="AP146" s="2" t="e">
        <f t="shared" si="119"/>
        <v>#DIV/0!</v>
      </c>
      <c r="AS146" s="8" t="e">
        <f t="shared" si="138"/>
        <v>#DIV/0!</v>
      </c>
      <c r="AT146" s="2" t="e">
        <f t="shared" si="114"/>
        <v>#DIV/0!</v>
      </c>
      <c r="AU146" s="2" t="e">
        <f t="shared" si="115"/>
        <v>#DIV/0!</v>
      </c>
    </row>
    <row r="147" spans="1:47" x14ac:dyDescent="0.2">
      <c r="A147" s="2">
        <f t="shared" si="103"/>
        <v>9.4166666666666643</v>
      </c>
      <c r="B147" s="2">
        <f t="shared" si="104"/>
        <v>8.1356757019016116E-5</v>
      </c>
      <c r="C147" s="2">
        <f t="shared" si="120"/>
        <v>8.1356757019016116E-5</v>
      </c>
      <c r="D147" s="8">
        <f t="shared" si="121"/>
        <v>8.1356757019016116E-5</v>
      </c>
      <c r="E147" s="2">
        <f t="shared" si="122"/>
        <v>8.1356757019016116E-5</v>
      </c>
      <c r="G147" s="8" t="e">
        <f t="shared" si="123"/>
        <v>#DIV/0!</v>
      </c>
      <c r="H147" s="2" t="e">
        <f t="shared" si="124"/>
        <v>#DIV/0!</v>
      </c>
      <c r="J147" s="8">
        <f t="shared" si="125"/>
        <v>1.246514551347444E-2</v>
      </c>
      <c r="K147" s="2">
        <f t="shared" si="126"/>
        <v>1.246514551347444E-2</v>
      </c>
      <c r="M147" s="8">
        <f t="shared" si="127"/>
        <v>9.5999999999999974E-2</v>
      </c>
      <c r="N147" s="2">
        <f t="shared" si="128"/>
        <v>9.5999999999999974E-2</v>
      </c>
      <c r="P147" s="8">
        <f t="shared" si="129"/>
        <v>8.1356757019035442E-5</v>
      </c>
      <c r="Q147" s="2">
        <f t="shared" si="130"/>
        <v>8.1356757019035442E-5</v>
      </c>
      <c r="S147" s="8">
        <f t="shared" si="131"/>
        <v>1.246514551347444E-2</v>
      </c>
      <c r="T147" s="2">
        <f t="shared" si="132"/>
        <v>1.246514551347444E-2</v>
      </c>
      <c r="W147" s="8" t="e">
        <f t="shared" si="133"/>
        <v>#DIV/0!</v>
      </c>
      <c r="X147" s="2" t="e">
        <f t="shared" si="105"/>
        <v>#DIV/0!</v>
      </c>
      <c r="Y147" s="2" t="e">
        <f t="shared" si="139"/>
        <v>#DIV/0!</v>
      </c>
      <c r="AA147" s="8" t="e">
        <f t="shared" si="134"/>
        <v>#DIV/0!</v>
      </c>
      <c r="AB147" s="2" t="e">
        <f t="shared" si="107"/>
        <v>#DIV/0!</v>
      </c>
      <c r="AC147" s="2" t="e">
        <f t="shared" si="140"/>
        <v>#DIV/0!</v>
      </c>
      <c r="AE147" s="8" t="e">
        <f t="shared" si="135"/>
        <v>#DIV/0!</v>
      </c>
      <c r="AF147" s="2" t="e">
        <f t="shared" si="109"/>
        <v>#DIV/0!</v>
      </c>
      <c r="AG147" s="2" t="e">
        <f t="shared" si="141"/>
        <v>#DIV/0!</v>
      </c>
      <c r="AI147" s="8" t="e">
        <f t="shared" si="136"/>
        <v>#DIV/0!</v>
      </c>
      <c r="AJ147" s="2" t="e">
        <f t="shared" si="111"/>
        <v>#DIV/0!</v>
      </c>
      <c r="AK147" s="2" t="e">
        <f t="shared" si="112"/>
        <v>#DIV/0!</v>
      </c>
      <c r="AN147" s="8" t="e">
        <f t="shared" si="137"/>
        <v>#DIV/0!</v>
      </c>
      <c r="AO147" s="2" t="e">
        <f t="shared" si="113"/>
        <v>#DIV/0!</v>
      </c>
      <c r="AP147" s="2" t="e">
        <f t="shared" si="119"/>
        <v>#DIV/0!</v>
      </c>
      <c r="AS147" s="8" t="e">
        <f t="shared" si="138"/>
        <v>#DIV/0!</v>
      </c>
      <c r="AT147" s="2" t="e">
        <f t="shared" si="114"/>
        <v>#DIV/0!</v>
      </c>
      <c r="AU147" s="2" t="e">
        <f t="shared" si="115"/>
        <v>#DIV/0!</v>
      </c>
    </row>
    <row r="148" spans="1:47" x14ac:dyDescent="0.2">
      <c r="A148" s="2">
        <f t="shared" si="103"/>
        <v>9.4999999999999982</v>
      </c>
      <c r="B148" s="2">
        <f t="shared" si="104"/>
        <v>7.485182988770072E-5</v>
      </c>
      <c r="C148" s="2">
        <f t="shared" si="120"/>
        <v>7.485182988770072E-5</v>
      </c>
      <c r="D148" s="8">
        <f t="shared" si="121"/>
        <v>7.485182988770072E-5</v>
      </c>
      <c r="E148" s="2">
        <f t="shared" si="122"/>
        <v>7.485182988770072E-5</v>
      </c>
      <c r="G148" s="8" t="e">
        <f t="shared" si="123"/>
        <v>#DIV/0!</v>
      </c>
      <c r="H148" s="2" t="e">
        <f t="shared" si="124"/>
        <v>#DIV/0!</v>
      </c>
      <c r="J148" s="8">
        <f t="shared" si="125"/>
        <v>1.2183530956733302E-2</v>
      </c>
      <c r="K148" s="2">
        <f t="shared" si="126"/>
        <v>1.2183530956733302E-2</v>
      </c>
      <c r="M148" s="8">
        <f t="shared" si="127"/>
        <v>9.5238095238095344E-2</v>
      </c>
      <c r="N148" s="2">
        <f t="shared" si="128"/>
        <v>9.5238095238095344E-2</v>
      </c>
      <c r="P148" s="8">
        <f t="shared" si="129"/>
        <v>7.4851829887645493E-5</v>
      </c>
      <c r="Q148" s="2">
        <f t="shared" si="130"/>
        <v>7.4851829887645493E-5</v>
      </c>
      <c r="S148" s="8">
        <f t="shared" si="131"/>
        <v>1.2183530956733302E-2</v>
      </c>
      <c r="T148" s="2">
        <f t="shared" si="132"/>
        <v>1.2183530956733302E-2</v>
      </c>
      <c r="W148" s="8" t="e">
        <f t="shared" si="133"/>
        <v>#DIV/0!</v>
      </c>
      <c r="X148" s="2" t="e">
        <f t="shared" si="105"/>
        <v>#DIV/0!</v>
      </c>
      <c r="Y148" s="2" t="e">
        <f t="shared" ref="Y148:Y154" si="142">EXP(-EXP($W148+Z$29))</f>
        <v>#DIV/0!</v>
      </c>
      <c r="AA148" s="8" t="e">
        <f t="shared" si="134"/>
        <v>#DIV/0!</v>
      </c>
      <c r="AB148" s="2" t="e">
        <f t="shared" si="107"/>
        <v>#DIV/0!</v>
      </c>
      <c r="AC148" s="2" t="e">
        <f t="shared" ref="AC148:AC154" si="143">1-(EXP($AA148+AD$29)/(1 + EXP($AA148+AD$29)))</f>
        <v>#DIV/0!</v>
      </c>
      <c r="AE148" s="8" t="e">
        <f t="shared" si="135"/>
        <v>#DIV/0!</v>
      </c>
      <c r="AF148" s="2" t="e">
        <f t="shared" si="109"/>
        <v>#DIV/0!</v>
      </c>
      <c r="AG148" s="2" t="e">
        <f t="shared" ref="AG148:AG154" si="144">1-NORMSDIST($AE148+AH$29)</f>
        <v>#DIV/0!</v>
      </c>
      <c r="AI148" s="8" t="e">
        <f t="shared" si="136"/>
        <v>#DIV/0!</v>
      </c>
      <c r="AJ148" s="2" t="e">
        <f t="shared" si="111"/>
        <v>#DIV/0!</v>
      </c>
      <c r="AK148" s="2" t="e">
        <f t="shared" si="112"/>
        <v>#DIV/0!</v>
      </c>
      <c r="AN148" s="8" t="e">
        <f t="shared" si="137"/>
        <v>#DIV/0!</v>
      </c>
      <c r="AO148" s="2" t="e">
        <f t="shared" si="113"/>
        <v>#DIV/0!</v>
      </c>
      <c r="AP148" s="2" t="e">
        <f t="shared" si="119"/>
        <v>#DIV/0!</v>
      </c>
      <c r="AS148" s="8" t="e">
        <f t="shared" si="138"/>
        <v>#DIV/0!</v>
      </c>
      <c r="AT148" s="2" t="e">
        <f t="shared" si="114"/>
        <v>#DIV/0!</v>
      </c>
      <c r="AU148" s="2" t="e">
        <f t="shared" si="115"/>
        <v>#DIV/0!</v>
      </c>
    </row>
    <row r="149" spans="1:47" x14ac:dyDescent="0.2">
      <c r="A149" s="2">
        <f t="shared" si="103"/>
        <v>9.5833333333333321</v>
      </c>
      <c r="B149" s="2">
        <f t="shared" si="104"/>
        <v>6.8867008012963248E-5</v>
      </c>
      <c r="C149" s="2">
        <f t="shared" si="120"/>
        <v>6.8867008012963248E-5</v>
      </c>
      <c r="D149" s="8">
        <f t="shared" si="121"/>
        <v>6.8867008012963248E-5</v>
      </c>
      <c r="E149" s="2">
        <f t="shared" si="122"/>
        <v>6.8867008012963248E-5</v>
      </c>
      <c r="G149" s="8" t="e">
        <f t="shared" si="123"/>
        <v>#DIV/0!</v>
      </c>
      <c r="H149" s="2" t="e">
        <f t="shared" si="124"/>
        <v>#DIV/0!</v>
      </c>
      <c r="J149" s="8">
        <f t="shared" si="125"/>
        <v>1.1909834791890006E-2</v>
      </c>
      <c r="K149" s="2">
        <f t="shared" si="126"/>
        <v>1.1909834791890006E-2</v>
      </c>
      <c r="M149" s="8">
        <f t="shared" si="127"/>
        <v>9.4488188976378007E-2</v>
      </c>
      <c r="N149" s="2">
        <f t="shared" si="128"/>
        <v>9.4488188976378007E-2</v>
      </c>
      <c r="P149" s="8">
        <f t="shared" si="129"/>
        <v>6.8867008013007158E-5</v>
      </c>
      <c r="Q149" s="2">
        <f t="shared" si="130"/>
        <v>6.8867008013007158E-5</v>
      </c>
      <c r="S149" s="8">
        <f t="shared" si="131"/>
        <v>1.1909834791890006E-2</v>
      </c>
      <c r="T149" s="2">
        <f t="shared" si="132"/>
        <v>1.1909834791890006E-2</v>
      </c>
      <c r="W149" s="8" t="e">
        <f t="shared" si="133"/>
        <v>#DIV/0!</v>
      </c>
      <c r="X149" s="2" t="e">
        <f t="shared" si="105"/>
        <v>#DIV/0!</v>
      </c>
      <c r="Y149" s="2" t="e">
        <f t="shared" si="142"/>
        <v>#DIV/0!</v>
      </c>
      <c r="AA149" s="8" t="e">
        <f t="shared" si="134"/>
        <v>#DIV/0!</v>
      </c>
      <c r="AB149" s="2" t="e">
        <f t="shared" si="107"/>
        <v>#DIV/0!</v>
      </c>
      <c r="AC149" s="2" t="e">
        <f t="shared" si="143"/>
        <v>#DIV/0!</v>
      </c>
      <c r="AE149" s="8" t="e">
        <f t="shared" si="135"/>
        <v>#DIV/0!</v>
      </c>
      <c r="AF149" s="2" t="e">
        <f t="shared" si="109"/>
        <v>#DIV/0!</v>
      </c>
      <c r="AG149" s="2" t="e">
        <f t="shared" si="144"/>
        <v>#DIV/0!</v>
      </c>
      <c r="AI149" s="8" t="e">
        <f t="shared" si="136"/>
        <v>#DIV/0!</v>
      </c>
      <c r="AJ149" s="2" t="e">
        <f t="shared" si="111"/>
        <v>#DIV/0!</v>
      </c>
      <c r="AK149" s="2" t="e">
        <f t="shared" si="112"/>
        <v>#DIV/0!</v>
      </c>
      <c r="AN149" s="8" t="e">
        <f t="shared" si="137"/>
        <v>#DIV/0!</v>
      </c>
      <c r="AO149" s="2" t="e">
        <f t="shared" si="113"/>
        <v>#DIV/0!</v>
      </c>
      <c r="AP149" s="2" t="e">
        <f t="shared" si="119"/>
        <v>#DIV/0!</v>
      </c>
      <c r="AS149" s="8" t="e">
        <f t="shared" si="138"/>
        <v>#DIV/0!</v>
      </c>
      <c r="AT149" s="2" t="e">
        <f t="shared" si="114"/>
        <v>#DIV/0!</v>
      </c>
      <c r="AU149" s="2" t="e">
        <f t="shared" si="115"/>
        <v>#DIV/0!</v>
      </c>
    </row>
    <row r="150" spans="1:47" x14ac:dyDescent="0.2">
      <c r="A150" s="2">
        <f t="shared" si="103"/>
        <v>9.6666666666666661</v>
      </c>
      <c r="B150" s="2">
        <f t="shared" si="104"/>
        <v>6.3360706074559649E-5</v>
      </c>
      <c r="C150" s="2">
        <f t="shared" si="120"/>
        <v>6.3360706074559649E-5</v>
      </c>
      <c r="D150" s="8">
        <f t="shared" si="121"/>
        <v>6.3360706074559649E-5</v>
      </c>
      <c r="E150" s="2">
        <f t="shared" si="122"/>
        <v>6.3360706074559649E-5</v>
      </c>
      <c r="G150" s="8" t="e">
        <f t="shared" si="123"/>
        <v>#DIV/0!</v>
      </c>
      <c r="H150" s="2" t="e">
        <f t="shared" si="124"/>
        <v>#DIV/0!</v>
      </c>
      <c r="J150" s="8">
        <f t="shared" si="125"/>
        <v>1.1643788596800708E-2</v>
      </c>
      <c r="K150" s="2">
        <f t="shared" si="126"/>
        <v>1.1643788596800708E-2</v>
      </c>
      <c r="M150" s="8">
        <f t="shared" si="127"/>
        <v>9.375E-2</v>
      </c>
      <c r="N150" s="2">
        <f t="shared" si="128"/>
        <v>9.375E-2</v>
      </c>
      <c r="P150" s="8">
        <f t="shared" si="129"/>
        <v>6.3360706074599982E-5</v>
      </c>
      <c r="Q150" s="2">
        <f t="shared" si="130"/>
        <v>6.3360706074599982E-5</v>
      </c>
      <c r="S150" s="8">
        <f t="shared" si="131"/>
        <v>1.1643788596800708E-2</v>
      </c>
      <c r="T150" s="2">
        <f t="shared" si="132"/>
        <v>1.1643788596800708E-2</v>
      </c>
      <c r="W150" s="8" t="e">
        <f t="shared" si="133"/>
        <v>#DIV/0!</v>
      </c>
      <c r="X150" s="2" t="e">
        <f t="shared" si="105"/>
        <v>#DIV/0!</v>
      </c>
      <c r="Y150" s="2" t="e">
        <f t="shared" si="142"/>
        <v>#DIV/0!</v>
      </c>
      <c r="AA150" s="8" t="e">
        <f t="shared" si="134"/>
        <v>#DIV/0!</v>
      </c>
      <c r="AB150" s="2" t="e">
        <f t="shared" si="107"/>
        <v>#DIV/0!</v>
      </c>
      <c r="AC150" s="2" t="e">
        <f t="shared" si="143"/>
        <v>#DIV/0!</v>
      </c>
      <c r="AE150" s="8" t="e">
        <f t="shared" si="135"/>
        <v>#DIV/0!</v>
      </c>
      <c r="AF150" s="2" t="e">
        <f t="shared" si="109"/>
        <v>#DIV/0!</v>
      </c>
      <c r="AG150" s="2" t="e">
        <f t="shared" si="144"/>
        <v>#DIV/0!</v>
      </c>
      <c r="AI150" s="8" t="e">
        <f t="shared" si="136"/>
        <v>#DIV/0!</v>
      </c>
      <c r="AJ150" s="2" t="e">
        <f t="shared" si="111"/>
        <v>#DIV/0!</v>
      </c>
      <c r="AK150" s="2" t="e">
        <f t="shared" si="112"/>
        <v>#DIV/0!</v>
      </c>
      <c r="AN150" s="8" t="e">
        <f t="shared" si="137"/>
        <v>#DIV/0!</v>
      </c>
      <c r="AO150" s="2" t="e">
        <f t="shared" si="113"/>
        <v>#DIV/0!</v>
      </c>
      <c r="AP150" s="2" t="e">
        <f t="shared" si="119"/>
        <v>#DIV/0!</v>
      </c>
      <c r="AS150" s="8" t="e">
        <f t="shared" si="138"/>
        <v>#DIV/0!</v>
      </c>
      <c r="AT150" s="2" t="e">
        <f t="shared" si="114"/>
        <v>#DIV/0!</v>
      </c>
      <c r="AU150" s="2" t="e">
        <f t="shared" si="115"/>
        <v>#DIV/0!</v>
      </c>
    </row>
    <row r="151" spans="1:47" x14ac:dyDescent="0.2">
      <c r="A151" s="2">
        <f t="shared" si="103"/>
        <v>9.75</v>
      </c>
      <c r="B151" s="2">
        <f t="shared" si="104"/>
        <v>5.8294663730868811E-5</v>
      </c>
      <c r="C151" s="2">
        <f t="shared" si="120"/>
        <v>5.8294663730868811E-5</v>
      </c>
      <c r="D151" s="8">
        <f t="shared" si="121"/>
        <v>5.8294663730868811E-5</v>
      </c>
      <c r="E151" s="2">
        <f t="shared" si="122"/>
        <v>5.8294663730868811E-5</v>
      </c>
      <c r="G151" s="8" t="e">
        <f t="shared" si="123"/>
        <v>#DIV/0!</v>
      </c>
      <c r="H151" s="2" t="e">
        <f t="shared" si="124"/>
        <v>#DIV/0!</v>
      </c>
      <c r="J151" s="8">
        <f t="shared" si="125"/>
        <v>1.138513464670976E-2</v>
      </c>
      <c r="K151" s="2">
        <f t="shared" si="126"/>
        <v>1.138513464670976E-2</v>
      </c>
      <c r="M151" s="8">
        <f t="shared" si="127"/>
        <v>9.3023255813953543E-2</v>
      </c>
      <c r="N151" s="2">
        <f t="shared" si="128"/>
        <v>9.3023255813953543E-2</v>
      </c>
      <c r="P151" s="8">
        <f t="shared" si="129"/>
        <v>5.8294663730862339E-5</v>
      </c>
      <c r="Q151" s="2">
        <f t="shared" si="130"/>
        <v>5.8294663730862339E-5</v>
      </c>
      <c r="S151" s="8">
        <f t="shared" si="131"/>
        <v>1.138513464670976E-2</v>
      </c>
      <c r="T151" s="2">
        <f t="shared" si="132"/>
        <v>1.138513464670976E-2</v>
      </c>
      <c r="W151" s="8" t="e">
        <f t="shared" si="133"/>
        <v>#DIV/0!</v>
      </c>
      <c r="X151" s="2" t="e">
        <f t="shared" si="105"/>
        <v>#DIV/0!</v>
      </c>
      <c r="Y151" s="2" t="e">
        <f t="shared" si="142"/>
        <v>#DIV/0!</v>
      </c>
      <c r="AA151" s="8" t="e">
        <f t="shared" si="134"/>
        <v>#DIV/0!</v>
      </c>
      <c r="AB151" s="2" t="e">
        <f t="shared" si="107"/>
        <v>#DIV/0!</v>
      </c>
      <c r="AC151" s="2" t="e">
        <f t="shared" si="143"/>
        <v>#DIV/0!</v>
      </c>
      <c r="AE151" s="8" t="e">
        <f t="shared" si="135"/>
        <v>#DIV/0!</v>
      </c>
      <c r="AF151" s="2" t="e">
        <f t="shared" si="109"/>
        <v>#DIV/0!</v>
      </c>
      <c r="AG151" s="2" t="e">
        <f t="shared" si="144"/>
        <v>#DIV/0!</v>
      </c>
      <c r="AI151" s="8" t="e">
        <f t="shared" si="136"/>
        <v>#DIV/0!</v>
      </c>
      <c r="AJ151" s="2" t="e">
        <f t="shared" si="111"/>
        <v>#DIV/0!</v>
      </c>
      <c r="AK151" s="2" t="e">
        <f t="shared" si="112"/>
        <v>#DIV/0!</v>
      </c>
      <c r="AN151" s="8" t="e">
        <f t="shared" si="137"/>
        <v>#DIV/0!</v>
      </c>
      <c r="AO151" s="2" t="e">
        <f t="shared" si="113"/>
        <v>#DIV/0!</v>
      </c>
      <c r="AP151" s="2" t="e">
        <f t="shared" si="119"/>
        <v>#DIV/0!</v>
      </c>
      <c r="AS151" s="8" t="e">
        <f t="shared" si="138"/>
        <v>#DIV/0!</v>
      </c>
      <c r="AT151" s="2" t="e">
        <f t="shared" si="114"/>
        <v>#DIV/0!</v>
      </c>
      <c r="AU151" s="2" t="e">
        <f t="shared" si="115"/>
        <v>#DIV/0!</v>
      </c>
    </row>
    <row r="152" spans="1:47" x14ac:dyDescent="0.2">
      <c r="A152" s="2">
        <f t="shared" si="103"/>
        <v>9.8333333333333339</v>
      </c>
      <c r="B152" s="2">
        <f t="shared" si="104"/>
        <v>5.3633679768280402E-5</v>
      </c>
      <c r="C152" s="2">
        <f t="shared" si="120"/>
        <v>5.3633679768280402E-5</v>
      </c>
      <c r="D152" s="8">
        <f t="shared" si="121"/>
        <v>5.3633679768280402E-5</v>
      </c>
      <c r="E152" s="2">
        <f t="shared" si="122"/>
        <v>5.3633679768280402E-5</v>
      </c>
      <c r="G152" s="8" t="e">
        <f t="shared" si="123"/>
        <v>#DIV/0!</v>
      </c>
      <c r="H152" s="2" t="e">
        <f t="shared" si="124"/>
        <v>#DIV/0!</v>
      </c>
      <c r="J152" s="8">
        <f t="shared" si="125"/>
        <v>1.113362542303642E-2</v>
      </c>
      <c r="K152" s="2">
        <f t="shared" si="126"/>
        <v>1.113362542303642E-2</v>
      </c>
      <c r="M152" s="8">
        <f t="shared" si="127"/>
        <v>9.2307692307692313E-2</v>
      </c>
      <c r="N152" s="2">
        <f t="shared" si="128"/>
        <v>9.2307692307692313E-2</v>
      </c>
      <c r="P152" s="8">
        <f t="shared" si="129"/>
        <v>5.3633679768294584E-5</v>
      </c>
      <c r="Q152" s="2">
        <f t="shared" si="130"/>
        <v>5.3633679768294584E-5</v>
      </c>
      <c r="S152" s="8">
        <f t="shared" si="131"/>
        <v>1.113362542303642E-2</v>
      </c>
      <c r="T152" s="2">
        <f t="shared" si="132"/>
        <v>1.113362542303642E-2</v>
      </c>
      <c r="W152" s="8" t="e">
        <f t="shared" si="133"/>
        <v>#DIV/0!</v>
      </c>
      <c r="X152" s="2" t="e">
        <f t="shared" si="105"/>
        <v>#DIV/0!</v>
      </c>
      <c r="Y152" s="2" t="e">
        <f t="shared" si="142"/>
        <v>#DIV/0!</v>
      </c>
      <c r="AA152" s="8" t="e">
        <f t="shared" si="134"/>
        <v>#DIV/0!</v>
      </c>
      <c r="AB152" s="2" t="e">
        <f t="shared" si="107"/>
        <v>#DIV/0!</v>
      </c>
      <c r="AC152" s="2" t="e">
        <f t="shared" si="143"/>
        <v>#DIV/0!</v>
      </c>
      <c r="AE152" s="8" t="e">
        <f t="shared" si="135"/>
        <v>#DIV/0!</v>
      </c>
      <c r="AF152" s="2" t="e">
        <f t="shared" si="109"/>
        <v>#DIV/0!</v>
      </c>
      <c r="AG152" s="2" t="e">
        <f t="shared" si="144"/>
        <v>#DIV/0!</v>
      </c>
      <c r="AI152" s="8" t="e">
        <f t="shared" si="136"/>
        <v>#DIV/0!</v>
      </c>
      <c r="AJ152" s="2" t="e">
        <f t="shared" si="111"/>
        <v>#DIV/0!</v>
      </c>
      <c r="AK152" s="2" t="e">
        <f t="shared" si="112"/>
        <v>#DIV/0!</v>
      </c>
      <c r="AN152" s="8" t="e">
        <f t="shared" si="137"/>
        <v>#DIV/0!</v>
      </c>
      <c r="AO152" s="2" t="e">
        <f t="shared" si="113"/>
        <v>#DIV/0!</v>
      </c>
      <c r="AP152" s="2" t="e">
        <f t="shared" si="119"/>
        <v>#DIV/0!</v>
      </c>
      <c r="AS152" s="8" t="e">
        <f t="shared" si="138"/>
        <v>#DIV/0!</v>
      </c>
      <c r="AT152" s="2" t="e">
        <f t="shared" si="114"/>
        <v>#DIV/0!</v>
      </c>
      <c r="AU152" s="2" t="e">
        <f t="shared" si="115"/>
        <v>#DIV/0!</v>
      </c>
    </row>
    <row r="153" spans="1:47" x14ac:dyDescent="0.2">
      <c r="A153" s="2">
        <f t="shared" si="103"/>
        <v>9.9166666666666679</v>
      </c>
      <c r="B153" s="2">
        <f t="shared" si="104"/>
        <v>4.9345367506824088E-5</v>
      </c>
      <c r="C153" s="2">
        <f t="shared" si="120"/>
        <v>4.9345367506824088E-5</v>
      </c>
      <c r="D153" s="8">
        <f t="shared" si="121"/>
        <v>4.9345367506824088E-5</v>
      </c>
      <c r="E153" s="2">
        <f t="shared" si="122"/>
        <v>4.9345367506824088E-5</v>
      </c>
      <c r="G153" s="8" t="e">
        <f t="shared" si="123"/>
        <v>#DIV/0!</v>
      </c>
      <c r="H153" s="2" t="e">
        <f t="shared" si="124"/>
        <v>#DIV/0!</v>
      </c>
      <c r="J153" s="8">
        <f t="shared" si="125"/>
        <v>1.0889023147729326E-2</v>
      </c>
      <c r="K153" s="2">
        <f t="shared" si="126"/>
        <v>1.0889023147729326E-2</v>
      </c>
      <c r="M153" s="8">
        <f t="shared" si="127"/>
        <v>9.1603053435114545E-2</v>
      </c>
      <c r="N153" s="2">
        <f t="shared" si="128"/>
        <v>9.1603053435114545E-2</v>
      </c>
      <c r="P153" s="8">
        <f t="shared" si="129"/>
        <v>4.9345367506781201E-5</v>
      </c>
      <c r="Q153" s="2">
        <f t="shared" si="130"/>
        <v>4.9345367506781201E-5</v>
      </c>
      <c r="S153" s="8">
        <f t="shared" si="131"/>
        <v>1.0889023147729326E-2</v>
      </c>
      <c r="T153" s="2">
        <f t="shared" si="132"/>
        <v>1.0889023147729326E-2</v>
      </c>
      <c r="W153" s="8" t="e">
        <f t="shared" si="133"/>
        <v>#DIV/0!</v>
      </c>
      <c r="X153" s="2" t="e">
        <f t="shared" si="105"/>
        <v>#DIV/0!</v>
      </c>
      <c r="Y153" s="2" t="e">
        <f t="shared" si="142"/>
        <v>#DIV/0!</v>
      </c>
      <c r="AA153" s="8" t="e">
        <f t="shared" si="134"/>
        <v>#DIV/0!</v>
      </c>
      <c r="AB153" s="2" t="e">
        <f t="shared" si="107"/>
        <v>#DIV/0!</v>
      </c>
      <c r="AC153" s="2" t="e">
        <f t="shared" si="143"/>
        <v>#DIV/0!</v>
      </c>
      <c r="AE153" s="8" t="e">
        <f t="shared" si="135"/>
        <v>#DIV/0!</v>
      </c>
      <c r="AF153" s="2" t="e">
        <f t="shared" si="109"/>
        <v>#DIV/0!</v>
      </c>
      <c r="AG153" s="2" t="e">
        <f t="shared" si="144"/>
        <v>#DIV/0!</v>
      </c>
      <c r="AI153" s="8" t="e">
        <f t="shared" si="136"/>
        <v>#DIV/0!</v>
      </c>
      <c r="AJ153" s="2" t="e">
        <f t="shared" si="111"/>
        <v>#DIV/0!</v>
      </c>
      <c r="AK153" s="2" t="e">
        <f t="shared" si="112"/>
        <v>#DIV/0!</v>
      </c>
      <c r="AN153" s="8" t="e">
        <f t="shared" si="137"/>
        <v>#DIV/0!</v>
      </c>
      <c r="AO153" s="2" t="e">
        <f t="shared" si="113"/>
        <v>#DIV/0!</v>
      </c>
      <c r="AP153" s="2" t="e">
        <f t="shared" si="119"/>
        <v>#DIV/0!</v>
      </c>
      <c r="AS153" s="8" t="e">
        <f t="shared" si="138"/>
        <v>#DIV/0!</v>
      </c>
      <c r="AT153" s="2" t="e">
        <f t="shared" si="114"/>
        <v>#DIV/0!</v>
      </c>
      <c r="AU153" s="2" t="e">
        <f t="shared" si="115"/>
        <v>#DIV/0!</v>
      </c>
    </row>
    <row r="154" spans="1:47" x14ac:dyDescent="0.2">
      <c r="A154" s="2">
        <f t="shared" si="103"/>
        <v>10.000000000000002</v>
      </c>
      <c r="B154" s="2">
        <f t="shared" si="104"/>
        <v>4.5399929762484773E-5</v>
      </c>
      <c r="C154" s="2">
        <f t="shared" si="120"/>
        <v>4.5399929762484773E-5</v>
      </c>
      <c r="D154" s="8">
        <f t="shared" si="121"/>
        <v>4.5399929762484773E-5</v>
      </c>
      <c r="E154" s="2">
        <f t="shared" si="122"/>
        <v>4.5399929762484773E-5</v>
      </c>
      <c r="G154" s="8" t="e">
        <f t="shared" si="123"/>
        <v>#DIV/0!</v>
      </c>
      <c r="H154" s="2" t="e">
        <f t="shared" si="124"/>
        <v>#DIV/0!</v>
      </c>
      <c r="J154" s="8">
        <f t="shared" si="125"/>
        <v>1.0651099341700165E-2</v>
      </c>
      <c r="K154" s="2">
        <f t="shared" si="126"/>
        <v>1.0651099341700165E-2</v>
      </c>
      <c r="M154" s="8">
        <f t="shared" si="127"/>
        <v>9.0909090909090939E-2</v>
      </c>
      <c r="N154" s="2">
        <f t="shared" si="128"/>
        <v>9.0909090909090939E-2</v>
      </c>
      <c r="P154" s="8">
        <f t="shared" si="129"/>
        <v>4.5399929762490743E-5</v>
      </c>
      <c r="Q154" s="2">
        <f t="shared" si="130"/>
        <v>4.5399929762490743E-5</v>
      </c>
      <c r="S154" s="8">
        <f t="shared" si="131"/>
        <v>1.0651099341700165E-2</v>
      </c>
      <c r="T154" s="2">
        <f t="shared" si="132"/>
        <v>1.0651099341700165E-2</v>
      </c>
      <c r="W154" s="8" t="e">
        <f t="shared" si="133"/>
        <v>#DIV/0!</v>
      </c>
      <c r="X154" s="2" t="e">
        <f t="shared" si="105"/>
        <v>#DIV/0!</v>
      </c>
      <c r="Y154" s="2" t="e">
        <f t="shared" si="142"/>
        <v>#DIV/0!</v>
      </c>
      <c r="AA154" s="8" t="e">
        <f t="shared" si="134"/>
        <v>#DIV/0!</v>
      </c>
      <c r="AB154" s="2" t="e">
        <f t="shared" si="107"/>
        <v>#DIV/0!</v>
      </c>
      <c r="AC154" s="2" t="e">
        <f t="shared" si="143"/>
        <v>#DIV/0!</v>
      </c>
      <c r="AE154" s="8" t="e">
        <f t="shared" si="135"/>
        <v>#DIV/0!</v>
      </c>
      <c r="AF154" s="2" t="e">
        <f t="shared" si="109"/>
        <v>#DIV/0!</v>
      </c>
      <c r="AG154" s="2" t="e">
        <f t="shared" si="144"/>
        <v>#DIV/0!</v>
      </c>
      <c r="AI154" s="8" t="e">
        <f t="shared" si="136"/>
        <v>#DIV/0!</v>
      </c>
      <c r="AJ154" s="2" t="e">
        <f t="shared" si="111"/>
        <v>#DIV/0!</v>
      </c>
      <c r="AK154" s="2" t="e">
        <f t="shared" si="112"/>
        <v>#DIV/0!</v>
      </c>
      <c r="AN154" s="8" t="e">
        <f t="shared" si="137"/>
        <v>#DIV/0!</v>
      </c>
      <c r="AO154" s="2" t="e">
        <f t="shared" si="113"/>
        <v>#DIV/0!</v>
      </c>
      <c r="AP154" s="2" t="e">
        <f t="shared" si="119"/>
        <v>#DIV/0!</v>
      </c>
      <c r="AS154" s="8" t="e">
        <f t="shared" si="138"/>
        <v>#DIV/0!</v>
      </c>
      <c r="AT154" s="2" t="e">
        <f t="shared" si="114"/>
        <v>#DIV/0!</v>
      </c>
      <c r="AU154" s="2" t="e">
        <f t="shared" si="115"/>
        <v>#DIV/0!</v>
      </c>
    </row>
  </sheetData>
  <conditionalFormatting sqref="A11:XFD15">
    <cfRule type="cellIs" dxfId="6" priority="1" operator="equal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S160"/>
  <sheetViews>
    <sheetView zoomScaleNormal="100" workbookViewId="0">
      <pane xSplit="1" ySplit="3" topLeftCell="B4" activePane="bottomRight" state="frozenSplit"/>
      <selection pane="topRight" activeCell="B1" sqref="B1"/>
      <selection pane="bottomLeft" activeCell="A4" sqref="A4"/>
      <selection pane="bottomRight" activeCell="B4" sqref="B4"/>
    </sheetView>
  </sheetViews>
  <sheetFormatPr defaultRowHeight="12.75" x14ac:dyDescent="0.2"/>
  <cols>
    <col min="1" max="1" width="20.28515625" style="2" customWidth="1"/>
    <col min="2" max="3" width="18" style="2" customWidth="1"/>
    <col min="4" max="4" width="18" style="8" customWidth="1"/>
    <col min="5" max="7" width="18" style="2" customWidth="1"/>
    <col min="8" max="8" width="18" style="8" customWidth="1"/>
    <col min="9" max="11" width="18" style="2" customWidth="1"/>
    <col min="12" max="12" width="18" style="8" customWidth="1"/>
    <col min="13" max="15" width="18" style="2" customWidth="1"/>
    <col min="16" max="16" width="18" style="8" customWidth="1"/>
    <col min="17" max="19" width="18" style="2" customWidth="1"/>
    <col min="20" max="20" width="18" style="8" customWidth="1"/>
    <col min="21" max="23" width="18" style="2" customWidth="1"/>
    <col min="24" max="24" width="18" style="8" customWidth="1"/>
    <col min="25" max="29" width="18" style="2" customWidth="1"/>
    <col min="30" max="30" width="18" style="8" customWidth="1"/>
    <col min="31" max="35" width="18" style="2" customWidth="1"/>
    <col min="36" max="36" width="18" style="8" customWidth="1"/>
    <col min="37" max="41" width="18" style="2" customWidth="1"/>
    <col min="42" max="42" width="18" style="8" customWidth="1"/>
    <col min="43" max="47" width="18" style="2" customWidth="1"/>
    <col min="48" max="48" width="18" style="8" customWidth="1"/>
    <col min="49" max="55" width="18" style="2" customWidth="1"/>
    <col min="56" max="56" width="18" style="8" customWidth="1"/>
    <col min="57" max="63" width="18" style="2" customWidth="1"/>
    <col min="64" max="64" width="18" style="8" customWidth="1"/>
    <col min="65" max="71" width="18" style="2" customWidth="1"/>
    <col min="72" max="16384" width="9.140625" style="2"/>
  </cols>
  <sheetData>
    <row r="1" spans="1:64" s="4" customFormat="1" x14ac:dyDescent="0.2">
      <c r="D1" s="7"/>
      <c r="H1" s="7"/>
      <c r="L1" s="7"/>
      <c r="P1" s="7"/>
      <c r="T1" s="7"/>
      <c r="X1" s="7"/>
      <c r="AD1" s="7"/>
      <c r="AJ1" s="7"/>
      <c r="AP1" s="7"/>
      <c r="AV1" s="7"/>
      <c r="BD1" s="7"/>
      <c r="BL1" s="7"/>
    </row>
    <row r="2" spans="1:64" s="4" customFormat="1" x14ac:dyDescent="0.2">
      <c r="D2" s="7"/>
      <c r="H2" s="7"/>
      <c r="L2" s="7"/>
      <c r="P2" s="7"/>
      <c r="T2" s="7"/>
      <c r="X2" s="7"/>
      <c r="AD2" s="7"/>
      <c r="AJ2" s="7"/>
      <c r="AP2" s="7"/>
      <c r="AV2" s="7"/>
      <c r="BD2" s="7"/>
      <c r="BL2" s="7"/>
    </row>
    <row r="3" spans="1:64" s="4" customFormat="1" x14ac:dyDescent="0.2">
      <c r="D3" s="7"/>
      <c r="H3" s="7"/>
      <c r="L3" s="7"/>
      <c r="P3" s="7"/>
      <c r="T3" s="7"/>
      <c r="X3" s="7"/>
      <c r="AD3" s="7"/>
      <c r="AJ3" s="7"/>
      <c r="AP3" s="7"/>
      <c r="AV3" s="7"/>
      <c r="BD3" s="7"/>
      <c r="BL3" s="7"/>
    </row>
    <row r="4" spans="1:64" x14ac:dyDescent="0.2">
      <c r="A4" s="1"/>
    </row>
    <row r="5" spans="1:64" x14ac:dyDescent="0.2">
      <c r="A5" s="1"/>
    </row>
    <row r="6" spans="1:64" x14ac:dyDescent="0.2">
      <c r="A6" s="1"/>
    </row>
    <row r="7" spans="1:64" x14ac:dyDescent="0.2">
      <c r="A7" s="1"/>
    </row>
    <row r="8" spans="1:64" x14ac:dyDescent="0.2">
      <c r="A8" s="1"/>
    </row>
    <row r="9" spans="1:64" x14ac:dyDescent="0.2">
      <c r="A9" s="1"/>
    </row>
    <row r="10" spans="1:64" x14ac:dyDescent="0.2">
      <c r="A10" s="1"/>
    </row>
    <row r="11" spans="1:64" x14ac:dyDescent="0.2">
      <c r="A11" s="12"/>
    </row>
    <row r="12" spans="1:64" x14ac:dyDescent="0.2">
      <c r="A12" s="12"/>
    </row>
    <row r="13" spans="1:64" x14ac:dyDescent="0.2">
      <c r="A13" s="12"/>
    </row>
    <row r="14" spans="1:64" x14ac:dyDescent="0.2">
      <c r="A14" s="12"/>
    </row>
    <row r="15" spans="1:64" x14ac:dyDescent="0.2">
      <c r="A15" s="12"/>
    </row>
    <row r="16" spans="1:64" x14ac:dyDescent="0.2">
      <c r="A16" s="12"/>
    </row>
    <row r="17" spans="1:71" x14ac:dyDescent="0.2">
      <c r="A17" s="12"/>
    </row>
    <row r="18" spans="1:71" s="5" customFormat="1" ht="13.5" thickBot="1" x14ac:dyDescent="0.25">
      <c r="A18" s="13"/>
      <c r="D18" s="9"/>
      <c r="H18" s="9"/>
      <c r="L18" s="9"/>
      <c r="P18" s="9"/>
      <c r="T18" s="9"/>
      <c r="X18" s="9"/>
      <c r="AD18" s="9"/>
      <c r="AJ18" s="9"/>
      <c r="AP18" s="9"/>
      <c r="AV18" s="9"/>
      <c r="BD18" s="9"/>
      <c r="BL18" s="9"/>
    </row>
    <row r="19" spans="1:71" x14ac:dyDescent="0.2">
      <c r="A19" s="12"/>
    </row>
    <row r="20" spans="1:71" x14ac:dyDescent="0.2">
      <c r="A20" s="14" t="s">
        <v>10</v>
      </c>
    </row>
    <row r="21" spans="1:71" x14ac:dyDescent="0.2">
      <c r="A21" s="12">
        <v>1</v>
      </c>
      <c r="B21" s="8">
        <f>SQRT(B11)</f>
        <v>0</v>
      </c>
      <c r="D21" s="8">
        <f>SQRT(D11)</f>
        <v>0</v>
      </c>
      <c r="H21" s="8">
        <f>SQRT(H11)</f>
        <v>0</v>
      </c>
      <c r="L21" s="8">
        <f>SQRT(L11)</f>
        <v>0</v>
      </c>
      <c r="P21" s="8">
        <f>SQRT(P11)</f>
        <v>0</v>
      </c>
      <c r="T21" s="8">
        <f>SQRT(T11)</f>
        <v>0</v>
      </c>
      <c r="X21" s="8">
        <f>SQRT(X11)</f>
        <v>0</v>
      </c>
      <c r="AD21" s="8">
        <f>SQRT(AD11)</f>
        <v>0</v>
      </c>
      <c r="AJ21" s="8">
        <f>SQRT(AJ11)</f>
        <v>0</v>
      </c>
      <c r="AP21" s="8">
        <f>SQRT(AP11)</f>
        <v>0</v>
      </c>
      <c r="AV21" s="8">
        <f>SQRT(AV11)</f>
        <v>0</v>
      </c>
      <c r="BD21" s="8">
        <f>SQRT(BD11)</f>
        <v>0</v>
      </c>
      <c r="BL21" s="8">
        <f>SQRT(BL11)</f>
        <v>0</v>
      </c>
    </row>
    <row r="22" spans="1:71" x14ac:dyDescent="0.2">
      <c r="A22" s="12">
        <v>2</v>
      </c>
      <c r="B22" s="8" t="e">
        <f>B12/B21</f>
        <v>#DIV/0!</v>
      </c>
      <c r="C22" s="2" t="e">
        <f>SQRT(C12-B22^2)</f>
        <v>#DIV/0!</v>
      </c>
      <c r="D22" s="8" t="e">
        <f>D12/D21</f>
        <v>#DIV/0!</v>
      </c>
      <c r="E22" s="2" t="e">
        <f>SQRT(E12-D22^2)</f>
        <v>#DIV/0!</v>
      </c>
      <c r="H22" s="8" t="e">
        <f>H12/H21</f>
        <v>#DIV/0!</v>
      </c>
      <c r="I22" s="2" t="e">
        <f>SQRT(I12-H22^2)</f>
        <v>#DIV/0!</v>
      </c>
      <c r="L22" s="8" t="e">
        <f>L12/L21</f>
        <v>#DIV/0!</v>
      </c>
      <c r="M22" s="2" t="e">
        <f>SQRT(M12-L22^2)</f>
        <v>#DIV/0!</v>
      </c>
      <c r="P22" s="8" t="e">
        <f>P12/P21</f>
        <v>#DIV/0!</v>
      </c>
      <c r="Q22" s="2" t="e">
        <f>SQRT(Q12-P22^2)</f>
        <v>#DIV/0!</v>
      </c>
      <c r="T22" s="8" t="e">
        <f>T12/T21</f>
        <v>#DIV/0!</v>
      </c>
      <c r="U22" s="2" t="e">
        <f>SQRT(U12-T22^2)</f>
        <v>#DIV/0!</v>
      </c>
      <c r="X22" s="8" t="e">
        <f>X12/X21</f>
        <v>#DIV/0!</v>
      </c>
      <c r="Y22" s="2" t="e">
        <f>SQRT(Y12-X22^2)</f>
        <v>#DIV/0!</v>
      </c>
      <c r="AD22" s="8" t="e">
        <f>AD12/AD21</f>
        <v>#DIV/0!</v>
      </c>
      <c r="AE22" s="2" t="e">
        <f>SQRT(AE12-AD22^2)</f>
        <v>#DIV/0!</v>
      </c>
      <c r="AJ22" s="8" t="e">
        <f>AJ12/AJ21</f>
        <v>#DIV/0!</v>
      </c>
      <c r="AK22" s="2" t="e">
        <f>SQRT(AK12-AJ22^2)</f>
        <v>#DIV/0!</v>
      </c>
      <c r="AP22" s="8" t="e">
        <f>AP12/AP21</f>
        <v>#DIV/0!</v>
      </c>
      <c r="AQ22" s="2" t="e">
        <f>SQRT(AQ12-AP22^2)</f>
        <v>#DIV/0!</v>
      </c>
      <c r="AV22" s="8" t="e">
        <f>AV12/AV21</f>
        <v>#DIV/0!</v>
      </c>
      <c r="AW22" s="2" t="e">
        <f>SQRT(AW12-AV22^2)</f>
        <v>#DIV/0!</v>
      </c>
      <c r="BD22" s="8" t="e">
        <f>BD12/BD21</f>
        <v>#DIV/0!</v>
      </c>
      <c r="BE22" s="2" t="e">
        <f>SQRT(BE12-BD22^2)</f>
        <v>#DIV/0!</v>
      </c>
      <c r="BL22" s="8" t="e">
        <f>BL12/BL21</f>
        <v>#DIV/0!</v>
      </c>
      <c r="BM22" s="2" t="e">
        <f>SQRT(BM12-BL22^2)</f>
        <v>#DIV/0!</v>
      </c>
    </row>
    <row r="23" spans="1:71" x14ac:dyDescent="0.2">
      <c r="A23" s="12">
        <v>3</v>
      </c>
      <c r="B23" s="8"/>
      <c r="D23" s="8" t="e">
        <f>D13/D21</f>
        <v>#DIV/0!</v>
      </c>
      <c r="E23" s="2" t="e">
        <f>(E13-D23*D22)/E22</f>
        <v>#DIV/0!</v>
      </c>
      <c r="F23" s="2" t="e">
        <f>SQRT(F13-D23^2-E23^2)</f>
        <v>#DIV/0!</v>
      </c>
      <c r="H23" s="8" t="e">
        <f>H13/H21</f>
        <v>#DIV/0!</v>
      </c>
      <c r="I23" s="2" t="e">
        <f>(I13-H23*H22)/I22</f>
        <v>#DIV/0!</v>
      </c>
      <c r="J23" s="2" t="e">
        <f>SQRT(J13-H23^2-I23^2)</f>
        <v>#DIV/0!</v>
      </c>
      <c r="L23" s="8" t="e">
        <f>L13/L21</f>
        <v>#DIV/0!</v>
      </c>
      <c r="M23" s="2" t="e">
        <f>(M13-L23*L22)/M22</f>
        <v>#DIV/0!</v>
      </c>
      <c r="N23" s="2" t="e">
        <f>SQRT(N13-L23^2-M23^2)</f>
        <v>#DIV/0!</v>
      </c>
      <c r="P23" s="8" t="e">
        <f>P13/P21</f>
        <v>#DIV/0!</v>
      </c>
      <c r="Q23" s="2" t="e">
        <f>(Q13-P23*P22)/Q22</f>
        <v>#DIV/0!</v>
      </c>
      <c r="R23" s="2" t="e">
        <f>SQRT(R13-P23^2-Q23^2)</f>
        <v>#DIV/0!</v>
      </c>
      <c r="T23" s="8" t="e">
        <f>T13/T21</f>
        <v>#DIV/0!</v>
      </c>
      <c r="U23" s="2" t="e">
        <f>(U13-T23*T22)/U22</f>
        <v>#DIV/0!</v>
      </c>
      <c r="V23" s="2" t="e">
        <f>SQRT(V13-T23^2-U23^2)</f>
        <v>#DIV/0!</v>
      </c>
      <c r="X23" s="8" t="e">
        <f>X13/X21</f>
        <v>#DIV/0!</v>
      </c>
      <c r="Y23" s="2" t="e">
        <f>(Y13-X23*X22)/Y22</f>
        <v>#DIV/0!</v>
      </c>
      <c r="Z23" s="2" t="e">
        <f>SQRT(Z13-X23^2-Y23^2)</f>
        <v>#DIV/0!</v>
      </c>
      <c r="AD23" s="8" t="e">
        <f>AD13/AD21</f>
        <v>#DIV/0!</v>
      </c>
      <c r="AE23" s="2" t="e">
        <f>(AE13-AD23*AD22)/AE22</f>
        <v>#DIV/0!</v>
      </c>
      <c r="AF23" s="2" t="e">
        <f>SQRT(AF13-AD23^2-AE23^2)</f>
        <v>#DIV/0!</v>
      </c>
      <c r="AJ23" s="8" t="e">
        <f>AJ13/AJ21</f>
        <v>#DIV/0!</v>
      </c>
      <c r="AK23" s="2" t="e">
        <f>(AK13-AJ23*AJ22)/AK22</f>
        <v>#DIV/0!</v>
      </c>
      <c r="AL23" s="2" t="e">
        <f>SQRT(AL13-AJ23^2-AK23^2)</f>
        <v>#DIV/0!</v>
      </c>
      <c r="AP23" s="8" t="e">
        <f>AP13/AP21</f>
        <v>#DIV/0!</v>
      </c>
      <c r="AQ23" s="2" t="e">
        <f>(AQ13-AP23*AP22)/AQ22</f>
        <v>#DIV/0!</v>
      </c>
      <c r="AR23" s="2" t="e">
        <f>SQRT(AR13-AP23^2-AQ23^2)</f>
        <v>#DIV/0!</v>
      </c>
      <c r="AV23" s="8" t="e">
        <f>AV13/AV21</f>
        <v>#DIV/0!</v>
      </c>
      <c r="AW23" s="2" t="e">
        <f>(AW13-AV23*AV22)/AW22</f>
        <v>#DIV/0!</v>
      </c>
      <c r="AX23" s="2" t="e">
        <f>SQRT(AX13-AV23^2-AW23^2)</f>
        <v>#DIV/0!</v>
      </c>
      <c r="BD23" s="8" t="e">
        <f>BD13/BD21</f>
        <v>#DIV/0!</v>
      </c>
      <c r="BE23" s="2" t="e">
        <f>(BE13-BD23*BD22)/BE22</f>
        <v>#DIV/0!</v>
      </c>
      <c r="BF23" s="2" t="e">
        <f>SQRT(BF13-BD23^2-BE23^2)</f>
        <v>#DIV/0!</v>
      </c>
      <c r="BL23" s="8" t="e">
        <f>BL13/BL21</f>
        <v>#DIV/0!</v>
      </c>
      <c r="BM23" s="2" t="e">
        <f>(BM13-BL23*BL22)/BM22</f>
        <v>#DIV/0!</v>
      </c>
      <c r="BN23" s="2" t="e">
        <f>SQRT(BN13-BL23^2-BM23^2)</f>
        <v>#DIV/0!</v>
      </c>
    </row>
    <row r="24" spans="1:71" x14ac:dyDescent="0.2">
      <c r="A24" s="12">
        <v>4</v>
      </c>
      <c r="B24" s="8"/>
      <c r="D24" s="8" t="e">
        <f>D14/D21</f>
        <v>#DIV/0!</v>
      </c>
      <c r="E24" s="2" t="e">
        <f>(E14-D24*D22)/E22</f>
        <v>#DIV/0!</v>
      </c>
      <c r="F24" s="2" t="e">
        <f>(F14-D23*D24-E23*E24)/F23</f>
        <v>#DIV/0!</v>
      </c>
      <c r="G24" s="2" t="e">
        <f>SQRT(G14-D24^2-E24^2-F24^2)</f>
        <v>#DIV/0!</v>
      </c>
      <c r="H24" s="8" t="e">
        <f>H14/H21</f>
        <v>#DIV/0!</v>
      </c>
      <c r="I24" s="2" t="e">
        <f>(I14-H24*H22)/I22</f>
        <v>#DIV/0!</v>
      </c>
      <c r="J24" s="2" t="e">
        <f>(J14-H23*H24-I23*I24)/J23</f>
        <v>#DIV/0!</v>
      </c>
      <c r="K24" s="2" t="e">
        <f>SQRT(K14-H24^2-I24^2-J24^2)</f>
        <v>#DIV/0!</v>
      </c>
      <c r="L24" s="8" t="e">
        <f>L14/L21</f>
        <v>#DIV/0!</v>
      </c>
      <c r="M24" s="2" t="e">
        <f>(M14-L24*L22)/M22</f>
        <v>#DIV/0!</v>
      </c>
      <c r="N24" s="2" t="e">
        <f>(N14-L23*L24-M23*M24)/N23</f>
        <v>#DIV/0!</v>
      </c>
      <c r="O24" s="2" t="e">
        <f>SQRT(O14-L24^2-M24^2-N24^2)</f>
        <v>#DIV/0!</v>
      </c>
      <c r="P24" s="8" t="e">
        <f>P14/P21</f>
        <v>#DIV/0!</v>
      </c>
      <c r="Q24" s="2" t="e">
        <f>(Q14-P24*P22)/Q22</f>
        <v>#DIV/0!</v>
      </c>
      <c r="R24" s="2" t="e">
        <f>(R14-P23*P24-Q23*Q24)/R23</f>
        <v>#DIV/0!</v>
      </c>
      <c r="S24" s="2" t="e">
        <f>SQRT(S14-P24^2-Q24^2-R24^2)</f>
        <v>#DIV/0!</v>
      </c>
      <c r="T24" s="8" t="e">
        <f>T14/T21</f>
        <v>#DIV/0!</v>
      </c>
      <c r="U24" s="2" t="e">
        <f>(U14-T24*T22)/U22</f>
        <v>#DIV/0!</v>
      </c>
      <c r="V24" s="2" t="e">
        <f>(V14-T23*T24-U23*U24)/V23</f>
        <v>#DIV/0!</v>
      </c>
      <c r="W24" s="2" t="e">
        <f>SQRT(W14-T24^2-U24^2-V24^2)</f>
        <v>#DIV/0!</v>
      </c>
      <c r="X24" s="8" t="e">
        <f>X14/X21</f>
        <v>#DIV/0!</v>
      </c>
      <c r="Y24" s="2" t="e">
        <f>(Y14-X24*X22)/Y22</f>
        <v>#DIV/0!</v>
      </c>
      <c r="Z24" s="2" t="e">
        <f>(Z14-X23*X24-Y23*Y24)/Z23</f>
        <v>#DIV/0!</v>
      </c>
      <c r="AA24" s="2" t="e">
        <f>SQRT(AA14-X24^2-Y24^2-Z24^2)</f>
        <v>#DIV/0!</v>
      </c>
      <c r="AD24" s="8" t="e">
        <f>AD14/AD21</f>
        <v>#DIV/0!</v>
      </c>
      <c r="AE24" s="2" t="e">
        <f>(AE14-AD24*AD22)/AE22</f>
        <v>#DIV/0!</v>
      </c>
      <c r="AF24" s="2" t="e">
        <f>(AF14-AD23*AD24-AE23*AE24)/AF23</f>
        <v>#DIV/0!</v>
      </c>
      <c r="AG24" s="2" t="e">
        <f>SQRT(AG14-AD24^2-AE24^2-AF24^2)</f>
        <v>#DIV/0!</v>
      </c>
      <c r="AJ24" s="8" t="e">
        <f>AJ14/AJ21</f>
        <v>#DIV/0!</v>
      </c>
      <c r="AK24" s="2" t="e">
        <f>(AK14-AJ24*AJ22)/AK22</f>
        <v>#DIV/0!</v>
      </c>
      <c r="AL24" s="2" t="e">
        <f>(AL14-AJ23*AJ24-AK23*AK24)/AL23</f>
        <v>#DIV/0!</v>
      </c>
      <c r="AM24" s="2" t="e">
        <f>SQRT(AM14-AJ24^2-AK24^2-AL24^2)</f>
        <v>#DIV/0!</v>
      </c>
      <c r="AP24" s="8" t="e">
        <f>AP14/AP21</f>
        <v>#DIV/0!</v>
      </c>
      <c r="AQ24" s="2" t="e">
        <f>(AQ14-AP24*AP22)/AQ22</f>
        <v>#DIV/0!</v>
      </c>
      <c r="AR24" s="2" t="e">
        <f>(AR14-AP23*AP24-AQ23*AQ24)/AR23</f>
        <v>#DIV/0!</v>
      </c>
      <c r="AS24" s="2" t="e">
        <f>SQRT(AS14-AP24^2-AQ24^2-AR24^2)</f>
        <v>#DIV/0!</v>
      </c>
      <c r="AV24" s="8" t="e">
        <f>AV14/AV21</f>
        <v>#DIV/0!</v>
      </c>
      <c r="AW24" s="2" t="e">
        <f>(AW14-AV24*AV22)/AW22</f>
        <v>#DIV/0!</v>
      </c>
      <c r="AX24" s="2" t="e">
        <f>(AX14-AV23*AV24-AW23*AW24)/AX23</f>
        <v>#DIV/0!</v>
      </c>
      <c r="AY24" s="2" t="e">
        <f>SQRT(AY14-AV24^2-AW24^2-AX24^2)</f>
        <v>#DIV/0!</v>
      </c>
      <c r="BD24" s="8" t="e">
        <f>BD14/BD21</f>
        <v>#DIV/0!</v>
      </c>
      <c r="BE24" s="2" t="e">
        <f>(BE14-BD24*BD22)/BE22</f>
        <v>#DIV/0!</v>
      </c>
      <c r="BF24" s="2" t="e">
        <f>(BF14-BD23*BD24-BE23*BE24)/BF23</f>
        <v>#DIV/0!</v>
      </c>
      <c r="BG24" s="2" t="e">
        <f>SQRT(BG14-BD24^2-BE24^2-BF24^2)</f>
        <v>#DIV/0!</v>
      </c>
      <c r="BL24" s="8" t="e">
        <f>BL14/BL21</f>
        <v>#DIV/0!</v>
      </c>
      <c r="BM24" s="2" t="e">
        <f>(BM14-BL24*BL22)/BM22</f>
        <v>#DIV/0!</v>
      </c>
      <c r="BN24" s="2" t="e">
        <f>(BN14-BL23*BL24-BM23*BM24)/BN23</f>
        <v>#DIV/0!</v>
      </c>
      <c r="BO24" s="2" t="e">
        <f>SQRT(BO14-BL24^2-BM24^2-BN24^2)</f>
        <v>#DIV/0!</v>
      </c>
    </row>
    <row r="25" spans="1:71" x14ac:dyDescent="0.2">
      <c r="A25" s="12">
        <v>5</v>
      </c>
      <c r="B25" s="8"/>
      <c r="X25" s="8" t="e">
        <f>X15/X21</f>
        <v>#DIV/0!</v>
      </c>
      <c r="Y25" s="2" t="e">
        <f>(Y15-X25*X22)/Y22</f>
        <v>#DIV/0!</v>
      </c>
      <c r="Z25" s="2" t="e">
        <f>(Z15-X23*X25-Y23*Y25)/Z23</f>
        <v>#DIV/0!</v>
      </c>
      <c r="AA25" s="2" t="e">
        <f>(AA15-X24*X25-Y24*Y25-Z24*Z25)/AA24</f>
        <v>#DIV/0!</v>
      </c>
      <c r="AB25" s="2" t="e">
        <f>SQRT(AB15-X25^2-Y25^2-Z25^2-AA25^2)</f>
        <v>#DIV/0!</v>
      </c>
      <c r="AD25" s="8" t="e">
        <f>AD15/AD21</f>
        <v>#DIV/0!</v>
      </c>
      <c r="AE25" s="2" t="e">
        <f>(AE15-AD25*AD22)/AE22</f>
        <v>#DIV/0!</v>
      </c>
      <c r="AF25" s="2" t="e">
        <f>(AF15-AD23*AD25-AE23*AE25)/AF23</f>
        <v>#DIV/0!</v>
      </c>
      <c r="AG25" s="2" t="e">
        <f>(AG15-AD24*AD25-AE24*AE25-AF24*AF25)/AG24</f>
        <v>#DIV/0!</v>
      </c>
      <c r="AH25" s="2" t="e">
        <f>SQRT(AH15-AD25^2-AE25^2-AF25^2-AG25^2)</f>
        <v>#DIV/0!</v>
      </c>
      <c r="AJ25" s="8" t="e">
        <f>AJ15/AJ21</f>
        <v>#DIV/0!</v>
      </c>
      <c r="AK25" s="2" t="e">
        <f>(AK15-AJ25*AJ22)/AK22</f>
        <v>#DIV/0!</v>
      </c>
      <c r="AL25" s="2" t="e">
        <f>(AL15-AJ23*AJ25-AK23*AK25)/AL23</f>
        <v>#DIV/0!</v>
      </c>
      <c r="AM25" s="2" t="e">
        <f>(AM15-AJ24*AJ25-AK24*AK25-AL24*AL25)/AM24</f>
        <v>#DIV/0!</v>
      </c>
      <c r="AN25" s="2" t="e">
        <f>SQRT(AN15-AJ25^2-AK25^2-AL25^2-AM25^2)</f>
        <v>#DIV/0!</v>
      </c>
      <c r="AP25" s="8" t="e">
        <f>AP15/AP21</f>
        <v>#DIV/0!</v>
      </c>
      <c r="AQ25" s="2" t="e">
        <f>(AQ15-AP25*AP22)/AQ22</f>
        <v>#DIV/0!</v>
      </c>
      <c r="AR25" s="2" t="e">
        <f>(AR15-AP23*AP25-AQ23*AQ25)/AR23</f>
        <v>#DIV/0!</v>
      </c>
      <c r="AS25" s="2" t="e">
        <f>(AS15-AP24*AP25-AQ24*AQ25-AR24*AR25)/AS24</f>
        <v>#DIV/0!</v>
      </c>
      <c r="AT25" s="2" t="e">
        <f>SQRT(AT15-AP25^2-AQ25^2-AR25^2-AS25^2)</f>
        <v>#DIV/0!</v>
      </c>
      <c r="AV25" s="8" t="e">
        <f>AV15/AV21</f>
        <v>#DIV/0!</v>
      </c>
      <c r="AW25" s="2" t="e">
        <f>(AW15-AV25*AV22)/AW22</f>
        <v>#DIV/0!</v>
      </c>
      <c r="AX25" s="2" t="e">
        <f>(AX15-AV23*AV25-AW23*AW25)/AX23</f>
        <v>#DIV/0!</v>
      </c>
      <c r="AY25" s="2" t="e">
        <f>(AY15-AV24*AV25-AW24*AW25-AX24*AX25)/AY24</f>
        <v>#DIV/0!</v>
      </c>
      <c r="AZ25" s="2" t="e">
        <f>SQRT(AZ15-AV25^2-AW25^2-AX25^2-AY25^2)</f>
        <v>#DIV/0!</v>
      </c>
      <c r="BD25" s="8" t="e">
        <f>BD15/BD21</f>
        <v>#DIV/0!</v>
      </c>
      <c r="BE25" s="2" t="e">
        <f>(BE15-BD25*BD22)/BE22</f>
        <v>#DIV/0!</v>
      </c>
      <c r="BF25" s="2" t="e">
        <f>(BF15-BD23*BD25-BE23*BE25)/BF23</f>
        <v>#DIV/0!</v>
      </c>
      <c r="BG25" s="2" t="e">
        <f>(BG15-BD24*BD25-BE24*BE25-BF24*BF25)/BG24</f>
        <v>#DIV/0!</v>
      </c>
      <c r="BH25" s="2" t="e">
        <f>SQRT(BH15-BD25^2-BE25^2-BF25^2-BG25^2)</f>
        <v>#DIV/0!</v>
      </c>
      <c r="BL25" s="8" t="e">
        <f>BL15/BL21</f>
        <v>#DIV/0!</v>
      </c>
      <c r="BM25" s="2" t="e">
        <f>(BM15-BL25*BL22)/BM22</f>
        <v>#DIV/0!</v>
      </c>
      <c r="BN25" s="2" t="e">
        <f>(BN15-BL23*BL25-BM23*BM25)/BN23</f>
        <v>#DIV/0!</v>
      </c>
      <c r="BO25" s="2" t="e">
        <f>(BO15-BL24*BL25-BM24*BM25-BN24*BN25)/BO24</f>
        <v>#DIV/0!</v>
      </c>
      <c r="BP25" s="2" t="e">
        <f>SQRT(BP15-BL25^2-BM25^2-BN25^2-BO25^2)</f>
        <v>#DIV/0!</v>
      </c>
    </row>
    <row r="26" spans="1:71" x14ac:dyDescent="0.2">
      <c r="A26" s="12">
        <v>6</v>
      </c>
      <c r="B26" s="8"/>
      <c r="X26" s="8" t="e">
        <f>X16/X21</f>
        <v>#DIV/0!</v>
      </c>
      <c r="Y26" s="2" t="e">
        <f>(Y16-X26*X22)/Y22</f>
        <v>#DIV/0!</v>
      </c>
      <c r="Z26" s="2" t="e">
        <f>(Z16-X23*X26-Y23*Y26)/Z23</f>
        <v>#DIV/0!</v>
      </c>
      <c r="AA26" s="2" t="e">
        <f>(AA16-X24*X26-Y24*Y26-Z24*Z26)/AA24</f>
        <v>#DIV/0!</v>
      </c>
      <c r="AB26" s="2" t="e">
        <f>(AB16-X25*X26-Y25*Y26-Z25*Z26-AA25*AA26)/AB25</f>
        <v>#DIV/0!</v>
      </c>
      <c r="AC26" s="2" t="e">
        <f>SQRT(AC16-X26^2-Y26^2-Z26^2-AA26^2-AB26^2)</f>
        <v>#DIV/0!</v>
      </c>
      <c r="AD26" s="8" t="e">
        <f>AD16/AD21</f>
        <v>#DIV/0!</v>
      </c>
      <c r="AE26" s="2" t="e">
        <f>(AE16-AD26*AD22)/AE22</f>
        <v>#DIV/0!</v>
      </c>
      <c r="AF26" s="2" t="e">
        <f>(AF16-AD23*AD26-AE23*AE26)/AF23</f>
        <v>#DIV/0!</v>
      </c>
      <c r="AG26" s="2" t="e">
        <f>(AG16-AD24*AD26-AE24*AE26-AF24*AF26)/AG24</f>
        <v>#DIV/0!</v>
      </c>
      <c r="AH26" s="2" t="e">
        <f>(AH16-AD25*AD26-AE25*AE26-AF25*AF26-AG25*AG26)/AH25</f>
        <v>#DIV/0!</v>
      </c>
      <c r="AI26" s="2" t="e">
        <f>SQRT(AI16-AD26^2-AE26^2-AF26^2-AG26^2-AH26^2)</f>
        <v>#DIV/0!</v>
      </c>
      <c r="AJ26" s="8" t="e">
        <f>AJ16/AJ21</f>
        <v>#DIV/0!</v>
      </c>
      <c r="AK26" s="2" t="e">
        <f>(AK16-AJ26*AJ22)/AK22</f>
        <v>#DIV/0!</v>
      </c>
      <c r="AL26" s="2" t="e">
        <f>(AL16-AJ23*AJ26-AK23*AK26)/AL23</f>
        <v>#DIV/0!</v>
      </c>
      <c r="AM26" s="2" t="e">
        <f>(AM16-AJ24*AJ26-AK24*AK26-AL24*AL26)/AM24</f>
        <v>#DIV/0!</v>
      </c>
      <c r="AN26" s="2" t="e">
        <f>(AN16-AJ25*AJ26-AK25*AK26-AL25*AL26-AM25*AM26)/AN25</f>
        <v>#DIV/0!</v>
      </c>
      <c r="AO26" s="2" t="e">
        <f>SQRT(AO16-AJ26^2-AK26^2-AL26^2-AM26^2-AN26^2)</f>
        <v>#DIV/0!</v>
      </c>
      <c r="AP26" s="8" t="e">
        <f>AP16/AP21</f>
        <v>#DIV/0!</v>
      </c>
      <c r="AQ26" s="2" t="e">
        <f>(AQ16-AP26*AP22)/AQ22</f>
        <v>#DIV/0!</v>
      </c>
      <c r="AR26" s="2" t="e">
        <f>(AR16-AP23*AP26-AQ23*AQ26)/AR23</f>
        <v>#DIV/0!</v>
      </c>
      <c r="AS26" s="2" t="e">
        <f>(AS16-AP24*AP26-AQ24*AQ26-AR24*AR26)/AS24</f>
        <v>#DIV/0!</v>
      </c>
      <c r="AT26" s="2" t="e">
        <f>(AT16-AP25*AP26-AQ25*AQ26-AR25*AR26-AS25*AS26)/AT25</f>
        <v>#DIV/0!</v>
      </c>
      <c r="AU26" s="2" t="e">
        <f>SQRT(AU16-AP26^2-AQ26^2-AR26^2-AS26^2-AT26^2)</f>
        <v>#DIV/0!</v>
      </c>
      <c r="AV26" s="8" t="e">
        <f>AV16/AV21</f>
        <v>#DIV/0!</v>
      </c>
      <c r="AW26" s="2" t="e">
        <f>(AW16-AV26*AV22)/AW22</f>
        <v>#DIV/0!</v>
      </c>
      <c r="AX26" s="2" t="e">
        <f>(AX16-AV23*AV26-AW23*AW26)/AX23</f>
        <v>#DIV/0!</v>
      </c>
      <c r="AY26" s="2" t="e">
        <f>(AY16-AV24*AV26-AW24*AW26-AX24*AX26)/AY24</f>
        <v>#DIV/0!</v>
      </c>
      <c r="AZ26" s="2" t="e">
        <f>(AZ16-AV25*AV26-AW25*AW26-AX25*AX26-AY25*AY26)/AZ25</f>
        <v>#DIV/0!</v>
      </c>
      <c r="BA26" s="2" t="e">
        <f>SQRT(BA16-AV26^2-AW26^2-AX26^2-AY26^2-AZ26^2)</f>
        <v>#DIV/0!</v>
      </c>
      <c r="BD26" s="8" t="e">
        <f>BD16/BD21</f>
        <v>#DIV/0!</v>
      </c>
      <c r="BE26" s="2" t="e">
        <f>(BE16-BD26*BD22)/BE22</f>
        <v>#DIV/0!</v>
      </c>
      <c r="BF26" s="2" t="e">
        <f>(BF16-BD23*BD26-BE23*BE26)/BF23</f>
        <v>#DIV/0!</v>
      </c>
      <c r="BG26" s="2" t="e">
        <f>(BG16-BD24*BD26-BE24*BE26-BF24*BF26)/BG24</f>
        <v>#DIV/0!</v>
      </c>
      <c r="BH26" s="2" t="e">
        <f>(BH16-BD25*BD26-BE25*BE26-BF25*BF26-BG25*BG26)/BH25</f>
        <v>#DIV/0!</v>
      </c>
      <c r="BI26" s="2" t="e">
        <f>SQRT(BI16-BD26^2-BE26^2-BF26^2-BG26^2-BH26^2)</f>
        <v>#DIV/0!</v>
      </c>
      <c r="BL26" s="8" t="e">
        <f>BL16/BL21</f>
        <v>#DIV/0!</v>
      </c>
      <c r="BM26" s="2" t="e">
        <f>(BM16-BL26*BL22)/BM22</f>
        <v>#DIV/0!</v>
      </c>
      <c r="BN26" s="2" t="e">
        <f>(BN16-BL23*BL26-BM23*BM26)/BN23</f>
        <v>#DIV/0!</v>
      </c>
      <c r="BO26" s="2" t="e">
        <f>(BO16-BL24*BL26-BM24*BM26-BN24*BN26)/BO24</f>
        <v>#DIV/0!</v>
      </c>
      <c r="BP26" s="2" t="e">
        <f>(BP16-BL25*BL26-BM25*BM26-BN25*BN26-BO25*BO26)/BP25</f>
        <v>#DIV/0!</v>
      </c>
      <c r="BQ26" s="2" t="e">
        <f>SQRT(BQ16-BL26^2-BM26^2-BN26^2-BO26^2-BP26^2)</f>
        <v>#DIV/0!</v>
      </c>
    </row>
    <row r="27" spans="1:71" x14ac:dyDescent="0.2">
      <c r="A27" s="12">
        <v>7</v>
      </c>
      <c r="B27" s="8"/>
      <c r="AV27" s="8" t="e">
        <f>AV17/AV21</f>
        <v>#DIV/0!</v>
      </c>
      <c r="AW27" s="2" t="e">
        <f>(AW17-AV27*AV22)/AW22</f>
        <v>#DIV/0!</v>
      </c>
      <c r="AX27" s="2" t="e">
        <f>(AX17-AV23*AV27-AW23*AW27)/AX23</f>
        <v>#DIV/0!</v>
      </c>
      <c r="AY27" s="2" t="e">
        <f>(AY17-AV24*AV27-AW24*AW27-AX24*AX27)/AY24</f>
        <v>#DIV/0!</v>
      </c>
      <c r="AZ27" s="2" t="e">
        <f>(AZ17-AV25*AV27-AW25*AW27-AX25*AX27-AY25*AY27)/AZ25</f>
        <v>#DIV/0!</v>
      </c>
      <c r="BA27" s="2" t="e">
        <f>(BA17-AV26*AV27-AW26*AW27-AX26*AX27-AY26*AY27-AZ26*AZ27)/BA26</f>
        <v>#DIV/0!</v>
      </c>
      <c r="BB27" s="2" t="e">
        <f>SQRT(BB17-AV27^2-AW27^2-AX27^2-AY27^2-AZ27^2-BA27^2)</f>
        <v>#DIV/0!</v>
      </c>
      <c r="BD27" s="8" t="e">
        <f>BD17/BD21</f>
        <v>#DIV/0!</v>
      </c>
      <c r="BE27" s="2" t="e">
        <f>(BE17-BD27*BD22)/BE22</f>
        <v>#DIV/0!</v>
      </c>
      <c r="BF27" s="2" t="e">
        <f>(BF17-BD23*BD27-BE23*BE27)/BF23</f>
        <v>#DIV/0!</v>
      </c>
      <c r="BG27" s="2" t="e">
        <f>(BG17-BD24*BD27-BE24*BE27-BF24*BF27)/BG24</f>
        <v>#DIV/0!</v>
      </c>
      <c r="BH27" s="2" t="e">
        <f>(BH17-BD25*BD27-BE25*BE27-BF25*BF27-BG25*BG27)/BH25</f>
        <v>#DIV/0!</v>
      </c>
      <c r="BI27" s="2" t="e">
        <f>(BI17-BD26*BD27-BE26*BE27-BF26*BF27-BG26*BG27-BH26*BH27)/BI26</f>
        <v>#DIV/0!</v>
      </c>
      <c r="BJ27" s="2" t="e">
        <f>SQRT(BJ17-BD27^2-BE27^2-BF27^2-BG27^2-BH27^2-BI27^2)</f>
        <v>#DIV/0!</v>
      </c>
      <c r="BL27" s="8" t="e">
        <f>BL17/BL21</f>
        <v>#DIV/0!</v>
      </c>
      <c r="BM27" s="2" t="e">
        <f>(BM17-BL27*BL22)/BM22</f>
        <v>#DIV/0!</v>
      </c>
      <c r="BN27" s="2" t="e">
        <f>(BN17-BL23*BL27-BM23*BM27)/BN23</f>
        <v>#DIV/0!</v>
      </c>
      <c r="BO27" s="2" t="e">
        <f>(BO17-BL24*BL27-BM24*BM27-BN24*BN27)/BO24</f>
        <v>#DIV/0!</v>
      </c>
      <c r="BP27" s="2" t="e">
        <f>(BP17-BL25*BL27-BM25*BM27-BN25*BN27-BO25*BO27)/BP25</f>
        <v>#DIV/0!</v>
      </c>
      <c r="BQ27" s="2" t="e">
        <f>(BQ17-BL26*BL27-BM26*BM27-BN26*BN27-BO26*BO27-BP26*BP27)/BQ26</f>
        <v>#DIV/0!</v>
      </c>
      <c r="BR27" s="2" t="e">
        <f>SQRT(BR17-BL27^2-BM27^2-BN27^2-BO27^2-BP27^2-BQ27^2)</f>
        <v>#DIV/0!</v>
      </c>
    </row>
    <row r="28" spans="1:71" x14ac:dyDescent="0.2">
      <c r="A28" s="12">
        <v>8</v>
      </c>
      <c r="B28" s="8"/>
      <c r="AV28" s="8" t="e">
        <f>AV18/AV21</f>
        <v>#DIV/0!</v>
      </c>
      <c r="AW28" s="2" t="e">
        <f>(AW18-AV28*AV22)/AW22</f>
        <v>#DIV/0!</v>
      </c>
      <c r="AX28" s="2" t="e">
        <f>(AX18-AV23*AV28-AW23*AW28)/AX23</f>
        <v>#DIV/0!</v>
      </c>
      <c r="AY28" s="2" t="e">
        <f>(AY18-AV24*AV28-AW24*AW28-AX24*AX28)/AY24</f>
        <v>#DIV/0!</v>
      </c>
      <c r="AZ28" s="2" t="e">
        <f>(AZ18-AV25*AV28-AW25*AW28-AX25*AX28-AY25*AY28)/AZ25</f>
        <v>#DIV/0!</v>
      </c>
      <c r="BA28" s="2" t="e">
        <f>(BA18-AV26*AV28-AW26*AW28-AX26*AX28-AY26*AY28-AZ26*AZ28)/BA26</f>
        <v>#DIV/0!</v>
      </c>
      <c r="BB28" s="2" t="e">
        <f>(BB18-AV27*AV28-AW27*AW28-AX27*AX28-AY27*AY28-AZ27*AZ28-BA27*BA28)/BB27</f>
        <v>#DIV/0!</v>
      </c>
      <c r="BC28" s="2" t="e">
        <f>SQRT(BC18-AV28^2-AW28^2-AX28^2-AY28^2-AZ28^2-BA28^2-BB28^2)</f>
        <v>#DIV/0!</v>
      </c>
      <c r="BD28" s="8" t="e">
        <f>BD18/BD21</f>
        <v>#DIV/0!</v>
      </c>
      <c r="BE28" s="2" t="e">
        <f>(BE18-BD28*BD22)/BE22</f>
        <v>#DIV/0!</v>
      </c>
      <c r="BF28" s="2" t="e">
        <f>(BF18-BD23*BD28-BE23*BE28)/BF23</f>
        <v>#DIV/0!</v>
      </c>
      <c r="BG28" s="2" t="e">
        <f>(BG18-BD24*BD28-BE24*BE28-BF24*BF28)/BG24</f>
        <v>#DIV/0!</v>
      </c>
      <c r="BH28" s="2" t="e">
        <f>(BH18-BD25*BD28-BE25*BE28-BF25*BF28-BG25*BG28)/BH25</f>
        <v>#DIV/0!</v>
      </c>
      <c r="BI28" s="2" t="e">
        <f>(BI18-BD26*BD28-BE26*BE28-BF26*BF28-BG26*BG28-BH26*BH28)/BI26</f>
        <v>#DIV/0!</v>
      </c>
      <c r="BJ28" s="2" t="e">
        <f>(BJ18-BD27*BD28-BE27*BE28-BF27*BF28-BG27*BG28-BH27*BH28-BI27*BI28)/BJ27</f>
        <v>#DIV/0!</v>
      </c>
      <c r="BK28" s="2" t="e">
        <f>SQRT(BK18-BD28^2-BE28^2-BF28^2-BG28^2-BH28^2-BI28^2-BJ28^2)</f>
        <v>#DIV/0!</v>
      </c>
      <c r="BL28" s="8" t="e">
        <f>BL18/BL21</f>
        <v>#DIV/0!</v>
      </c>
      <c r="BM28" s="2" t="e">
        <f>(BM18-BL28*BL22)/BM22</f>
        <v>#DIV/0!</v>
      </c>
      <c r="BN28" s="2" t="e">
        <f>(BN18-BL23*BL28-BM23*BM28)/BN23</f>
        <v>#DIV/0!</v>
      </c>
      <c r="BO28" s="2" t="e">
        <f>(BO18-BL24*BL28-BM24*BM28-BN24*BN28)/BO24</f>
        <v>#DIV/0!</v>
      </c>
      <c r="BP28" s="2" t="e">
        <f>(BP18-BL25*BL28-BM25*BM28-BN25*BN28-BO25*BO28)/BP25</f>
        <v>#DIV/0!</v>
      </c>
      <c r="BQ28" s="2" t="e">
        <f>(BQ18-BL26*BL28-BM26*BM28-BN26*BN28-BO26*BO28-BP26*BP28)/BQ26</f>
        <v>#DIV/0!</v>
      </c>
      <c r="BR28" s="2" t="e">
        <f>(BR18-BL27*BL28-BM27*BM28-BN27*BN28-BO27*BO28-BP27*BP28-BQ27*BQ28)/BR27</f>
        <v>#DIV/0!</v>
      </c>
      <c r="BS28" s="2" t="e">
        <f>SQRT(BS18-BL28^2-BM28^2-BN28^2-BO28^2-BP28^2-BQ28^2-BR28^2)</f>
        <v>#DIV/0!</v>
      </c>
    </row>
    <row r="29" spans="1:71" x14ac:dyDescent="0.2">
      <c r="A29" s="6"/>
      <c r="B29" s="8"/>
    </row>
    <row r="30" spans="1:71" x14ac:dyDescent="0.2">
      <c r="A30" s="6" t="s">
        <v>11</v>
      </c>
      <c r="B30" s="8">
        <f ca="1">NORMINV(RAND(),0,1)</f>
        <v>-0.95506682648389396</v>
      </c>
      <c r="C30" s="2">
        <f t="shared" ref="C30:G30" ca="1" si="0">NORMINV(RAND(),0,1)</f>
        <v>1.0982048444724746</v>
      </c>
      <c r="D30" s="8">
        <f ca="1">NORMINV(RAND(),0,1)</f>
        <v>4.5244494939005453E-2</v>
      </c>
      <c r="E30" s="2">
        <f t="shared" ca="1" si="0"/>
        <v>4.3711299080727378E-2</v>
      </c>
      <c r="F30" s="2">
        <f t="shared" ca="1" si="0"/>
        <v>-1.7600921841171573</v>
      </c>
      <c r="G30" s="2">
        <f t="shared" ca="1" si="0"/>
        <v>0.41674499725203096</v>
      </c>
      <c r="H30" s="8">
        <f ca="1">NORMINV(RAND(),0,1)</f>
        <v>-9.2088943420715288E-2</v>
      </c>
      <c r="I30" s="2">
        <f t="shared" ref="I30:K30" ca="1" si="1">NORMINV(RAND(),0,1)</f>
        <v>2.7089568517366653</v>
      </c>
      <c r="J30" s="2">
        <f t="shared" ca="1" si="1"/>
        <v>0.84419989090208836</v>
      </c>
      <c r="K30" s="2">
        <f t="shared" ca="1" si="1"/>
        <v>-0.41099940050147421</v>
      </c>
      <c r="L30" s="8">
        <f ca="1">NORMINV(RAND(),0,1)</f>
        <v>-0.36155016131612006</v>
      </c>
      <c r="M30" s="2">
        <f t="shared" ref="M30:O30" ca="1" si="2">NORMINV(RAND(),0,1)</f>
        <v>0.52762128269043329</v>
      </c>
      <c r="N30" s="2">
        <f t="shared" ca="1" si="2"/>
        <v>-0.40600210917800345</v>
      </c>
      <c r="O30" s="2">
        <f t="shared" ca="1" si="2"/>
        <v>-1.348620267897545</v>
      </c>
      <c r="P30" s="8">
        <f ca="1">NORMINV(RAND(),0,1)</f>
        <v>-0.3010033764753175</v>
      </c>
      <c r="Q30" s="2">
        <f t="shared" ref="Q30:S30" ca="1" si="3">NORMINV(RAND(),0,1)</f>
        <v>-0.41774869348752153</v>
      </c>
      <c r="R30" s="2">
        <f t="shared" ca="1" si="3"/>
        <v>1.1949357237711775</v>
      </c>
      <c r="S30" s="2">
        <f t="shared" ca="1" si="3"/>
        <v>0.26770320555510024</v>
      </c>
      <c r="T30" s="8">
        <f ca="1">NORMINV(RAND(),0,1)</f>
        <v>0.15062699012792105</v>
      </c>
      <c r="U30" s="2">
        <f t="shared" ref="U30:W30" ca="1" si="4">NORMINV(RAND(),0,1)</f>
        <v>-0.69857085996171775</v>
      </c>
      <c r="V30" s="2">
        <f t="shared" ca="1" si="4"/>
        <v>0.52297246350079141</v>
      </c>
      <c r="W30" s="2">
        <f t="shared" ca="1" si="4"/>
        <v>-0.62268454567102349</v>
      </c>
      <c r="X30" s="8">
        <f ca="1">NORMINV(RAND(),0,1)</f>
        <v>0.87032868590063317</v>
      </c>
      <c r="Y30" s="2">
        <f t="shared" ref="Y30:AC30" ca="1" si="5">NORMINV(RAND(),0,1)</f>
        <v>1.3486366549537963</v>
      </c>
      <c r="Z30" s="2">
        <f t="shared" ca="1" si="5"/>
        <v>0.65385774217173498</v>
      </c>
      <c r="AA30" s="2">
        <f t="shared" ca="1" si="5"/>
        <v>1.3512754112732812</v>
      </c>
      <c r="AB30" s="2">
        <f t="shared" ca="1" si="5"/>
        <v>0.56344013054358033</v>
      </c>
      <c r="AC30" s="2">
        <f t="shared" ca="1" si="5"/>
        <v>0.62917373009282884</v>
      </c>
      <c r="AD30" s="8">
        <f ca="1">NORMINV(RAND(),0,1)</f>
        <v>-0.12757075383807989</v>
      </c>
      <c r="AE30" s="2">
        <f t="shared" ref="AE30:AI30" ca="1" si="6">NORMINV(RAND(),0,1)</f>
        <v>0.50169573494678943</v>
      </c>
      <c r="AF30" s="2">
        <f t="shared" ca="1" si="6"/>
        <v>2.6130504207748024</v>
      </c>
      <c r="AG30" s="2">
        <f t="shared" ca="1" si="6"/>
        <v>2.1193866898767084E-2</v>
      </c>
      <c r="AH30" s="2">
        <f t="shared" ca="1" si="6"/>
        <v>1.2554321313443517</v>
      </c>
      <c r="AI30" s="2">
        <f t="shared" ca="1" si="6"/>
        <v>-0.15529489620846693</v>
      </c>
      <c r="AJ30" s="8">
        <f ca="1">NORMINV(RAND(),0,1)</f>
        <v>-1.6792414529298605</v>
      </c>
      <c r="AK30" s="2">
        <f t="shared" ref="AK30:AO30" ca="1" si="7">NORMINV(RAND(),0,1)</f>
        <v>0.50387909699510625</v>
      </c>
      <c r="AL30" s="2">
        <f t="shared" ca="1" si="7"/>
        <v>0.37507364663270565</v>
      </c>
      <c r="AM30" s="2">
        <f t="shared" ca="1" si="7"/>
        <v>-1.9766915676623416</v>
      </c>
      <c r="AN30" s="2">
        <f t="shared" ca="1" si="7"/>
        <v>0.85224871827517001</v>
      </c>
      <c r="AO30" s="2">
        <f t="shared" ca="1" si="7"/>
        <v>0.71065786745938131</v>
      </c>
      <c r="AP30" s="8">
        <f ca="1">NORMINV(RAND(),0,1)</f>
        <v>-0.59118613445655932</v>
      </c>
      <c r="AQ30" s="2">
        <f t="shared" ref="AQ30:AU30" ca="1" si="8">NORMINV(RAND(),0,1)</f>
        <v>0.38387942576141199</v>
      </c>
      <c r="AR30" s="2">
        <f t="shared" ca="1" si="8"/>
        <v>0.28627423668858004</v>
      </c>
      <c r="AS30" s="2">
        <f t="shared" ca="1" si="8"/>
        <v>0.83057460262743488</v>
      </c>
      <c r="AT30" s="2">
        <f t="shared" ca="1" si="8"/>
        <v>-1.1049737220425397</v>
      </c>
      <c r="AU30" s="2">
        <f t="shared" ca="1" si="8"/>
        <v>-0.19710608677239777</v>
      </c>
      <c r="AV30" s="8">
        <f ca="1">NORMINV(RAND(),0,1)</f>
        <v>1.2742293722084734</v>
      </c>
      <c r="AW30" s="2">
        <f t="shared" ref="AW30:BC30" ca="1" si="9">NORMINV(RAND(),0,1)</f>
        <v>-0.87776366188924448</v>
      </c>
      <c r="AX30" s="2">
        <f t="shared" ca="1" si="9"/>
        <v>2.1579235066598357</v>
      </c>
      <c r="AY30" s="2">
        <f t="shared" ca="1" si="9"/>
        <v>0.53393133822573502</v>
      </c>
      <c r="AZ30" s="2">
        <f t="shared" ca="1" si="9"/>
        <v>-0.31042389906341467</v>
      </c>
      <c r="BA30" s="2">
        <f t="shared" ca="1" si="9"/>
        <v>-0.53572679263187761</v>
      </c>
      <c r="BB30" s="2">
        <f t="shared" ca="1" si="9"/>
        <v>0.79378817117321443</v>
      </c>
      <c r="BC30" s="2">
        <f t="shared" ca="1" si="9"/>
        <v>1.1946961492192414</v>
      </c>
      <c r="BD30" s="8">
        <f ca="1">NORMINV(RAND(),0,1)</f>
        <v>-1.8144483401101268</v>
      </c>
      <c r="BE30" s="2">
        <f t="shared" ref="BE30:BK30" ca="1" si="10">NORMINV(RAND(),0,1)</f>
        <v>0.22530887159732821</v>
      </c>
      <c r="BF30" s="2">
        <f t="shared" ca="1" si="10"/>
        <v>0.6222382858738893</v>
      </c>
      <c r="BG30" s="2">
        <f t="shared" ca="1" si="10"/>
        <v>0.27690024777213917</v>
      </c>
      <c r="BH30" s="2">
        <f t="shared" ca="1" si="10"/>
        <v>0.7334945702633423</v>
      </c>
      <c r="BI30" s="2">
        <f t="shared" ca="1" si="10"/>
        <v>0.5328154942442942</v>
      </c>
      <c r="BJ30" s="2">
        <f t="shared" ca="1" si="10"/>
        <v>0.10387383115785788</v>
      </c>
      <c r="BK30" s="2">
        <f t="shared" ca="1" si="10"/>
        <v>1.0603180562441279</v>
      </c>
      <c r="BL30" s="8">
        <f ca="1">NORMINV(RAND(),0,1)</f>
        <v>-0.9695981802858068</v>
      </c>
      <c r="BM30" s="2">
        <f t="shared" ref="BM30:BS30" ca="1" si="11">NORMINV(RAND(),0,1)</f>
        <v>-1.7235976023401474</v>
      </c>
      <c r="BN30" s="2">
        <f t="shared" ca="1" si="11"/>
        <v>0.3919883345186787</v>
      </c>
      <c r="BO30" s="2">
        <f t="shared" ca="1" si="11"/>
        <v>-0.7571365626558082</v>
      </c>
      <c r="BP30" s="2">
        <f t="shared" ca="1" si="11"/>
        <v>-1.7995094586106213</v>
      </c>
      <c r="BQ30" s="2">
        <f t="shared" ca="1" si="11"/>
        <v>1.0183784846526596</v>
      </c>
      <c r="BR30" s="2">
        <f t="shared" ca="1" si="11"/>
        <v>1.0765436142188518</v>
      </c>
      <c r="BS30" s="2">
        <f t="shared" ca="1" si="11"/>
        <v>0.42467595682854142</v>
      </c>
    </row>
    <row r="31" spans="1:71" x14ac:dyDescent="0.2">
      <c r="A31" s="6" t="s">
        <v>12</v>
      </c>
      <c r="B31" s="8">
        <f ca="1">SUMPRODUCT(B21:B21,B30:B30)</f>
        <v>0</v>
      </c>
      <c r="C31" s="2" t="e">
        <f>SUMPRODUCT(B22:C22,B30:C30)</f>
        <v>#DIV/0!</v>
      </c>
      <c r="D31" s="8">
        <f ca="1">SUMPRODUCT(D21:D21,D30:D30)</f>
        <v>0</v>
      </c>
      <c r="E31" s="2" t="e">
        <f>SUMPRODUCT(D22:E22,D30:E30)</f>
        <v>#DIV/0!</v>
      </c>
      <c r="F31" s="2" t="e">
        <f>SUMPRODUCT(D23:F23,D30:F30)</f>
        <v>#DIV/0!</v>
      </c>
      <c r="G31" s="2" t="e">
        <f>SUMPRODUCT(D24:G24,D30:G30)</f>
        <v>#DIV/0!</v>
      </c>
      <c r="H31" s="8">
        <f ca="1">SUMPRODUCT(H21:H21,H30:H30)</f>
        <v>0</v>
      </c>
      <c r="I31" s="2" t="e">
        <f>SUMPRODUCT(H22:I22,H30:I30)</f>
        <v>#DIV/0!</v>
      </c>
      <c r="J31" s="2" t="e">
        <f>SUMPRODUCT(H23:J23,H30:J30)</f>
        <v>#DIV/0!</v>
      </c>
      <c r="K31" s="2" t="e">
        <f>SUMPRODUCT(H24:K24,H30:K30)</f>
        <v>#DIV/0!</v>
      </c>
      <c r="L31" s="8">
        <f ca="1">SUMPRODUCT(L21:L21,L30:L30)</f>
        <v>0</v>
      </c>
      <c r="M31" s="2" t="e">
        <f>SUMPRODUCT(L22:M22,L30:M30)</f>
        <v>#DIV/0!</v>
      </c>
      <c r="N31" s="2" t="e">
        <f>SUMPRODUCT(L23:N23,L30:N30)</f>
        <v>#DIV/0!</v>
      </c>
      <c r="O31" s="2" t="e">
        <f>SUMPRODUCT(L24:O24,L30:O30)</f>
        <v>#DIV/0!</v>
      </c>
      <c r="P31" s="8">
        <f ca="1">SUMPRODUCT(P21:P21,P30:P30)</f>
        <v>0</v>
      </c>
      <c r="Q31" s="2" t="e">
        <f>SUMPRODUCT(P22:Q22,P30:Q30)</f>
        <v>#DIV/0!</v>
      </c>
      <c r="R31" s="2" t="e">
        <f>SUMPRODUCT(P23:R23,P30:R30)</f>
        <v>#DIV/0!</v>
      </c>
      <c r="S31" s="2" t="e">
        <f>SUMPRODUCT(P24:S24,P30:S30)</f>
        <v>#DIV/0!</v>
      </c>
      <c r="T31" s="8">
        <f ca="1">SUMPRODUCT(T21:T21,T30:T30)</f>
        <v>0</v>
      </c>
      <c r="U31" s="2" t="e">
        <f>SUMPRODUCT(T22:U22,T30:U30)</f>
        <v>#DIV/0!</v>
      </c>
      <c r="V31" s="2" t="e">
        <f>SUMPRODUCT(T23:V23,T30:V30)</f>
        <v>#DIV/0!</v>
      </c>
      <c r="W31" s="2" t="e">
        <f>SUMPRODUCT(T24:W24,T30:W30)</f>
        <v>#DIV/0!</v>
      </c>
      <c r="X31" s="8">
        <f ca="1">SUMPRODUCT(X21:X21,X30:X30)</f>
        <v>0</v>
      </c>
      <c r="Y31" s="2" t="e">
        <f>SUMPRODUCT(X22:Y22,X30:Y30)</f>
        <v>#DIV/0!</v>
      </c>
      <c r="Z31" s="2" t="e">
        <f>SUMPRODUCT(X23:Z23,X30:Z30)</f>
        <v>#DIV/0!</v>
      </c>
      <c r="AA31" s="2" t="e">
        <f>SUMPRODUCT(X24:AA24,X30:AA30)</f>
        <v>#DIV/0!</v>
      </c>
      <c r="AB31" s="2" t="e">
        <f>SUMPRODUCT(X25:AB25,X30:AB30)</f>
        <v>#DIV/0!</v>
      </c>
      <c r="AC31" s="2" t="e">
        <f>SUMPRODUCT(X26:AC26,X30:AC30)</f>
        <v>#DIV/0!</v>
      </c>
      <c r="AD31" s="8">
        <f ca="1">SUMPRODUCT(AD21:AD21,AD30:AD30)</f>
        <v>0</v>
      </c>
      <c r="AE31" s="2" t="e">
        <f>SUMPRODUCT(AD22:AE22,AD30:AE30)</f>
        <v>#DIV/0!</v>
      </c>
      <c r="AF31" s="2" t="e">
        <f>SUMPRODUCT(AD23:AF23,AD30:AF30)</f>
        <v>#DIV/0!</v>
      </c>
      <c r="AG31" s="2" t="e">
        <f>SUMPRODUCT(AD24:AG24,AD30:AG30)</f>
        <v>#DIV/0!</v>
      </c>
      <c r="AH31" s="2" t="e">
        <f>SUMPRODUCT(AD25:AH25,AD30:AH30)</f>
        <v>#DIV/0!</v>
      </c>
      <c r="AI31" s="2" t="e">
        <f>SUMPRODUCT(AD26:AI26,AD30:AI30)</f>
        <v>#DIV/0!</v>
      </c>
      <c r="AJ31" s="8">
        <f ca="1">SUMPRODUCT(AJ21:AJ21,AJ30:AJ30)</f>
        <v>0</v>
      </c>
      <c r="AK31" s="2" t="e">
        <f>SUMPRODUCT(AJ22:AK22,AJ30:AK30)</f>
        <v>#DIV/0!</v>
      </c>
      <c r="AL31" s="2" t="e">
        <f>SUMPRODUCT(AJ23:AL23,AJ30:AL30)</f>
        <v>#DIV/0!</v>
      </c>
      <c r="AM31" s="2" t="e">
        <f>SUMPRODUCT(AJ24:AM24,AJ30:AM30)</f>
        <v>#DIV/0!</v>
      </c>
      <c r="AN31" s="2" t="e">
        <f>SUMPRODUCT(AJ25:AN25,AJ30:AN30)</f>
        <v>#DIV/0!</v>
      </c>
      <c r="AO31" s="2" t="e">
        <f>SUMPRODUCT(AJ26:AO26,AJ30:AO30)</f>
        <v>#DIV/0!</v>
      </c>
      <c r="AP31" s="8">
        <f ca="1">SUMPRODUCT(AP21:AP21,AP30:AP30)</f>
        <v>0</v>
      </c>
      <c r="AQ31" s="2" t="e">
        <f>SUMPRODUCT(AP22:AQ22,AP30:AQ30)</f>
        <v>#DIV/0!</v>
      </c>
      <c r="AR31" s="2" t="e">
        <f>SUMPRODUCT(AP23:AR23,AP30:AR30)</f>
        <v>#DIV/0!</v>
      </c>
      <c r="AS31" s="2" t="e">
        <f>SUMPRODUCT(AP24:AS24,AP30:AS30)</f>
        <v>#DIV/0!</v>
      </c>
      <c r="AT31" s="2" t="e">
        <f>SUMPRODUCT(AP25:AT25,AP30:AT30)</f>
        <v>#DIV/0!</v>
      </c>
      <c r="AU31" s="2" t="e">
        <f>SUMPRODUCT(AP26:AU26,AP30:AU30)</f>
        <v>#DIV/0!</v>
      </c>
      <c r="AV31" s="8">
        <f ca="1">SUMPRODUCT(AV21:AV21,AV30:AV30)</f>
        <v>0</v>
      </c>
      <c r="AW31" s="2" t="e">
        <f>SUMPRODUCT(AV22:AW22,AV30:AW30)</f>
        <v>#DIV/0!</v>
      </c>
      <c r="AX31" s="2" t="e">
        <f>SUMPRODUCT(AV23:AX23,AV30:AX30)</f>
        <v>#DIV/0!</v>
      </c>
      <c r="AY31" s="2" t="e">
        <f>SUMPRODUCT(AV24:AY24,AV30:AY30)</f>
        <v>#DIV/0!</v>
      </c>
      <c r="AZ31" s="2" t="e">
        <f>SUMPRODUCT(AV25:AZ25,AV30:AZ30)</f>
        <v>#DIV/0!</v>
      </c>
      <c r="BA31" s="2" t="e">
        <f>SUMPRODUCT(AV26:BA26,AV30:BA30)</f>
        <v>#DIV/0!</v>
      </c>
      <c r="BB31" s="2" t="e">
        <f>SUMPRODUCT(AV27:BB27,AV30:BB30)</f>
        <v>#DIV/0!</v>
      </c>
      <c r="BC31" s="2" t="e">
        <f>SUMPRODUCT(AV28:BC28,AV30:BC30)</f>
        <v>#DIV/0!</v>
      </c>
      <c r="BD31" s="8">
        <f ca="1">SUMPRODUCT(BD21:BD21,BD30:BD30)</f>
        <v>0</v>
      </c>
      <c r="BE31" s="2" t="e">
        <f>SUMPRODUCT(BD22:BE22,BD30:BE30)</f>
        <v>#DIV/0!</v>
      </c>
      <c r="BF31" s="2" t="e">
        <f>SUMPRODUCT(BD23:BF23,BD30:BF30)</f>
        <v>#DIV/0!</v>
      </c>
      <c r="BG31" s="2" t="e">
        <f>SUMPRODUCT(BD24:BG24,BD30:BG30)</f>
        <v>#DIV/0!</v>
      </c>
      <c r="BH31" s="2" t="e">
        <f>SUMPRODUCT(BD25:BH25,BD30:BH30)</f>
        <v>#DIV/0!</v>
      </c>
      <c r="BI31" s="2" t="e">
        <f>SUMPRODUCT(BD26:BI26,BD30:BI30)</f>
        <v>#DIV/0!</v>
      </c>
      <c r="BJ31" s="2" t="e">
        <f>SUMPRODUCT(BD27:BJ27,BD30:BJ30)</f>
        <v>#DIV/0!</v>
      </c>
      <c r="BK31" s="2" t="e">
        <f>SUMPRODUCT(BD28:BK28,BD30:BK30)</f>
        <v>#DIV/0!</v>
      </c>
      <c r="BL31" s="8">
        <f ca="1">SUMPRODUCT(BL21:BL21,BL30:BL30)</f>
        <v>0</v>
      </c>
      <c r="BM31" s="2" t="e">
        <f>SUMPRODUCT(BL22:BM22,BL30:BM30)</f>
        <v>#DIV/0!</v>
      </c>
      <c r="BN31" s="2" t="e">
        <f>SUMPRODUCT(BL23:BN23,BL30:BN30)</f>
        <v>#DIV/0!</v>
      </c>
      <c r="BO31" s="2" t="e">
        <f>SUMPRODUCT(BL24:BO24,BL30:BO30)</f>
        <v>#DIV/0!</v>
      </c>
      <c r="BP31" s="2" t="e">
        <f>SUMPRODUCT(BL25:BP25,BL30:BP30)</f>
        <v>#DIV/0!</v>
      </c>
      <c r="BQ31" s="2" t="e">
        <f>SUMPRODUCT(BL26:BQ26,BL30:BQ30)</f>
        <v>#DIV/0!</v>
      </c>
      <c r="BR31" s="2" t="e">
        <f>SUMPRODUCT(BL27:BR27,BL30:BR30)</f>
        <v>#DIV/0!</v>
      </c>
      <c r="BS31" s="2" t="e">
        <f>SUMPRODUCT(BL28:BS28,BL30:BS30)</f>
        <v>#DIV/0!</v>
      </c>
    </row>
    <row r="32" spans="1:71" x14ac:dyDescent="0.2">
      <c r="A32" s="6"/>
      <c r="B32" s="8"/>
    </row>
    <row r="33" spans="1:71" x14ac:dyDescent="0.2">
      <c r="A33" s="1" t="s">
        <v>7</v>
      </c>
      <c r="B33" s="8">
        <f t="shared" ref="B33:AG33" ca="1" si="12">B31+B4</f>
        <v>0</v>
      </c>
      <c r="C33" s="2" t="e">
        <f t="shared" si="12"/>
        <v>#DIV/0!</v>
      </c>
      <c r="D33" s="8">
        <f t="shared" ca="1" si="12"/>
        <v>0</v>
      </c>
      <c r="E33" s="2" t="e">
        <f t="shared" si="12"/>
        <v>#DIV/0!</v>
      </c>
      <c r="F33" s="2" t="e">
        <f t="shared" si="12"/>
        <v>#DIV/0!</v>
      </c>
      <c r="G33" s="2" t="e">
        <f t="shared" si="12"/>
        <v>#DIV/0!</v>
      </c>
      <c r="H33" s="8">
        <f t="shared" ca="1" si="12"/>
        <v>0</v>
      </c>
      <c r="I33" s="2" t="e">
        <f t="shared" si="12"/>
        <v>#DIV/0!</v>
      </c>
      <c r="J33" s="2" t="e">
        <f t="shared" si="12"/>
        <v>#DIV/0!</v>
      </c>
      <c r="K33" s="2" t="e">
        <f t="shared" si="12"/>
        <v>#DIV/0!</v>
      </c>
      <c r="L33" s="8">
        <f t="shared" ca="1" si="12"/>
        <v>0</v>
      </c>
      <c r="M33" s="2" t="e">
        <f t="shared" si="12"/>
        <v>#DIV/0!</v>
      </c>
      <c r="N33" s="2" t="e">
        <f t="shared" si="12"/>
        <v>#DIV/0!</v>
      </c>
      <c r="O33" s="2" t="e">
        <f t="shared" si="12"/>
        <v>#DIV/0!</v>
      </c>
      <c r="P33" s="8">
        <f t="shared" ca="1" si="12"/>
        <v>0</v>
      </c>
      <c r="Q33" s="2" t="e">
        <f t="shared" si="12"/>
        <v>#DIV/0!</v>
      </c>
      <c r="R33" s="2" t="e">
        <f t="shared" si="12"/>
        <v>#DIV/0!</v>
      </c>
      <c r="S33" s="2" t="e">
        <f t="shared" si="12"/>
        <v>#DIV/0!</v>
      </c>
      <c r="T33" s="8">
        <f t="shared" ca="1" si="12"/>
        <v>0</v>
      </c>
      <c r="U33" s="2" t="e">
        <f t="shared" si="12"/>
        <v>#DIV/0!</v>
      </c>
      <c r="V33" s="2" t="e">
        <f t="shared" si="12"/>
        <v>#DIV/0!</v>
      </c>
      <c r="W33" s="2" t="e">
        <f t="shared" si="12"/>
        <v>#DIV/0!</v>
      </c>
      <c r="X33" s="8">
        <f t="shared" ca="1" si="12"/>
        <v>0</v>
      </c>
      <c r="Y33" s="2" t="e">
        <f t="shared" si="12"/>
        <v>#DIV/0!</v>
      </c>
      <c r="Z33" s="2" t="e">
        <f t="shared" si="12"/>
        <v>#DIV/0!</v>
      </c>
      <c r="AA33" s="2" t="e">
        <f t="shared" si="12"/>
        <v>#DIV/0!</v>
      </c>
      <c r="AB33" s="2" t="e">
        <f t="shared" si="12"/>
        <v>#DIV/0!</v>
      </c>
      <c r="AC33" s="2" t="e">
        <f t="shared" si="12"/>
        <v>#DIV/0!</v>
      </c>
      <c r="AD33" s="8">
        <f t="shared" ca="1" si="12"/>
        <v>0</v>
      </c>
      <c r="AE33" s="2" t="e">
        <f t="shared" si="12"/>
        <v>#DIV/0!</v>
      </c>
      <c r="AF33" s="2" t="e">
        <f t="shared" si="12"/>
        <v>#DIV/0!</v>
      </c>
      <c r="AG33" s="2" t="e">
        <f t="shared" si="12"/>
        <v>#DIV/0!</v>
      </c>
      <c r="AH33" s="2" t="e">
        <f t="shared" ref="AH33:BM33" si="13">AH31+AH4</f>
        <v>#DIV/0!</v>
      </c>
      <c r="AI33" s="2" t="e">
        <f t="shared" si="13"/>
        <v>#DIV/0!</v>
      </c>
      <c r="AJ33" s="8">
        <f t="shared" ca="1" si="13"/>
        <v>0</v>
      </c>
      <c r="AK33" s="2" t="e">
        <f t="shared" si="13"/>
        <v>#DIV/0!</v>
      </c>
      <c r="AL33" s="2" t="e">
        <f t="shared" si="13"/>
        <v>#DIV/0!</v>
      </c>
      <c r="AM33" s="2" t="e">
        <f t="shared" si="13"/>
        <v>#DIV/0!</v>
      </c>
      <c r="AN33" s="2" t="e">
        <f t="shared" si="13"/>
        <v>#DIV/0!</v>
      </c>
      <c r="AO33" s="2" t="e">
        <f t="shared" si="13"/>
        <v>#DIV/0!</v>
      </c>
      <c r="AP33" s="8">
        <f t="shared" ca="1" si="13"/>
        <v>0</v>
      </c>
      <c r="AQ33" s="2" t="e">
        <f t="shared" si="13"/>
        <v>#DIV/0!</v>
      </c>
      <c r="AR33" s="2" t="e">
        <f t="shared" si="13"/>
        <v>#DIV/0!</v>
      </c>
      <c r="AS33" s="2" t="e">
        <f t="shared" si="13"/>
        <v>#DIV/0!</v>
      </c>
      <c r="AT33" s="2" t="e">
        <f t="shared" si="13"/>
        <v>#DIV/0!</v>
      </c>
      <c r="AU33" s="2" t="e">
        <f t="shared" si="13"/>
        <v>#DIV/0!</v>
      </c>
      <c r="AV33" s="8">
        <f t="shared" ca="1" si="13"/>
        <v>0</v>
      </c>
      <c r="AW33" s="2" t="e">
        <f t="shared" si="13"/>
        <v>#DIV/0!</v>
      </c>
      <c r="AX33" s="2" t="e">
        <f t="shared" si="13"/>
        <v>#DIV/0!</v>
      </c>
      <c r="AY33" s="2" t="e">
        <f t="shared" si="13"/>
        <v>#DIV/0!</v>
      </c>
      <c r="AZ33" s="2" t="e">
        <f t="shared" si="13"/>
        <v>#DIV/0!</v>
      </c>
      <c r="BA33" s="2" t="e">
        <f t="shared" si="13"/>
        <v>#DIV/0!</v>
      </c>
      <c r="BB33" s="2" t="e">
        <f t="shared" si="13"/>
        <v>#DIV/0!</v>
      </c>
      <c r="BC33" s="2" t="e">
        <f t="shared" si="13"/>
        <v>#DIV/0!</v>
      </c>
      <c r="BD33" s="8">
        <f t="shared" ca="1" si="13"/>
        <v>0</v>
      </c>
      <c r="BE33" s="2" t="e">
        <f t="shared" si="13"/>
        <v>#DIV/0!</v>
      </c>
      <c r="BF33" s="2" t="e">
        <f t="shared" si="13"/>
        <v>#DIV/0!</v>
      </c>
      <c r="BG33" s="2" t="e">
        <f t="shared" si="13"/>
        <v>#DIV/0!</v>
      </c>
      <c r="BH33" s="2" t="e">
        <f t="shared" si="13"/>
        <v>#DIV/0!</v>
      </c>
      <c r="BI33" s="2" t="e">
        <f t="shared" si="13"/>
        <v>#DIV/0!</v>
      </c>
      <c r="BJ33" s="2" t="e">
        <f t="shared" si="13"/>
        <v>#DIV/0!</v>
      </c>
      <c r="BK33" s="2" t="e">
        <f t="shared" si="13"/>
        <v>#DIV/0!</v>
      </c>
      <c r="BL33" s="8">
        <f t="shared" ca="1" si="13"/>
        <v>0</v>
      </c>
      <c r="BM33" s="2" t="e">
        <f t="shared" si="13"/>
        <v>#DIV/0!</v>
      </c>
      <c r="BN33" s="2" t="e">
        <f t="shared" ref="BN33:BS33" si="14">BN31+BN4</f>
        <v>#DIV/0!</v>
      </c>
      <c r="BO33" s="2" t="e">
        <f t="shared" si="14"/>
        <v>#DIV/0!</v>
      </c>
      <c r="BP33" s="2" t="e">
        <f t="shared" si="14"/>
        <v>#DIV/0!</v>
      </c>
      <c r="BQ33" s="2" t="e">
        <f t="shared" si="14"/>
        <v>#DIV/0!</v>
      </c>
      <c r="BR33" s="2" t="e">
        <f t="shared" si="14"/>
        <v>#DIV/0!</v>
      </c>
      <c r="BS33" s="2" t="e">
        <f t="shared" si="14"/>
        <v>#DIV/0!</v>
      </c>
    </row>
    <row r="34" spans="1:71" s="1" customFormat="1" x14ac:dyDescent="0.2">
      <c r="A34" s="1" t="s">
        <v>5</v>
      </c>
      <c r="B34" s="3">
        <f t="shared" ref="B34:AG34" si="15">B4</f>
        <v>0</v>
      </c>
      <c r="C34" s="3">
        <f t="shared" si="15"/>
        <v>0</v>
      </c>
      <c r="D34" s="10">
        <f t="shared" si="15"/>
        <v>0</v>
      </c>
      <c r="E34" s="3">
        <f t="shared" si="15"/>
        <v>0</v>
      </c>
      <c r="F34" s="3">
        <f t="shared" si="15"/>
        <v>0</v>
      </c>
      <c r="G34" s="3">
        <f t="shared" si="15"/>
        <v>0</v>
      </c>
      <c r="H34" s="10">
        <f t="shared" si="15"/>
        <v>0</v>
      </c>
      <c r="I34" s="3">
        <f t="shared" si="15"/>
        <v>0</v>
      </c>
      <c r="J34" s="3">
        <f t="shared" si="15"/>
        <v>0</v>
      </c>
      <c r="K34" s="3">
        <f t="shared" si="15"/>
        <v>0</v>
      </c>
      <c r="L34" s="10">
        <f t="shared" si="15"/>
        <v>0</v>
      </c>
      <c r="M34" s="3">
        <f t="shared" si="15"/>
        <v>0</v>
      </c>
      <c r="N34" s="3">
        <f t="shared" si="15"/>
        <v>0</v>
      </c>
      <c r="O34" s="3">
        <f t="shared" si="15"/>
        <v>0</v>
      </c>
      <c r="P34" s="10">
        <f t="shared" si="15"/>
        <v>0</v>
      </c>
      <c r="Q34" s="3">
        <f t="shared" si="15"/>
        <v>0</v>
      </c>
      <c r="R34" s="3">
        <f t="shared" si="15"/>
        <v>0</v>
      </c>
      <c r="S34" s="3">
        <f t="shared" si="15"/>
        <v>0</v>
      </c>
      <c r="T34" s="10">
        <f t="shared" si="15"/>
        <v>0</v>
      </c>
      <c r="U34" s="3">
        <f t="shared" si="15"/>
        <v>0</v>
      </c>
      <c r="V34" s="3">
        <f t="shared" si="15"/>
        <v>0</v>
      </c>
      <c r="W34" s="3">
        <f t="shared" si="15"/>
        <v>0</v>
      </c>
      <c r="X34" s="10">
        <f t="shared" si="15"/>
        <v>0</v>
      </c>
      <c r="Y34" s="3">
        <f t="shared" si="15"/>
        <v>0</v>
      </c>
      <c r="Z34" s="3">
        <f t="shared" si="15"/>
        <v>0</v>
      </c>
      <c r="AA34" s="3">
        <f t="shared" si="15"/>
        <v>0</v>
      </c>
      <c r="AB34" s="3">
        <f t="shared" si="15"/>
        <v>0</v>
      </c>
      <c r="AC34" s="3">
        <f t="shared" si="15"/>
        <v>0</v>
      </c>
      <c r="AD34" s="10">
        <f t="shared" si="15"/>
        <v>0</v>
      </c>
      <c r="AE34" s="3">
        <f t="shared" si="15"/>
        <v>0</v>
      </c>
      <c r="AF34" s="3">
        <f t="shared" si="15"/>
        <v>0</v>
      </c>
      <c r="AG34" s="3">
        <f t="shared" si="15"/>
        <v>0</v>
      </c>
      <c r="AH34" s="3">
        <f t="shared" ref="AH34:BM34" si="16">AH4</f>
        <v>0</v>
      </c>
      <c r="AI34" s="3">
        <f t="shared" si="16"/>
        <v>0</v>
      </c>
      <c r="AJ34" s="10">
        <f t="shared" si="16"/>
        <v>0</v>
      </c>
      <c r="AK34" s="3">
        <f t="shared" si="16"/>
        <v>0</v>
      </c>
      <c r="AL34" s="3">
        <f t="shared" si="16"/>
        <v>0</v>
      </c>
      <c r="AM34" s="3">
        <f t="shared" si="16"/>
        <v>0</v>
      </c>
      <c r="AN34" s="3">
        <f t="shared" si="16"/>
        <v>0</v>
      </c>
      <c r="AO34" s="3">
        <f t="shared" si="16"/>
        <v>0</v>
      </c>
      <c r="AP34" s="10">
        <f t="shared" si="16"/>
        <v>0</v>
      </c>
      <c r="AQ34" s="3">
        <f t="shared" si="16"/>
        <v>0</v>
      </c>
      <c r="AR34" s="3">
        <f t="shared" si="16"/>
        <v>0</v>
      </c>
      <c r="AS34" s="3">
        <f t="shared" si="16"/>
        <v>0</v>
      </c>
      <c r="AT34" s="3">
        <f t="shared" si="16"/>
        <v>0</v>
      </c>
      <c r="AU34" s="3">
        <f t="shared" si="16"/>
        <v>0</v>
      </c>
      <c r="AV34" s="10">
        <f t="shared" si="16"/>
        <v>0</v>
      </c>
      <c r="AW34" s="3">
        <f t="shared" si="16"/>
        <v>0</v>
      </c>
      <c r="AX34" s="3">
        <f t="shared" si="16"/>
        <v>0</v>
      </c>
      <c r="AY34" s="3">
        <f t="shared" si="16"/>
        <v>0</v>
      </c>
      <c r="AZ34" s="3">
        <f t="shared" si="16"/>
        <v>0</v>
      </c>
      <c r="BA34" s="3">
        <f t="shared" si="16"/>
        <v>0</v>
      </c>
      <c r="BB34" s="3">
        <f t="shared" si="16"/>
        <v>0</v>
      </c>
      <c r="BC34" s="3">
        <f t="shared" si="16"/>
        <v>0</v>
      </c>
      <c r="BD34" s="10">
        <f t="shared" si="16"/>
        <v>0</v>
      </c>
      <c r="BE34" s="3">
        <f t="shared" si="16"/>
        <v>0</v>
      </c>
      <c r="BF34" s="3">
        <f t="shared" si="16"/>
        <v>0</v>
      </c>
      <c r="BG34" s="3">
        <f t="shared" si="16"/>
        <v>0</v>
      </c>
      <c r="BH34" s="3">
        <f t="shared" si="16"/>
        <v>0</v>
      </c>
      <c r="BI34" s="3">
        <f t="shared" si="16"/>
        <v>0</v>
      </c>
      <c r="BJ34" s="3">
        <f t="shared" si="16"/>
        <v>0</v>
      </c>
      <c r="BK34" s="3">
        <f t="shared" si="16"/>
        <v>0</v>
      </c>
      <c r="BL34" s="10">
        <f t="shared" si="16"/>
        <v>0</v>
      </c>
      <c r="BM34" s="3">
        <f t="shared" si="16"/>
        <v>0</v>
      </c>
      <c r="BN34" s="3">
        <f t="shared" ref="BN34:BS34" si="17">BN4</f>
        <v>0</v>
      </c>
      <c r="BO34" s="3">
        <f t="shared" si="17"/>
        <v>0</v>
      </c>
      <c r="BP34" s="3">
        <f t="shared" si="17"/>
        <v>0</v>
      </c>
      <c r="BQ34" s="3">
        <f t="shared" si="17"/>
        <v>0</v>
      </c>
      <c r="BR34" s="3">
        <f t="shared" si="17"/>
        <v>0</v>
      </c>
      <c r="BS34" s="3">
        <f t="shared" si="17"/>
        <v>0</v>
      </c>
    </row>
    <row r="35" spans="1:71" s="1" customFormat="1" x14ac:dyDescent="0.2">
      <c r="A35" s="1" t="s">
        <v>16</v>
      </c>
      <c r="B35" s="1">
        <f>EXP(B34)</f>
        <v>1</v>
      </c>
      <c r="C35" s="1">
        <f>EXP(C34)</f>
        <v>1</v>
      </c>
      <c r="D35" s="11">
        <f>EXP(D34)</f>
        <v>1</v>
      </c>
      <c r="E35" s="1">
        <f>1/EXP(E34)</f>
        <v>1</v>
      </c>
      <c r="F35" s="1">
        <f t="shared" ref="F35" si="18">1/EXP(F34)</f>
        <v>1</v>
      </c>
      <c r="G35" s="1">
        <f>EXP(G34+D34)</f>
        <v>1</v>
      </c>
      <c r="H35" s="11">
        <f>H34</f>
        <v>0</v>
      </c>
      <c r="I35" s="1">
        <f t="shared" ref="I35:M35" si="19">EXP(I34)</f>
        <v>1</v>
      </c>
      <c r="J35" s="1">
        <f t="shared" si="19"/>
        <v>1</v>
      </c>
      <c r="K35" s="1">
        <f>K34+H34</f>
        <v>0</v>
      </c>
      <c r="L35" s="11">
        <f>L34</f>
        <v>0</v>
      </c>
      <c r="M35" s="1">
        <f t="shared" si="19"/>
        <v>1</v>
      </c>
      <c r="N35" s="1">
        <f t="shared" ref="N35" si="20">N34</f>
        <v>0</v>
      </c>
      <c r="O35" s="1">
        <f>EXP(O34+M34)</f>
        <v>1</v>
      </c>
      <c r="P35" s="11">
        <f t="shared" ref="P35:V35" si="21">EXP(P34)</f>
        <v>1</v>
      </c>
      <c r="Q35" s="1">
        <f t="shared" si="21"/>
        <v>1</v>
      </c>
      <c r="R35" s="1">
        <f t="shared" si="21"/>
        <v>1</v>
      </c>
      <c r="S35" s="1">
        <f>EXP(S34+P34)</f>
        <v>1</v>
      </c>
      <c r="T35" s="11">
        <f t="shared" si="21"/>
        <v>1</v>
      </c>
      <c r="U35" s="1">
        <f t="shared" si="21"/>
        <v>1</v>
      </c>
      <c r="V35" s="1">
        <f t="shared" si="21"/>
        <v>1</v>
      </c>
      <c r="W35" s="1">
        <f>EXP(W34+T34)</f>
        <v>1</v>
      </c>
      <c r="X35" s="11">
        <f>X34</f>
        <v>0</v>
      </c>
      <c r="Y35" s="1">
        <f t="shared" ref="Y35" si="22">EXP(Y34)</f>
        <v>1</v>
      </c>
      <c r="Z35" s="1">
        <f t="shared" ref="Z35:AA35" si="23">Z34</f>
        <v>0</v>
      </c>
      <c r="AA35" s="1">
        <f t="shared" si="23"/>
        <v>0</v>
      </c>
      <c r="AB35" s="1">
        <f>EXP(AB34+Y34)</f>
        <v>1</v>
      </c>
      <c r="AC35" s="1">
        <f>AC34+Z34</f>
        <v>0</v>
      </c>
      <c r="AD35" s="11">
        <f>AD34</f>
        <v>0</v>
      </c>
      <c r="AE35" s="1">
        <f t="shared" ref="AE35:BP35" si="24">AE34</f>
        <v>0</v>
      </c>
      <c r="AF35" s="1">
        <f t="shared" si="24"/>
        <v>0</v>
      </c>
      <c r="AG35" s="1">
        <f t="shared" si="24"/>
        <v>0</v>
      </c>
      <c r="AH35" s="1">
        <f>AH34+AE35</f>
        <v>0</v>
      </c>
      <c r="AI35" s="1">
        <f>AI34+AF35</f>
        <v>0</v>
      </c>
      <c r="AJ35" s="11">
        <f t="shared" si="24"/>
        <v>0</v>
      </c>
      <c r="AK35" s="1">
        <f t="shared" si="24"/>
        <v>0</v>
      </c>
      <c r="AL35" s="1">
        <f t="shared" si="24"/>
        <v>0</v>
      </c>
      <c r="AM35" s="1">
        <f t="shared" si="24"/>
        <v>0</v>
      </c>
      <c r="AN35" s="1">
        <f>AN34+AK35</f>
        <v>0</v>
      </c>
      <c r="AO35" s="1">
        <f>AO34+AL35</f>
        <v>0</v>
      </c>
      <c r="AP35" s="11">
        <f t="shared" si="24"/>
        <v>0</v>
      </c>
      <c r="AQ35" s="1">
        <f t="shared" si="24"/>
        <v>0</v>
      </c>
      <c r="AR35" s="1">
        <f t="shared" si="24"/>
        <v>0</v>
      </c>
      <c r="AS35" s="1">
        <f t="shared" si="24"/>
        <v>0</v>
      </c>
      <c r="AT35" s="1">
        <f>AT34+AQ35</f>
        <v>0</v>
      </c>
      <c r="AU35" s="1">
        <f>AU34+AR35</f>
        <v>0</v>
      </c>
      <c r="AV35" s="11">
        <f t="shared" si="24"/>
        <v>0</v>
      </c>
      <c r="AW35" s="1">
        <f t="shared" si="24"/>
        <v>0</v>
      </c>
      <c r="AX35" s="1">
        <f t="shared" si="24"/>
        <v>0</v>
      </c>
      <c r="AY35" s="1">
        <f t="shared" si="24"/>
        <v>0</v>
      </c>
      <c r="AZ35" s="1">
        <f t="shared" si="24"/>
        <v>0</v>
      </c>
      <c r="BA35" s="1">
        <f>BA34+AW35</f>
        <v>0</v>
      </c>
      <c r="BB35" s="1">
        <f>BB34+AX35</f>
        <v>0</v>
      </c>
      <c r="BC35" s="1">
        <f>BC34+AY35</f>
        <v>0</v>
      </c>
      <c r="BD35" s="11">
        <f t="shared" si="24"/>
        <v>0</v>
      </c>
      <c r="BE35" s="1">
        <f t="shared" si="24"/>
        <v>0</v>
      </c>
      <c r="BF35" s="1">
        <f t="shared" si="24"/>
        <v>0</v>
      </c>
      <c r="BG35" s="1">
        <f t="shared" si="24"/>
        <v>0</v>
      </c>
      <c r="BH35" s="1">
        <f t="shared" si="24"/>
        <v>0</v>
      </c>
      <c r="BI35" s="1">
        <f>BI34+BE35</f>
        <v>0</v>
      </c>
      <c r="BJ35" s="1">
        <f>BJ34+BF35</f>
        <v>0</v>
      </c>
      <c r="BK35" s="1">
        <f>BK34+BG35</f>
        <v>0</v>
      </c>
      <c r="BL35" s="11">
        <f t="shared" si="24"/>
        <v>0</v>
      </c>
      <c r="BM35" s="1">
        <f t="shared" si="24"/>
        <v>0</v>
      </c>
      <c r="BN35" s="1">
        <f t="shared" si="24"/>
        <v>0</v>
      </c>
      <c r="BO35" s="1">
        <f t="shared" si="24"/>
        <v>0</v>
      </c>
      <c r="BP35" s="1">
        <f t="shared" si="24"/>
        <v>0</v>
      </c>
      <c r="BQ35" s="1">
        <f>BQ34+BM35</f>
        <v>0</v>
      </c>
      <c r="BR35" s="1">
        <f>BR34+BN35</f>
        <v>0</v>
      </c>
      <c r="BS35" s="1">
        <f>BS34+BO35</f>
        <v>0</v>
      </c>
    </row>
    <row r="36" spans="1:71" s="1" customFormat="1" x14ac:dyDescent="0.2">
      <c r="D36" s="11"/>
      <c r="H36" s="11"/>
      <c r="L36" s="11"/>
      <c r="P36" s="11"/>
      <c r="T36" s="11"/>
      <c r="X36" s="11"/>
      <c r="AD36" s="11"/>
      <c r="AJ36" s="11"/>
      <c r="AP36" s="11"/>
      <c r="AV36" s="11"/>
      <c r="BD36" s="11"/>
      <c r="BL36" s="11"/>
    </row>
    <row r="37" spans="1:71" s="4" customFormat="1" x14ac:dyDescent="0.2">
      <c r="A37" s="4" t="s">
        <v>0</v>
      </c>
      <c r="B37" s="4" t="s">
        <v>1</v>
      </c>
      <c r="D37" s="7" t="s">
        <v>1</v>
      </c>
      <c r="H37" s="7" t="s">
        <v>1</v>
      </c>
      <c r="L37" s="7" t="s">
        <v>1</v>
      </c>
      <c r="P37" s="7" t="s">
        <v>1</v>
      </c>
      <c r="T37" s="7" t="s">
        <v>1</v>
      </c>
      <c r="X37" s="7" t="s">
        <v>1</v>
      </c>
      <c r="AD37" s="7" t="s">
        <v>1</v>
      </c>
      <c r="AE37" s="4" t="s">
        <v>9</v>
      </c>
      <c r="AF37" s="4" t="e">
        <f>(MAX(AD9:AF9)-AE9)/(MAX(AD9:AF9)-MIN(AD9:AF9))</f>
        <v>#DIV/0!</v>
      </c>
      <c r="AJ37" s="7" t="s">
        <v>1</v>
      </c>
      <c r="AK37" s="4" t="s">
        <v>9</v>
      </c>
      <c r="AL37" s="4" t="e">
        <f>(MAX(AJ9:AL9)-AK9)/(MAX(AJ9:AL9)-MIN(AJ9:AL9))</f>
        <v>#DIV/0!</v>
      </c>
      <c r="AP37" s="7" t="s">
        <v>1</v>
      </c>
      <c r="AQ37" s="4" t="s">
        <v>9</v>
      </c>
      <c r="AR37" s="4" t="e">
        <f>(MAX(AP9:AR9)-AQ9)/(MAX(AP9:AR9)-MIN(AP9:AR9))</f>
        <v>#DIV/0!</v>
      </c>
      <c r="AV37" s="7" t="s">
        <v>1</v>
      </c>
      <c r="AW37" s="4" t="s">
        <v>9</v>
      </c>
      <c r="AX37" s="4" t="e">
        <f>(MAX(AV9:AY9)-AW9)/(MAX(AV9:AY9)-MIN(AV9:AY9))</f>
        <v>#DIV/0!</v>
      </c>
      <c r="AY37" s="4" t="e">
        <f>(MAX(AV9:AY9)-AX9)/(MAX(AV9:AY9)-MIN(AV9:AY9))</f>
        <v>#DIV/0!</v>
      </c>
      <c r="BD37" s="7" t="s">
        <v>1</v>
      </c>
      <c r="BE37" s="4" t="s">
        <v>9</v>
      </c>
      <c r="BF37" s="4" t="e">
        <f>(MAX(BD9:BG9)-BE9)/(MAX(BD9:BG9)-MIN(BD9:BG9))</f>
        <v>#DIV/0!</v>
      </c>
      <c r="BG37" s="4" t="e">
        <f>(MAX(BD9:BG9)-BF9)/(MAX(BD9:BG9)-MIN(BD9:BG9))</f>
        <v>#DIV/0!</v>
      </c>
      <c r="BL37" s="7" t="s">
        <v>1</v>
      </c>
      <c r="BM37" s="4" t="s">
        <v>9</v>
      </c>
      <c r="BN37" s="4" t="e">
        <f>(MAX(BL9:BO9)-BM9)/(MAX(BL9:BO9)-MIN(BL9:BO9))</f>
        <v>#DIV/0!</v>
      </c>
      <c r="BO37" s="4" t="e">
        <f>(MAX(BL9:BO9)-BN9)/(MAX(BL9:BO9)-MIN(BL9:BO9))</f>
        <v>#DIV/0!</v>
      </c>
    </row>
    <row r="38" spans="1:71" s="4" customFormat="1" x14ac:dyDescent="0.2">
      <c r="A38" s="4" t="s">
        <v>6</v>
      </c>
      <c r="B38" s="4">
        <f>B2</f>
        <v>0</v>
      </c>
      <c r="D38" s="7">
        <f>D2</f>
        <v>0</v>
      </c>
      <c r="H38" s="7">
        <f>H2</f>
        <v>0</v>
      </c>
      <c r="L38" s="7">
        <f>L2</f>
        <v>0</v>
      </c>
      <c r="P38" s="7">
        <f>P2</f>
        <v>0</v>
      </c>
      <c r="T38" s="7">
        <f>T2</f>
        <v>0</v>
      </c>
      <c r="X38" s="7">
        <f>X2</f>
        <v>0</v>
      </c>
      <c r="AD38" s="7">
        <f>AD2</f>
        <v>0</v>
      </c>
      <c r="AJ38" s="7">
        <f>AJ2</f>
        <v>0</v>
      </c>
      <c r="AP38" s="7">
        <f>AP2</f>
        <v>0</v>
      </c>
      <c r="AV38" s="7">
        <f>AV2</f>
        <v>0</v>
      </c>
      <c r="BD38" s="7">
        <f>BD2</f>
        <v>0</v>
      </c>
      <c r="BL38" s="7">
        <f>BL2</f>
        <v>0</v>
      </c>
    </row>
    <row r="39" spans="1:71" s="1" customFormat="1" x14ac:dyDescent="0.2">
      <c r="A39" s="3">
        <f>1/12</f>
        <v>8.3333333333333329E-2</v>
      </c>
      <c r="B39" s="1" t="s">
        <v>2</v>
      </c>
      <c r="C39" s="1" t="s">
        <v>3</v>
      </c>
      <c r="D39" s="11" t="s">
        <v>2</v>
      </c>
      <c r="E39" s="1" t="s">
        <v>3</v>
      </c>
      <c r="H39" s="11" t="s">
        <v>2</v>
      </c>
      <c r="I39" s="1" t="s">
        <v>3</v>
      </c>
      <c r="L39" s="11" t="s">
        <v>2</v>
      </c>
      <c r="M39" s="1" t="s">
        <v>3</v>
      </c>
      <c r="P39" s="11" t="s">
        <v>2</v>
      </c>
      <c r="Q39" s="1" t="s">
        <v>3</v>
      </c>
      <c r="T39" s="11" t="s">
        <v>2</v>
      </c>
      <c r="U39" s="1" t="s">
        <v>3</v>
      </c>
      <c r="X39" s="11" t="s">
        <v>2</v>
      </c>
      <c r="Y39" s="1" t="s">
        <v>3</v>
      </c>
      <c r="AD39" s="11" t="s">
        <v>13</v>
      </c>
      <c r="AE39" s="1" t="s">
        <v>14</v>
      </c>
      <c r="AG39" s="1" t="s">
        <v>2</v>
      </c>
      <c r="AH39" s="1" t="s">
        <v>3</v>
      </c>
      <c r="AJ39" s="11" t="s">
        <v>13</v>
      </c>
      <c r="AK39" s="1" t="s">
        <v>14</v>
      </c>
      <c r="AM39" s="1" t="s">
        <v>2</v>
      </c>
      <c r="AN39" s="1" t="s">
        <v>3</v>
      </c>
      <c r="AP39" s="11" t="s">
        <v>13</v>
      </c>
      <c r="AQ39" s="1" t="s">
        <v>14</v>
      </c>
      <c r="AS39" s="1" t="s">
        <v>2</v>
      </c>
      <c r="AT39" s="1" t="s">
        <v>3</v>
      </c>
      <c r="AV39" s="11" t="s">
        <v>13</v>
      </c>
      <c r="AW39" s="1" t="s">
        <v>14</v>
      </c>
      <c r="AY39" s="1" t="s">
        <v>2</v>
      </c>
      <c r="AZ39" s="1" t="s">
        <v>3</v>
      </c>
      <c r="BD39" s="11" t="s">
        <v>13</v>
      </c>
      <c r="BE39" s="1" t="s">
        <v>14</v>
      </c>
      <c r="BG39" s="1" t="s">
        <v>2</v>
      </c>
      <c r="BH39" s="1" t="s">
        <v>3</v>
      </c>
      <c r="BL39" s="11" t="s">
        <v>13</v>
      </c>
      <c r="BM39" s="1" t="s">
        <v>14</v>
      </c>
      <c r="BO39" s="1" t="s">
        <v>2</v>
      </c>
      <c r="BP39" s="1" t="s">
        <v>3</v>
      </c>
    </row>
    <row r="40" spans="1:71" x14ac:dyDescent="0.2">
      <c r="A40" s="2">
        <v>0</v>
      </c>
      <c r="B40" s="2">
        <v>1</v>
      </c>
      <c r="C40" s="2">
        <v>1</v>
      </c>
      <c r="D40" s="8">
        <v>1</v>
      </c>
      <c r="E40" s="2">
        <v>1</v>
      </c>
      <c r="H40" s="8">
        <v>1</v>
      </c>
      <c r="I40" s="2">
        <v>1</v>
      </c>
      <c r="L40" s="8">
        <v>1</v>
      </c>
      <c r="M40" s="2">
        <v>1</v>
      </c>
      <c r="P40" s="8">
        <v>1</v>
      </c>
      <c r="Q40" s="2">
        <v>1</v>
      </c>
      <c r="T40" s="8">
        <v>1</v>
      </c>
      <c r="U40" s="2">
        <v>1</v>
      </c>
      <c r="X40" s="8">
        <v>1</v>
      </c>
      <c r="Y40" s="2">
        <v>1</v>
      </c>
      <c r="AG40" s="2">
        <v>1</v>
      </c>
      <c r="AH40" s="2">
        <v>1</v>
      </c>
      <c r="AM40" s="2">
        <v>1</v>
      </c>
      <c r="AN40" s="2">
        <v>1</v>
      </c>
      <c r="AS40" s="2">
        <v>1</v>
      </c>
      <c r="AT40" s="2">
        <v>1</v>
      </c>
      <c r="AY40" s="2">
        <v>1</v>
      </c>
      <c r="AZ40" s="2">
        <v>1</v>
      </c>
      <c r="BG40" s="2">
        <v>1</v>
      </c>
      <c r="BH40" s="2">
        <v>1</v>
      </c>
      <c r="BO40" s="2">
        <v>1</v>
      </c>
      <c r="BP40" s="2">
        <v>1</v>
      </c>
    </row>
    <row r="41" spans="1:71" x14ac:dyDescent="0.2">
      <c r="A41" s="2">
        <f>A40+$A$39</f>
        <v>8.3333333333333329E-2</v>
      </c>
      <c r="B41" s="2">
        <f>EXP(-$A41*$B$35)</f>
        <v>0.92004441462932329</v>
      </c>
      <c r="C41" s="2">
        <f t="shared" ref="C41:C72" si="25">EXP(-$A41*$B$35*C$35)</f>
        <v>0.92004441462932329</v>
      </c>
      <c r="D41" s="8">
        <f t="shared" ref="D41:D72" si="26">EXP(-(($A41*$E$35)^$D$35))</f>
        <v>0.92004441462932329</v>
      </c>
      <c r="E41" s="2">
        <f t="shared" ref="E41:E72" si="27">EXP(-(($A41*$E$35*F$35)^$G$35))</f>
        <v>0.92004441462932329</v>
      </c>
      <c r="H41" s="8" t="e">
        <f t="shared" ref="H41:H72" si="28">EXP(-(($I$35)/$H$35)*(EXP($H$35*$A41)-1))</f>
        <v>#DIV/0!</v>
      </c>
      <c r="I41" s="2" t="e">
        <f t="shared" ref="I41:I72" si="29">EXP(-(($I$35*J$35)/$K$35)*(EXP($K$35*$A41)-1))</f>
        <v>#DIV/0!</v>
      </c>
      <c r="L41" s="8">
        <f t="shared" ref="L41:L72" si="30">1-_xlfn.NORM.S.DIST((LN($A41)-$L$35)/$M$35,TRUE)</f>
        <v>0.99352072946647285</v>
      </c>
      <c r="M41" s="2">
        <f t="shared" ref="M41:M72" si="31">1-_xlfn.NORM.S.DIST((LN($A41)-$L$35-N$35)/$O$35,TRUE)</f>
        <v>0.99352072946647285</v>
      </c>
      <c r="P41" s="8">
        <f t="shared" ref="P41:P72" si="32">1-(1/(1+($A41/($Q$35))^(-$P$35)))</f>
        <v>0.92307692307692313</v>
      </c>
      <c r="Q41" s="2">
        <f t="shared" ref="Q41:Q72" si="33">1-(1/(1+($A41/($Q$35*R$35))^(-$S$35)))</f>
        <v>0.92307692307692313</v>
      </c>
      <c r="T41" s="8">
        <f t="shared" ref="T41:T72" si="34">1-(_xlfn.GAMMA.DIST($U$35*$A41,$T$35,1,TRUE)*EXP(GAMMALN($T$35)))/EXP(GAMMALN($T$35))</f>
        <v>0.92004441462932329</v>
      </c>
      <c r="U41" s="2">
        <f t="shared" ref="U41:U72" si="35">1-(_xlfn.GAMMA.DIST($U$35*V$35*$A41,$W$35,1,TRUE)*EXP(GAMMALN($W$35)))/EXP(GAMMALN($W$35))</f>
        <v>0.92004441462932329</v>
      </c>
      <c r="X41" s="8">
        <f t="shared" ref="X41:X72" si="36">IF(ABS($Z$35)&lt;0.05,
        1-_xlfn.NORM.S.DIST((LN($A41)-$X$35)/$Y$35,TRUE),
        IF(0=1-
            IF($Z$35&gt;0,
                    _xlfn.GAMMA.DIST(EXP($Z$35*((LN($A41)-$X$35)/$Y$35))*($Z$35^(-2)),($Z$35^(-2)),1, TRUE),
                    1-_xlfn.GAMMA.DIST(EXP($Z$35*((LN($A41)-$X$35)/$Y$35))*($Z$35^(-2)),($Z$35^(-2)),1, TRUE)),
            0,
            EXP(LN(1-
                IF($Z$35&gt;0,
                    _xlfn.GAMMA.DIST(EXP($Z$35*((LN($A41)-$X$35)/$Y$35))*($Z$35^(-2)),($Z$35^(-2)),1, TRUE),
                    1-_xlfn.GAMMA.DIST(EXP($Z$35*((LN($A41)-$X$35)/$Y$35))*($Z$35^(-2)),($Z$35^(-2)),1, TRUE))))))</f>
        <v>0.99352072946647285</v>
      </c>
      <c r="Y41" s="2">
        <f t="shared" ref="Y41:Y72" si="37">IF(ABS($AC$35)&lt;0.05,
        1-_xlfn.NORM.S.DIST((LN($A41)-($X$35+AA$35))/$AB$35,TRUE),
        IF(0=1-
            IF($AC$35&gt;0,
                    _xlfn.GAMMA.DIST(EXP($AC$35*((LN($A41)-($X$35+AA$35))/$AB$35))*($AC$35^(-2)),($AC$35^(-2)),1, TRUE),
                    1-_xlfn.GAMMA.DIST(EXP($AC$35*((LN($A41)-($X$35+AA$35))/$AB$35))*($AC$35^(-2)),($AC$35^(-2)),1, TRUE)),
            0,
            EXP(LN(1-
                IF($AC$35&gt;0,
                    _xlfn.GAMMA.DIST(EXP($AC$35*((LN($A41)-($X$35+AA$35))/$AB$35))*($AC$35^(-2)),($AC$35^(-2)),1, TRUE),
                    1-_xlfn.GAMMA.DIST(EXP($AC$35*((LN($A41)-($X$35+AA$35))/$AB$35))*($AC$35^(-2)),($AC$35^(-2)),1, TRUE))))))</f>
        <v>0.99352072946647285</v>
      </c>
      <c r="AD41" s="8" t="e">
        <f t="shared" ref="AD41:AD72" si="38">AD$35+
AE$35*LN($A41)+
AF$35*(MAX(LN($A41)-AE$9,0)^3-AF$37*MAX(LN($A41)-AD$9,0)^3-(1-AF$37)*MAX(LN($A41)-AF$9,0)^3)</f>
        <v>#DIV/0!</v>
      </c>
      <c r="AE41" s="2" t="e">
        <f t="shared" ref="AE41:AE72" si="39">AD$35+
AH$35*LN($A41)+
AI$35*(MAX(LN($A41)-AE$9,0)^3-AF$37*MAX(LN($A41)-AD$9,0)^3-(1-AF$37)*MAX(LN($A41)-AF$9,0)^3)</f>
        <v>#DIV/0!</v>
      </c>
      <c r="AG41" s="2" t="e">
        <f>EXP(-EXP($AD41))</f>
        <v>#DIV/0!</v>
      </c>
      <c r="AH41" s="2" t="e">
        <f>EXP(-EXP($AE41+AG$35))</f>
        <v>#DIV/0!</v>
      </c>
      <c r="AJ41" s="8" t="e">
        <f t="shared" ref="AJ41:AJ72" si="40">AJ$35+
AK$35*LN($A41)+
AL$35*(MAX(LN($A41)-AK$9,0)^3-AL$37*MAX(LN($A41)-AJ$9,0)^3-(1-AL$37)*MAX(LN($A41)-AL$9,0)^3)</f>
        <v>#DIV/0!</v>
      </c>
      <c r="AK41" s="2" t="e">
        <f t="shared" ref="AK41:AK72" si="41">AJ$35+
AN$35*LN($A41)+
AO$35*(MAX(LN($A41)-AK$9,0)^3-AL$37*MAX(LN($A41)-AJ$9,0)^3-(1-AL$37)*MAX(LN($A41)-AL$9,0)^3)</f>
        <v>#DIV/0!</v>
      </c>
      <c r="AM41" s="2" t="e">
        <f>1-(EXP($AJ41)/(1 + EXP($AJ41)))</f>
        <v>#DIV/0!</v>
      </c>
      <c r="AN41" s="2" t="e">
        <f>1-(EXP($AK41+AM$35)/(1 + EXP($AK41+AM$35)))</f>
        <v>#DIV/0!</v>
      </c>
      <c r="AP41" s="8" t="e">
        <f t="shared" ref="AP41:AP72" si="42">AP$35+
AQ$35*LN($A41)+
AR$35*(MAX(LN($A41)-AQ$9,0)^3-AR$37*MAX(LN($A41)-AP$9,0)^3-(1-AR$37)*MAX(LN($A41)-AR$9,0)^3)</f>
        <v>#DIV/0!</v>
      </c>
      <c r="AQ41" s="2" t="e">
        <f t="shared" ref="AQ41:AQ72" si="43">AP$35+
AT$35*LN($A41)+
AU$35*(MAX(LN($A41)-AQ$9,0)^3-AR$37*MAX(LN($A41)-AP$9,0)^3-(1-AR$37)*MAX(LN($A41)-AR$9,0)^3)</f>
        <v>#DIV/0!</v>
      </c>
      <c r="AS41" s="2" t="e">
        <f>1-NORMSDIST($AP41)</f>
        <v>#DIV/0!</v>
      </c>
      <c r="AT41" s="16" t="e">
        <f>1-NORMSDIST($AQ41+AS$35)</f>
        <v>#DIV/0!</v>
      </c>
      <c r="AV41" s="8" t="e">
        <f t="shared" ref="AV41:AV72" si="44">AV$35+
AW$35*LN($A41)+
AX$35*(MAX(LN($A41)-AW$9,0)^3-AX$37*MAX(LN($A41)-AV$9,0)^3-(1-AX$37)*MAX(LN($A41)-AY$9,0)^3)+
AY$35*(MAX(LN($A41)-AX$9,0)^3-AY$37*MAX(LN($A41)-AV$9,0)^3-(1-AY$37)*MAX(LN($A41)-AY$9,0)^3)</f>
        <v>#DIV/0!</v>
      </c>
      <c r="AW41" s="2" t="e">
        <f t="shared" ref="AW41:AW72" si="45">AV$35+
BA$35*LN($A41)+
BB$35*(MAX(LN($A41)-AW$9,0)^3-AX$37*MAX(LN($A41)-AV$9,0)^3-(1-AX$37)*MAX(LN($A41)-AY$9,0)^3)+
BC$35*(MAX(LN($A41)-AX$9,0)^3-AY$37*MAX(LN($A41)-AV$9,0)^3-(1-AY$37)*MAX(LN($A41)-AY$9,0)^3)</f>
        <v>#DIV/0!</v>
      </c>
      <c r="AY41" s="2" t="e">
        <f>EXP(-EXP($AV41))</f>
        <v>#DIV/0!</v>
      </c>
      <c r="AZ41" s="2" t="e">
        <f>EXP(-EXP($AW41+AZ$35))</f>
        <v>#DIV/0!</v>
      </c>
      <c r="BD41" s="8" t="e">
        <f t="shared" ref="BD41:BD72" si="46">BD$35+
BE$35*LN($A41)+
BF$35*(MAX(LN($A41)-BE$9,0)^3-BF$37*MAX(LN($A41)-BD$9,0)^3-(1-BF$37)*MAX(LN($A41)-BG$9,0)^3)+
BG$35*(MAX(LN($A41)-BF$9,0)^3-BG$37*MAX(LN($A41)-BD$9,0)^3-(1-BG$37)*MAX(LN($A41)-BG$9,0)^3)</f>
        <v>#DIV/0!</v>
      </c>
      <c r="BE41" s="2" t="e">
        <f t="shared" ref="BE41:BE72" si="47">BD$35+
BI$35*LN($A41)+
BJ$35*(MAX(LN($A41)-BE$9,0)^3-BF$37*MAX(LN($A41)-BD$9,0)^3-(1-BF$37)*MAX(LN($A41)-BG$9,0)^3)+
BK$35*(MAX(LN($A41)-BF$9,0)^3-BG$37*MAX(LN($A41)-BD$9,0)^3-(1-BG$37)*MAX(LN($A41)-BG$9,0)^3)</f>
        <v>#DIV/0!</v>
      </c>
      <c r="BG41" s="2" t="e">
        <f>1-(EXP($BD41)/(1 + EXP($BD41)))</f>
        <v>#DIV/0!</v>
      </c>
      <c r="BH41" s="2" t="e">
        <f>1-(EXP($BE41+BH$35)/(1 + EXP($BE41+BH$35)))</f>
        <v>#DIV/0!</v>
      </c>
      <c r="BL41" s="8" t="e">
        <f t="shared" ref="BL41:BL72" si="48">BL$35+
BM$35*LN($A41)+
BN$35*(MAX(LN($A41)-BM$9,0)^3-BN$37*MAX(LN($A41)-BL$9,0)^3-(1-BN$37)*MAX(LN($A41)-BO$9,0)^3)+
BO$35*(MAX(LN($A41)-BN$9,0)^3-BO$37*MAX(LN($A41)-BL$9,0)^3-(1-BO$37)*MAX(LN($A41)-BO$9,0)^3)</f>
        <v>#DIV/0!</v>
      </c>
      <c r="BM41" s="2" t="e">
        <f t="shared" ref="BM41:BM72" si="49">BL$35+
BQ$35*LN($A41)+
BR$35*(MAX(LN($A41)-BM$9,0)^3-BN$37*MAX(LN($A41)-BL$9,0)^3-(1-BN$37)*MAX(LN($A41)-BO$9,0)^3)+
BS$35*(MAX(LN($A41)-BN$9,0)^3-BO$37*MAX(LN($A41)-BL$9,0)^3-(1-BO$37)*MAX(LN($A41)-BO$9,0)^3)</f>
        <v>#DIV/0!</v>
      </c>
      <c r="BO41" s="2" t="e">
        <f>1-NORMSDIST($BL41)</f>
        <v>#DIV/0!</v>
      </c>
      <c r="BP41" s="2" t="e">
        <f>1-NORMSDIST($BM41+BP$35)</f>
        <v>#DIV/0!</v>
      </c>
    </row>
    <row r="42" spans="1:71" x14ac:dyDescent="0.2">
      <c r="A42" s="2">
        <f t="shared" ref="A42:A105" si="50">A41+$A$39</f>
        <v>0.16666666666666666</v>
      </c>
      <c r="B42" s="2">
        <f t="shared" ref="B42:B105" si="51">EXP(-$A42*$B$35)</f>
        <v>0.84648172489061413</v>
      </c>
      <c r="C42" s="2">
        <f t="shared" si="25"/>
        <v>0.84648172489061413</v>
      </c>
      <c r="D42" s="8">
        <f t="shared" si="26"/>
        <v>0.84648172489061413</v>
      </c>
      <c r="E42" s="2">
        <f t="shared" si="27"/>
        <v>0.84648172489061413</v>
      </c>
      <c r="H42" s="8" t="e">
        <f t="shared" si="28"/>
        <v>#DIV/0!</v>
      </c>
      <c r="I42" s="2" t="e">
        <f t="shared" si="29"/>
        <v>#DIV/0!</v>
      </c>
      <c r="L42" s="8">
        <f t="shared" si="30"/>
        <v>0.96341424808295706</v>
      </c>
      <c r="M42" s="2">
        <f t="shared" si="31"/>
        <v>0.96341424808295706</v>
      </c>
      <c r="P42" s="8">
        <f t="shared" si="32"/>
        <v>0.85714285714285721</v>
      </c>
      <c r="Q42" s="2">
        <f t="shared" si="33"/>
        <v>0.85714285714285721</v>
      </c>
      <c r="T42" s="8">
        <f t="shared" si="34"/>
        <v>0.84648172489061402</v>
      </c>
      <c r="U42" s="2">
        <f t="shared" si="35"/>
        <v>0.84648172489061402</v>
      </c>
      <c r="X42" s="8">
        <f t="shared" si="36"/>
        <v>0.96341424808295706</v>
      </c>
      <c r="Y42" s="2">
        <f t="shared" si="37"/>
        <v>0.96341424808295706</v>
      </c>
      <c r="AD42" s="8" t="e">
        <f t="shared" si="38"/>
        <v>#DIV/0!</v>
      </c>
      <c r="AE42" s="2" t="e">
        <f t="shared" si="39"/>
        <v>#DIV/0!</v>
      </c>
      <c r="AG42" s="2" t="e">
        <f t="shared" ref="AG42:AG105" si="52">EXP(-EXP($AD42))</f>
        <v>#DIV/0!</v>
      </c>
      <c r="AH42" s="2" t="e">
        <f t="shared" ref="AH42:AH105" si="53">EXP(-EXP($AE42+AG$35))</f>
        <v>#DIV/0!</v>
      </c>
      <c r="AJ42" s="8" t="e">
        <f t="shared" si="40"/>
        <v>#DIV/0!</v>
      </c>
      <c r="AK42" s="2" t="e">
        <f t="shared" si="41"/>
        <v>#DIV/0!</v>
      </c>
      <c r="AM42" s="2" t="e">
        <f t="shared" ref="AM42:AM105" si="54">1-(EXP($AJ42)/(1 + EXP($AJ42)))</f>
        <v>#DIV/0!</v>
      </c>
      <c r="AN42" s="2" t="e">
        <f t="shared" ref="AN42:AN105" si="55">1-(EXP($AK42+AM$35)/(1 + EXP($AK42+AM$35)))</f>
        <v>#DIV/0!</v>
      </c>
      <c r="AP42" s="8" t="e">
        <f t="shared" si="42"/>
        <v>#DIV/0!</v>
      </c>
      <c r="AQ42" s="2" t="e">
        <f t="shared" si="43"/>
        <v>#DIV/0!</v>
      </c>
      <c r="AS42" s="2" t="e">
        <f t="shared" ref="AS42:AS105" si="56">1-NORMSDIST($AP42)</f>
        <v>#DIV/0!</v>
      </c>
      <c r="AT42" s="16" t="e">
        <f t="shared" ref="AT42:AT105" si="57">1-NORMSDIST($AQ42+AS$35)</f>
        <v>#DIV/0!</v>
      </c>
      <c r="AV42" s="8" t="e">
        <f t="shared" si="44"/>
        <v>#DIV/0!</v>
      </c>
      <c r="AW42" s="2" t="e">
        <f t="shared" si="45"/>
        <v>#DIV/0!</v>
      </c>
      <c r="AY42" s="2" t="e">
        <f t="shared" ref="AY42:AY105" si="58">EXP(-EXP($AV42))</f>
        <v>#DIV/0!</v>
      </c>
      <c r="AZ42" s="2" t="e">
        <f t="shared" ref="AZ42:AZ105" si="59">EXP(-EXP($AW42+AZ$35))</f>
        <v>#DIV/0!</v>
      </c>
      <c r="BD42" s="8" t="e">
        <f t="shared" si="46"/>
        <v>#DIV/0!</v>
      </c>
      <c r="BE42" s="2" t="e">
        <f t="shared" si="47"/>
        <v>#DIV/0!</v>
      </c>
      <c r="BG42" s="2" t="e">
        <f t="shared" ref="BG42:BG105" si="60">1-(EXP($BD42)/(1 + EXP($BD42)))</f>
        <v>#DIV/0!</v>
      </c>
      <c r="BH42" s="2" t="e">
        <f t="shared" ref="BH42:BH105" si="61">1-(EXP($BE42+BH$35)/(1 + EXP($BE42+BH$35)))</f>
        <v>#DIV/0!</v>
      </c>
      <c r="BL42" s="8" t="e">
        <f t="shared" si="48"/>
        <v>#DIV/0!</v>
      </c>
      <c r="BM42" s="2" t="e">
        <f t="shared" si="49"/>
        <v>#DIV/0!</v>
      </c>
      <c r="BO42" s="2" t="e">
        <f t="shared" ref="BO42:BO105" si="62">1-NORMSDIST($BL42)</f>
        <v>#DIV/0!</v>
      </c>
      <c r="BP42" s="2" t="e">
        <f t="shared" ref="BP42:BP105" si="63">1-NORMSDIST($BM42+BP$35)</f>
        <v>#DIV/0!</v>
      </c>
    </row>
    <row r="43" spans="1:71" x14ac:dyDescent="0.2">
      <c r="A43" s="2">
        <f t="shared" si="50"/>
        <v>0.25</v>
      </c>
      <c r="B43" s="2">
        <f t="shared" si="51"/>
        <v>0.77880078307140488</v>
      </c>
      <c r="C43" s="2">
        <f t="shared" si="25"/>
        <v>0.77880078307140488</v>
      </c>
      <c r="D43" s="8">
        <f t="shared" si="26"/>
        <v>0.77880078307140488</v>
      </c>
      <c r="E43" s="2">
        <f t="shared" si="27"/>
        <v>0.77880078307140488</v>
      </c>
      <c r="H43" s="8" t="e">
        <f t="shared" si="28"/>
        <v>#DIV/0!</v>
      </c>
      <c r="I43" s="2" t="e">
        <f t="shared" si="29"/>
        <v>#DIV/0!</v>
      </c>
      <c r="L43" s="8">
        <f t="shared" si="30"/>
        <v>0.91717148099830148</v>
      </c>
      <c r="M43" s="2">
        <f t="shared" si="31"/>
        <v>0.91717148099830148</v>
      </c>
      <c r="P43" s="8">
        <f t="shared" si="32"/>
        <v>0.8</v>
      </c>
      <c r="Q43" s="2">
        <f t="shared" si="33"/>
        <v>0.8</v>
      </c>
      <c r="T43" s="8">
        <f t="shared" si="34"/>
        <v>0.77880078307140488</v>
      </c>
      <c r="U43" s="2">
        <f t="shared" si="35"/>
        <v>0.77880078307140488</v>
      </c>
      <c r="X43" s="8">
        <f t="shared" si="36"/>
        <v>0.91717148099830148</v>
      </c>
      <c r="Y43" s="2">
        <f t="shared" si="37"/>
        <v>0.91717148099830148</v>
      </c>
      <c r="AD43" s="8" t="e">
        <f t="shared" si="38"/>
        <v>#DIV/0!</v>
      </c>
      <c r="AE43" s="2" t="e">
        <f t="shared" si="39"/>
        <v>#DIV/0!</v>
      </c>
      <c r="AG43" s="2" t="e">
        <f t="shared" si="52"/>
        <v>#DIV/0!</v>
      </c>
      <c r="AH43" s="2" t="e">
        <f t="shared" si="53"/>
        <v>#DIV/0!</v>
      </c>
      <c r="AJ43" s="8" t="e">
        <f t="shared" si="40"/>
        <v>#DIV/0!</v>
      </c>
      <c r="AK43" s="2" t="e">
        <f t="shared" si="41"/>
        <v>#DIV/0!</v>
      </c>
      <c r="AM43" s="2" t="e">
        <f t="shared" si="54"/>
        <v>#DIV/0!</v>
      </c>
      <c r="AN43" s="2" t="e">
        <f t="shared" si="55"/>
        <v>#DIV/0!</v>
      </c>
      <c r="AP43" s="8" t="e">
        <f t="shared" si="42"/>
        <v>#DIV/0!</v>
      </c>
      <c r="AQ43" s="2" t="e">
        <f t="shared" si="43"/>
        <v>#DIV/0!</v>
      </c>
      <c r="AS43" s="2" t="e">
        <f t="shared" si="56"/>
        <v>#DIV/0!</v>
      </c>
      <c r="AT43" s="16" t="e">
        <f t="shared" si="57"/>
        <v>#DIV/0!</v>
      </c>
      <c r="AV43" s="8" t="e">
        <f t="shared" si="44"/>
        <v>#DIV/0!</v>
      </c>
      <c r="AW43" s="2" t="e">
        <f t="shared" si="45"/>
        <v>#DIV/0!</v>
      </c>
      <c r="AY43" s="2" t="e">
        <f t="shared" si="58"/>
        <v>#DIV/0!</v>
      </c>
      <c r="AZ43" s="2" t="e">
        <f t="shared" si="59"/>
        <v>#DIV/0!</v>
      </c>
      <c r="BD43" s="8" t="e">
        <f t="shared" si="46"/>
        <v>#DIV/0!</v>
      </c>
      <c r="BE43" s="2" t="e">
        <f t="shared" si="47"/>
        <v>#DIV/0!</v>
      </c>
      <c r="BG43" s="2" t="e">
        <f t="shared" si="60"/>
        <v>#DIV/0!</v>
      </c>
      <c r="BH43" s="2" t="e">
        <f t="shared" si="61"/>
        <v>#DIV/0!</v>
      </c>
      <c r="BL43" s="8" t="e">
        <f t="shared" si="48"/>
        <v>#DIV/0!</v>
      </c>
      <c r="BM43" s="2" t="e">
        <f t="shared" si="49"/>
        <v>#DIV/0!</v>
      </c>
      <c r="BO43" s="2" t="e">
        <f t="shared" si="62"/>
        <v>#DIV/0!</v>
      </c>
      <c r="BP43" s="2" t="e">
        <f t="shared" si="63"/>
        <v>#DIV/0!</v>
      </c>
    </row>
    <row r="44" spans="1:71" x14ac:dyDescent="0.2">
      <c r="A44" s="2">
        <f t="shared" si="50"/>
        <v>0.33333333333333331</v>
      </c>
      <c r="B44" s="2">
        <f t="shared" si="51"/>
        <v>0.71653131057378927</v>
      </c>
      <c r="C44" s="2">
        <f t="shared" si="25"/>
        <v>0.71653131057378927</v>
      </c>
      <c r="D44" s="8">
        <f t="shared" si="26"/>
        <v>0.71653131057378927</v>
      </c>
      <c r="E44" s="2">
        <f t="shared" si="27"/>
        <v>0.71653131057378927</v>
      </c>
      <c r="H44" s="8" t="e">
        <f t="shared" si="28"/>
        <v>#DIV/0!</v>
      </c>
      <c r="I44" s="2" t="e">
        <f t="shared" si="29"/>
        <v>#DIV/0!</v>
      </c>
      <c r="L44" s="8">
        <f t="shared" si="30"/>
        <v>0.86403139235857551</v>
      </c>
      <c r="M44" s="2">
        <f t="shared" si="31"/>
        <v>0.86403139235857551</v>
      </c>
      <c r="P44" s="8">
        <f t="shared" si="32"/>
        <v>0.75</v>
      </c>
      <c r="Q44" s="2">
        <f t="shared" si="33"/>
        <v>0.75</v>
      </c>
      <c r="T44" s="8">
        <f t="shared" si="34"/>
        <v>0.71653131057378927</v>
      </c>
      <c r="U44" s="2">
        <f t="shared" si="35"/>
        <v>0.71653131057378927</v>
      </c>
      <c r="X44" s="8">
        <f t="shared" si="36"/>
        <v>0.86403139235857551</v>
      </c>
      <c r="Y44" s="2">
        <f t="shared" si="37"/>
        <v>0.86403139235857551</v>
      </c>
      <c r="AD44" s="8" t="e">
        <f t="shared" si="38"/>
        <v>#DIV/0!</v>
      </c>
      <c r="AE44" s="2" t="e">
        <f t="shared" si="39"/>
        <v>#DIV/0!</v>
      </c>
      <c r="AG44" s="2" t="e">
        <f t="shared" si="52"/>
        <v>#DIV/0!</v>
      </c>
      <c r="AH44" s="2" t="e">
        <f t="shared" si="53"/>
        <v>#DIV/0!</v>
      </c>
      <c r="AJ44" s="8" t="e">
        <f t="shared" si="40"/>
        <v>#DIV/0!</v>
      </c>
      <c r="AK44" s="2" t="e">
        <f t="shared" si="41"/>
        <v>#DIV/0!</v>
      </c>
      <c r="AM44" s="2" t="e">
        <f t="shared" si="54"/>
        <v>#DIV/0!</v>
      </c>
      <c r="AN44" s="2" t="e">
        <f t="shared" si="55"/>
        <v>#DIV/0!</v>
      </c>
      <c r="AP44" s="8" t="e">
        <f t="shared" si="42"/>
        <v>#DIV/0!</v>
      </c>
      <c r="AQ44" s="2" t="e">
        <f t="shared" si="43"/>
        <v>#DIV/0!</v>
      </c>
      <c r="AS44" s="2" t="e">
        <f t="shared" si="56"/>
        <v>#DIV/0!</v>
      </c>
      <c r="AT44" s="16" t="e">
        <f t="shared" si="57"/>
        <v>#DIV/0!</v>
      </c>
      <c r="AV44" s="8" t="e">
        <f t="shared" si="44"/>
        <v>#DIV/0!</v>
      </c>
      <c r="AW44" s="2" t="e">
        <f t="shared" si="45"/>
        <v>#DIV/0!</v>
      </c>
      <c r="AY44" s="2" t="e">
        <f t="shared" si="58"/>
        <v>#DIV/0!</v>
      </c>
      <c r="AZ44" s="2" t="e">
        <f t="shared" si="59"/>
        <v>#DIV/0!</v>
      </c>
      <c r="BD44" s="8" t="e">
        <f t="shared" si="46"/>
        <v>#DIV/0!</v>
      </c>
      <c r="BE44" s="2" t="e">
        <f t="shared" si="47"/>
        <v>#DIV/0!</v>
      </c>
      <c r="BG44" s="2" t="e">
        <f t="shared" si="60"/>
        <v>#DIV/0!</v>
      </c>
      <c r="BH44" s="2" t="e">
        <f t="shared" si="61"/>
        <v>#DIV/0!</v>
      </c>
      <c r="BL44" s="8" t="e">
        <f t="shared" si="48"/>
        <v>#DIV/0!</v>
      </c>
      <c r="BM44" s="2" t="e">
        <f t="shared" si="49"/>
        <v>#DIV/0!</v>
      </c>
      <c r="BO44" s="2" t="e">
        <f t="shared" si="62"/>
        <v>#DIV/0!</v>
      </c>
      <c r="BP44" s="2" t="e">
        <f t="shared" si="63"/>
        <v>#DIV/0!</v>
      </c>
    </row>
    <row r="45" spans="1:71" x14ac:dyDescent="0.2">
      <c r="A45" s="2">
        <f t="shared" si="50"/>
        <v>0.41666666666666663</v>
      </c>
      <c r="B45" s="2">
        <f t="shared" si="51"/>
        <v>0.65924063020044377</v>
      </c>
      <c r="C45" s="2">
        <f t="shared" si="25"/>
        <v>0.65924063020044377</v>
      </c>
      <c r="D45" s="8">
        <f t="shared" si="26"/>
        <v>0.65924063020044377</v>
      </c>
      <c r="E45" s="2">
        <f t="shared" si="27"/>
        <v>0.65924063020044377</v>
      </c>
      <c r="H45" s="8" t="e">
        <f t="shared" si="28"/>
        <v>#DIV/0!</v>
      </c>
      <c r="I45" s="2" t="e">
        <f t="shared" si="29"/>
        <v>#DIV/0!</v>
      </c>
      <c r="L45" s="8">
        <f t="shared" si="30"/>
        <v>0.8093405433351144</v>
      </c>
      <c r="M45" s="2">
        <f t="shared" si="31"/>
        <v>0.8093405433351144</v>
      </c>
      <c r="P45" s="8">
        <f t="shared" si="32"/>
        <v>0.70588235294117652</v>
      </c>
      <c r="Q45" s="2">
        <f t="shared" si="33"/>
        <v>0.70588235294117652</v>
      </c>
      <c r="T45" s="8">
        <f t="shared" si="34"/>
        <v>0.65924063020044377</v>
      </c>
      <c r="U45" s="2">
        <f t="shared" si="35"/>
        <v>0.65924063020044377</v>
      </c>
      <c r="X45" s="8">
        <f t="shared" si="36"/>
        <v>0.8093405433351144</v>
      </c>
      <c r="Y45" s="2">
        <f t="shared" si="37"/>
        <v>0.8093405433351144</v>
      </c>
      <c r="AD45" s="8" t="e">
        <f t="shared" si="38"/>
        <v>#DIV/0!</v>
      </c>
      <c r="AE45" s="2" t="e">
        <f t="shared" si="39"/>
        <v>#DIV/0!</v>
      </c>
      <c r="AG45" s="2" t="e">
        <f t="shared" si="52"/>
        <v>#DIV/0!</v>
      </c>
      <c r="AH45" s="2" t="e">
        <f t="shared" si="53"/>
        <v>#DIV/0!</v>
      </c>
      <c r="AJ45" s="8" t="e">
        <f t="shared" si="40"/>
        <v>#DIV/0!</v>
      </c>
      <c r="AK45" s="2" t="e">
        <f t="shared" si="41"/>
        <v>#DIV/0!</v>
      </c>
      <c r="AM45" s="2" t="e">
        <f t="shared" si="54"/>
        <v>#DIV/0!</v>
      </c>
      <c r="AN45" s="2" t="e">
        <f t="shared" si="55"/>
        <v>#DIV/0!</v>
      </c>
      <c r="AP45" s="8" t="e">
        <f t="shared" si="42"/>
        <v>#DIV/0!</v>
      </c>
      <c r="AQ45" s="2" t="e">
        <f t="shared" si="43"/>
        <v>#DIV/0!</v>
      </c>
      <c r="AS45" s="2" t="e">
        <f t="shared" si="56"/>
        <v>#DIV/0!</v>
      </c>
      <c r="AT45" s="16" t="e">
        <f t="shared" si="57"/>
        <v>#DIV/0!</v>
      </c>
      <c r="AV45" s="8" t="e">
        <f t="shared" si="44"/>
        <v>#DIV/0!</v>
      </c>
      <c r="AW45" s="2" t="e">
        <f t="shared" si="45"/>
        <v>#DIV/0!</v>
      </c>
      <c r="AY45" s="2" t="e">
        <f t="shared" si="58"/>
        <v>#DIV/0!</v>
      </c>
      <c r="AZ45" s="2" t="e">
        <f t="shared" si="59"/>
        <v>#DIV/0!</v>
      </c>
      <c r="BD45" s="8" t="e">
        <f t="shared" si="46"/>
        <v>#DIV/0!</v>
      </c>
      <c r="BE45" s="2" t="e">
        <f t="shared" si="47"/>
        <v>#DIV/0!</v>
      </c>
      <c r="BG45" s="2" t="e">
        <f t="shared" si="60"/>
        <v>#DIV/0!</v>
      </c>
      <c r="BH45" s="2" t="e">
        <f t="shared" si="61"/>
        <v>#DIV/0!</v>
      </c>
      <c r="BL45" s="8" t="e">
        <f t="shared" si="48"/>
        <v>#DIV/0!</v>
      </c>
      <c r="BM45" s="2" t="e">
        <f t="shared" si="49"/>
        <v>#DIV/0!</v>
      </c>
      <c r="BO45" s="2" t="e">
        <f t="shared" si="62"/>
        <v>#DIV/0!</v>
      </c>
      <c r="BP45" s="2" t="e">
        <f t="shared" si="63"/>
        <v>#DIV/0!</v>
      </c>
    </row>
    <row r="46" spans="1:71" x14ac:dyDescent="0.2">
      <c r="A46" s="2">
        <f t="shared" si="50"/>
        <v>0.49999999999999994</v>
      </c>
      <c r="B46" s="2">
        <f t="shared" si="51"/>
        <v>0.60653065971263342</v>
      </c>
      <c r="C46" s="2">
        <f t="shared" si="25"/>
        <v>0.60653065971263342</v>
      </c>
      <c r="D46" s="8">
        <f t="shared" si="26"/>
        <v>0.60653065971263342</v>
      </c>
      <c r="E46" s="2">
        <f t="shared" si="27"/>
        <v>0.60653065971263342</v>
      </c>
      <c r="H46" s="8" t="e">
        <f t="shared" si="28"/>
        <v>#DIV/0!</v>
      </c>
      <c r="I46" s="2" t="e">
        <f t="shared" si="29"/>
        <v>#DIV/0!</v>
      </c>
      <c r="L46" s="8">
        <f t="shared" si="30"/>
        <v>0.75589140421441736</v>
      </c>
      <c r="M46" s="2">
        <f t="shared" si="31"/>
        <v>0.75589140421441736</v>
      </c>
      <c r="P46" s="8">
        <f t="shared" si="32"/>
        <v>0.66666666666666674</v>
      </c>
      <c r="Q46" s="2">
        <f t="shared" si="33"/>
        <v>0.66666666666666674</v>
      </c>
      <c r="T46" s="8">
        <f t="shared" si="34"/>
        <v>0.60653065971263342</v>
      </c>
      <c r="U46" s="2">
        <f t="shared" si="35"/>
        <v>0.60653065971263342</v>
      </c>
      <c r="X46" s="8">
        <f t="shared" si="36"/>
        <v>0.75589140421441736</v>
      </c>
      <c r="Y46" s="2">
        <f t="shared" si="37"/>
        <v>0.75589140421441736</v>
      </c>
      <c r="AD46" s="8" t="e">
        <f t="shared" si="38"/>
        <v>#DIV/0!</v>
      </c>
      <c r="AE46" s="2" t="e">
        <f t="shared" si="39"/>
        <v>#DIV/0!</v>
      </c>
      <c r="AG46" s="2" t="e">
        <f t="shared" si="52"/>
        <v>#DIV/0!</v>
      </c>
      <c r="AH46" s="2" t="e">
        <f t="shared" si="53"/>
        <v>#DIV/0!</v>
      </c>
      <c r="AJ46" s="8" t="e">
        <f t="shared" si="40"/>
        <v>#DIV/0!</v>
      </c>
      <c r="AK46" s="2" t="e">
        <f t="shared" si="41"/>
        <v>#DIV/0!</v>
      </c>
      <c r="AM46" s="2" t="e">
        <f t="shared" si="54"/>
        <v>#DIV/0!</v>
      </c>
      <c r="AN46" s="2" t="e">
        <f t="shared" si="55"/>
        <v>#DIV/0!</v>
      </c>
      <c r="AP46" s="8" t="e">
        <f t="shared" si="42"/>
        <v>#DIV/0!</v>
      </c>
      <c r="AQ46" s="2" t="e">
        <f t="shared" si="43"/>
        <v>#DIV/0!</v>
      </c>
      <c r="AS46" s="2" t="e">
        <f t="shared" si="56"/>
        <v>#DIV/0!</v>
      </c>
      <c r="AT46" s="16" t="e">
        <f t="shared" si="57"/>
        <v>#DIV/0!</v>
      </c>
      <c r="AV46" s="8" t="e">
        <f t="shared" si="44"/>
        <v>#DIV/0!</v>
      </c>
      <c r="AW46" s="2" t="e">
        <f t="shared" si="45"/>
        <v>#DIV/0!</v>
      </c>
      <c r="AY46" s="2" t="e">
        <f t="shared" si="58"/>
        <v>#DIV/0!</v>
      </c>
      <c r="AZ46" s="2" t="e">
        <f t="shared" si="59"/>
        <v>#DIV/0!</v>
      </c>
      <c r="BD46" s="8" t="e">
        <f t="shared" si="46"/>
        <v>#DIV/0!</v>
      </c>
      <c r="BE46" s="2" t="e">
        <f t="shared" si="47"/>
        <v>#DIV/0!</v>
      </c>
      <c r="BG46" s="2" t="e">
        <f t="shared" si="60"/>
        <v>#DIV/0!</v>
      </c>
      <c r="BH46" s="2" t="e">
        <f t="shared" si="61"/>
        <v>#DIV/0!</v>
      </c>
      <c r="BL46" s="8" t="e">
        <f t="shared" si="48"/>
        <v>#DIV/0!</v>
      </c>
      <c r="BM46" s="2" t="e">
        <f t="shared" si="49"/>
        <v>#DIV/0!</v>
      </c>
      <c r="BO46" s="2" t="e">
        <f t="shared" si="62"/>
        <v>#DIV/0!</v>
      </c>
      <c r="BP46" s="2" t="e">
        <f t="shared" si="63"/>
        <v>#DIV/0!</v>
      </c>
    </row>
    <row r="47" spans="1:71" x14ac:dyDescent="0.2">
      <c r="A47" s="2">
        <f t="shared" si="50"/>
        <v>0.58333333333333326</v>
      </c>
      <c r="B47" s="2">
        <f t="shared" si="51"/>
        <v>0.55803514577004709</v>
      </c>
      <c r="C47" s="2">
        <f t="shared" si="25"/>
        <v>0.55803514577004709</v>
      </c>
      <c r="D47" s="8">
        <f t="shared" si="26"/>
        <v>0.55803514577004709</v>
      </c>
      <c r="E47" s="2">
        <f t="shared" si="27"/>
        <v>0.55803514577004709</v>
      </c>
      <c r="H47" s="8" t="e">
        <f t="shared" si="28"/>
        <v>#DIV/0!</v>
      </c>
      <c r="I47" s="2" t="e">
        <f t="shared" si="29"/>
        <v>#DIV/0!</v>
      </c>
      <c r="L47" s="8">
        <f t="shared" si="30"/>
        <v>0.70505536546009306</v>
      </c>
      <c r="M47" s="2">
        <f t="shared" si="31"/>
        <v>0.70505536546009306</v>
      </c>
      <c r="P47" s="8">
        <f t="shared" si="32"/>
        <v>0.63157894736842102</v>
      </c>
      <c r="Q47" s="2">
        <f t="shared" si="33"/>
        <v>0.63157894736842102</v>
      </c>
      <c r="T47" s="8">
        <f t="shared" si="34"/>
        <v>0.55803514577004709</v>
      </c>
      <c r="U47" s="2">
        <f t="shared" si="35"/>
        <v>0.55803514577004709</v>
      </c>
      <c r="X47" s="8">
        <f t="shared" si="36"/>
        <v>0.70505536546009306</v>
      </c>
      <c r="Y47" s="2">
        <f t="shared" si="37"/>
        <v>0.70505536546009306</v>
      </c>
      <c r="AD47" s="8" t="e">
        <f t="shared" si="38"/>
        <v>#DIV/0!</v>
      </c>
      <c r="AE47" s="2" t="e">
        <f t="shared" si="39"/>
        <v>#DIV/0!</v>
      </c>
      <c r="AG47" s="2" t="e">
        <f t="shared" si="52"/>
        <v>#DIV/0!</v>
      </c>
      <c r="AH47" s="2" t="e">
        <f t="shared" si="53"/>
        <v>#DIV/0!</v>
      </c>
      <c r="AJ47" s="8" t="e">
        <f t="shared" si="40"/>
        <v>#DIV/0!</v>
      </c>
      <c r="AK47" s="2" t="e">
        <f t="shared" si="41"/>
        <v>#DIV/0!</v>
      </c>
      <c r="AM47" s="2" t="e">
        <f t="shared" si="54"/>
        <v>#DIV/0!</v>
      </c>
      <c r="AN47" s="2" t="e">
        <f t="shared" si="55"/>
        <v>#DIV/0!</v>
      </c>
      <c r="AP47" s="8" t="e">
        <f t="shared" si="42"/>
        <v>#DIV/0!</v>
      </c>
      <c r="AQ47" s="2" t="e">
        <f t="shared" si="43"/>
        <v>#DIV/0!</v>
      </c>
      <c r="AS47" s="2" t="e">
        <f t="shared" si="56"/>
        <v>#DIV/0!</v>
      </c>
      <c r="AT47" s="16" t="e">
        <f t="shared" si="57"/>
        <v>#DIV/0!</v>
      </c>
      <c r="AV47" s="8" t="e">
        <f t="shared" si="44"/>
        <v>#DIV/0!</v>
      </c>
      <c r="AW47" s="2" t="e">
        <f t="shared" si="45"/>
        <v>#DIV/0!</v>
      </c>
      <c r="AY47" s="2" t="e">
        <f t="shared" si="58"/>
        <v>#DIV/0!</v>
      </c>
      <c r="AZ47" s="2" t="e">
        <f t="shared" si="59"/>
        <v>#DIV/0!</v>
      </c>
      <c r="BD47" s="8" t="e">
        <f t="shared" si="46"/>
        <v>#DIV/0!</v>
      </c>
      <c r="BE47" s="2" t="e">
        <f t="shared" si="47"/>
        <v>#DIV/0!</v>
      </c>
      <c r="BG47" s="2" t="e">
        <f t="shared" si="60"/>
        <v>#DIV/0!</v>
      </c>
      <c r="BH47" s="2" t="e">
        <f t="shared" si="61"/>
        <v>#DIV/0!</v>
      </c>
      <c r="BL47" s="8" t="e">
        <f t="shared" si="48"/>
        <v>#DIV/0!</v>
      </c>
      <c r="BM47" s="2" t="e">
        <f t="shared" si="49"/>
        <v>#DIV/0!</v>
      </c>
      <c r="BO47" s="2" t="e">
        <f t="shared" si="62"/>
        <v>#DIV/0!</v>
      </c>
      <c r="BP47" s="2" t="e">
        <f t="shared" si="63"/>
        <v>#DIV/0!</v>
      </c>
    </row>
    <row r="48" spans="1:71" x14ac:dyDescent="0.2">
      <c r="A48" s="2">
        <f t="shared" si="50"/>
        <v>0.66666666666666663</v>
      </c>
      <c r="B48" s="2">
        <f t="shared" si="51"/>
        <v>0.51341711903259202</v>
      </c>
      <c r="C48" s="2">
        <f t="shared" si="25"/>
        <v>0.51341711903259202</v>
      </c>
      <c r="D48" s="8">
        <f t="shared" si="26"/>
        <v>0.51341711903259202</v>
      </c>
      <c r="E48" s="2">
        <f t="shared" si="27"/>
        <v>0.51341711903259202</v>
      </c>
      <c r="H48" s="8" t="e">
        <f t="shared" si="28"/>
        <v>#DIV/0!</v>
      </c>
      <c r="I48" s="2" t="e">
        <f t="shared" si="29"/>
        <v>#DIV/0!</v>
      </c>
      <c r="L48" s="8">
        <f t="shared" si="30"/>
        <v>0.65743216948515415</v>
      </c>
      <c r="M48" s="2">
        <f t="shared" si="31"/>
        <v>0.65743216948515415</v>
      </c>
      <c r="P48" s="8">
        <f t="shared" si="32"/>
        <v>0.6</v>
      </c>
      <c r="Q48" s="2">
        <f t="shared" si="33"/>
        <v>0.6</v>
      </c>
      <c r="T48" s="8">
        <f t="shared" si="34"/>
        <v>0.51341711903259202</v>
      </c>
      <c r="U48" s="2">
        <f t="shared" si="35"/>
        <v>0.51341711903259202</v>
      </c>
      <c r="X48" s="8">
        <f t="shared" si="36"/>
        <v>0.65743216948515415</v>
      </c>
      <c r="Y48" s="2">
        <f t="shared" si="37"/>
        <v>0.65743216948515415</v>
      </c>
      <c r="AD48" s="8" t="e">
        <f t="shared" si="38"/>
        <v>#DIV/0!</v>
      </c>
      <c r="AE48" s="2" t="e">
        <f t="shared" si="39"/>
        <v>#DIV/0!</v>
      </c>
      <c r="AG48" s="2" t="e">
        <f t="shared" si="52"/>
        <v>#DIV/0!</v>
      </c>
      <c r="AH48" s="2" t="e">
        <f t="shared" si="53"/>
        <v>#DIV/0!</v>
      </c>
      <c r="AJ48" s="8" t="e">
        <f t="shared" si="40"/>
        <v>#DIV/0!</v>
      </c>
      <c r="AK48" s="2" t="e">
        <f t="shared" si="41"/>
        <v>#DIV/0!</v>
      </c>
      <c r="AM48" s="2" t="e">
        <f t="shared" si="54"/>
        <v>#DIV/0!</v>
      </c>
      <c r="AN48" s="2" t="e">
        <f t="shared" si="55"/>
        <v>#DIV/0!</v>
      </c>
      <c r="AP48" s="8" t="e">
        <f t="shared" si="42"/>
        <v>#DIV/0!</v>
      </c>
      <c r="AQ48" s="2" t="e">
        <f t="shared" si="43"/>
        <v>#DIV/0!</v>
      </c>
      <c r="AS48" s="2" t="e">
        <f t="shared" si="56"/>
        <v>#DIV/0!</v>
      </c>
      <c r="AT48" s="16" t="e">
        <f t="shared" si="57"/>
        <v>#DIV/0!</v>
      </c>
      <c r="AV48" s="8" t="e">
        <f t="shared" si="44"/>
        <v>#DIV/0!</v>
      </c>
      <c r="AW48" s="2" t="e">
        <f t="shared" si="45"/>
        <v>#DIV/0!</v>
      </c>
      <c r="AY48" s="2" t="e">
        <f t="shared" si="58"/>
        <v>#DIV/0!</v>
      </c>
      <c r="AZ48" s="2" t="e">
        <f t="shared" si="59"/>
        <v>#DIV/0!</v>
      </c>
      <c r="BD48" s="8" t="e">
        <f t="shared" si="46"/>
        <v>#DIV/0!</v>
      </c>
      <c r="BE48" s="2" t="e">
        <f t="shared" si="47"/>
        <v>#DIV/0!</v>
      </c>
      <c r="BG48" s="2" t="e">
        <f t="shared" si="60"/>
        <v>#DIV/0!</v>
      </c>
      <c r="BH48" s="2" t="e">
        <f t="shared" si="61"/>
        <v>#DIV/0!</v>
      </c>
      <c r="BL48" s="8" t="e">
        <f t="shared" si="48"/>
        <v>#DIV/0!</v>
      </c>
      <c r="BM48" s="2" t="e">
        <f t="shared" si="49"/>
        <v>#DIV/0!</v>
      </c>
      <c r="BO48" s="2" t="e">
        <f t="shared" si="62"/>
        <v>#DIV/0!</v>
      </c>
      <c r="BP48" s="2" t="e">
        <f t="shared" si="63"/>
        <v>#DIV/0!</v>
      </c>
    </row>
    <row r="49" spans="1:68" x14ac:dyDescent="0.2">
      <c r="A49" s="2">
        <f t="shared" si="50"/>
        <v>0.75</v>
      </c>
      <c r="B49" s="2">
        <f t="shared" si="51"/>
        <v>0.47236655274101469</v>
      </c>
      <c r="C49" s="2">
        <f t="shared" si="25"/>
        <v>0.47236655274101469</v>
      </c>
      <c r="D49" s="8">
        <f t="shared" si="26"/>
        <v>0.47236655274101469</v>
      </c>
      <c r="E49" s="2">
        <f t="shared" si="27"/>
        <v>0.47236655274101469</v>
      </c>
      <c r="H49" s="8" t="e">
        <f t="shared" si="28"/>
        <v>#DIV/0!</v>
      </c>
      <c r="I49" s="2" t="e">
        <f t="shared" si="29"/>
        <v>#DIV/0!</v>
      </c>
      <c r="L49" s="8">
        <f t="shared" si="30"/>
        <v>0.61320494286590277</v>
      </c>
      <c r="M49" s="2">
        <f t="shared" si="31"/>
        <v>0.61320494286590277</v>
      </c>
      <c r="P49" s="8">
        <f t="shared" si="32"/>
        <v>0.5714285714285714</v>
      </c>
      <c r="Q49" s="2">
        <f t="shared" si="33"/>
        <v>0.5714285714285714</v>
      </c>
      <c r="T49" s="8">
        <f t="shared" si="34"/>
        <v>0.47236655274101469</v>
      </c>
      <c r="U49" s="2">
        <f t="shared" si="35"/>
        <v>0.47236655274101469</v>
      </c>
      <c r="X49" s="8">
        <f t="shared" si="36"/>
        <v>0.61320494286590277</v>
      </c>
      <c r="Y49" s="2">
        <f t="shared" si="37"/>
        <v>0.61320494286590277</v>
      </c>
      <c r="AD49" s="8" t="e">
        <f t="shared" si="38"/>
        <v>#DIV/0!</v>
      </c>
      <c r="AE49" s="2" t="e">
        <f t="shared" si="39"/>
        <v>#DIV/0!</v>
      </c>
      <c r="AG49" s="2" t="e">
        <f t="shared" si="52"/>
        <v>#DIV/0!</v>
      </c>
      <c r="AH49" s="2" t="e">
        <f t="shared" si="53"/>
        <v>#DIV/0!</v>
      </c>
      <c r="AJ49" s="8" t="e">
        <f t="shared" si="40"/>
        <v>#DIV/0!</v>
      </c>
      <c r="AK49" s="2" t="e">
        <f t="shared" si="41"/>
        <v>#DIV/0!</v>
      </c>
      <c r="AM49" s="2" t="e">
        <f t="shared" si="54"/>
        <v>#DIV/0!</v>
      </c>
      <c r="AN49" s="2" t="e">
        <f t="shared" si="55"/>
        <v>#DIV/0!</v>
      </c>
      <c r="AP49" s="8" t="e">
        <f t="shared" si="42"/>
        <v>#DIV/0!</v>
      </c>
      <c r="AQ49" s="2" t="e">
        <f t="shared" si="43"/>
        <v>#DIV/0!</v>
      </c>
      <c r="AS49" s="2" t="e">
        <f t="shared" si="56"/>
        <v>#DIV/0!</v>
      </c>
      <c r="AT49" s="16" t="e">
        <f t="shared" si="57"/>
        <v>#DIV/0!</v>
      </c>
      <c r="AV49" s="8" t="e">
        <f t="shared" si="44"/>
        <v>#DIV/0!</v>
      </c>
      <c r="AW49" s="2" t="e">
        <f t="shared" si="45"/>
        <v>#DIV/0!</v>
      </c>
      <c r="AY49" s="2" t="e">
        <f t="shared" si="58"/>
        <v>#DIV/0!</v>
      </c>
      <c r="AZ49" s="2" t="e">
        <f t="shared" si="59"/>
        <v>#DIV/0!</v>
      </c>
      <c r="BD49" s="8" t="e">
        <f t="shared" si="46"/>
        <v>#DIV/0!</v>
      </c>
      <c r="BE49" s="2" t="e">
        <f t="shared" si="47"/>
        <v>#DIV/0!</v>
      </c>
      <c r="BG49" s="2" t="e">
        <f t="shared" si="60"/>
        <v>#DIV/0!</v>
      </c>
      <c r="BH49" s="2" t="e">
        <f t="shared" si="61"/>
        <v>#DIV/0!</v>
      </c>
      <c r="BL49" s="8" t="e">
        <f t="shared" si="48"/>
        <v>#DIV/0!</v>
      </c>
      <c r="BM49" s="2" t="e">
        <f t="shared" si="49"/>
        <v>#DIV/0!</v>
      </c>
      <c r="BO49" s="2" t="e">
        <f t="shared" si="62"/>
        <v>#DIV/0!</v>
      </c>
      <c r="BP49" s="2" t="e">
        <f t="shared" si="63"/>
        <v>#DIV/0!</v>
      </c>
    </row>
    <row r="50" spans="1:68" x14ac:dyDescent="0.2">
      <c r="A50" s="2">
        <f t="shared" si="50"/>
        <v>0.83333333333333337</v>
      </c>
      <c r="B50" s="2">
        <f t="shared" si="51"/>
        <v>0.4345982085070782</v>
      </c>
      <c r="C50" s="2">
        <f t="shared" si="25"/>
        <v>0.4345982085070782</v>
      </c>
      <c r="D50" s="8">
        <f t="shared" si="26"/>
        <v>0.4345982085070782</v>
      </c>
      <c r="E50" s="2">
        <f t="shared" si="27"/>
        <v>0.4345982085070782</v>
      </c>
      <c r="H50" s="8" t="e">
        <f t="shared" si="28"/>
        <v>#DIV/0!</v>
      </c>
      <c r="I50" s="2" t="e">
        <f t="shared" si="29"/>
        <v>#DIV/0!</v>
      </c>
      <c r="L50" s="8">
        <f t="shared" si="30"/>
        <v>0.57233480883676835</v>
      </c>
      <c r="M50" s="2">
        <f t="shared" si="31"/>
        <v>0.57233480883676835</v>
      </c>
      <c r="P50" s="8">
        <f t="shared" si="32"/>
        <v>0.54545454545454541</v>
      </c>
      <c r="Q50" s="2">
        <f t="shared" si="33"/>
        <v>0.54545454545454541</v>
      </c>
      <c r="T50" s="8">
        <f t="shared" si="34"/>
        <v>0.4345982085070782</v>
      </c>
      <c r="U50" s="2">
        <f t="shared" si="35"/>
        <v>0.4345982085070782</v>
      </c>
      <c r="X50" s="8">
        <f t="shared" si="36"/>
        <v>0.57233480883676835</v>
      </c>
      <c r="Y50" s="2">
        <f t="shared" si="37"/>
        <v>0.57233480883676835</v>
      </c>
      <c r="AD50" s="8" t="e">
        <f t="shared" si="38"/>
        <v>#DIV/0!</v>
      </c>
      <c r="AE50" s="2" t="e">
        <f t="shared" si="39"/>
        <v>#DIV/0!</v>
      </c>
      <c r="AG50" s="2" t="e">
        <f t="shared" si="52"/>
        <v>#DIV/0!</v>
      </c>
      <c r="AH50" s="2" t="e">
        <f t="shared" si="53"/>
        <v>#DIV/0!</v>
      </c>
      <c r="AJ50" s="8" t="e">
        <f t="shared" si="40"/>
        <v>#DIV/0!</v>
      </c>
      <c r="AK50" s="2" t="e">
        <f t="shared" si="41"/>
        <v>#DIV/0!</v>
      </c>
      <c r="AM50" s="2" t="e">
        <f t="shared" si="54"/>
        <v>#DIV/0!</v>
      </c>
      <c r="AN50" s="2" t="e">
        <f t="shared" si="55"/>
        <v>#DIV/0!</v>
      </c>
      <c r="AP50" s="8" t="e">
        <f t="shared" si="42"/>
        <v>#DIV/0!</v>
      </c>
      <c r="AQ50" s="2" t="e">
        <f t="shared" si="43"/>
        <v>#DIV/0!</v>
      </c>
      <c r="AS50" s="2" t="e">
        <f t="shared" si="56"/>
        <v>#DIV/0!</v>
      </c>
      <c r="AT50" s="16" t="e">
        <f t="shared" si="57"/>
        <v>#DIV/0!</v>
      </c>
      <c r="AV50" s="8" t="e">
        <f t="shared" si="44"/>
        <v>#DIV/0!</v>
      </c>
      <c r="AW50" s="2" t="e">
        <f t="shared" si="45"/>
        <v>#DIV/0!</v>
      </c>
      <c r="AY50" s="2" t="e">
        <f t="shared" si="58"/>
        <v>#DIV/0!</v>
      </c>
      <c r="AZ50" s="2" t="e">
        <f t="shared" si="59"/>
        <v>#DIV/0!</v>
      </c>
      <c r="BD50" s="8" t="e">
        <f t="shared" si="46"/>
        <v>#DIV/0!</v>
      </c>
      <c r="BE50" s="2" t="e">
        <f t="shared" si="47"/>
        <v>#DIV/0!</v>
      </c>
      <c r="BG50" s="2" t="e">
        <f t="shared" si="60"/>
        <v>#DIV/0!</v>
      </c>
      <c r="BH50" s="2" t="e">
        <f t="shared" si="61"/>
        <v>#DIV/0!</v>
      </c>
      <c r="BL50" s="8" t="e">
        <f t="shared" si="48"/>
        <v>#DIV/0!</v>
      </c>
      <c r="BM50" s="2" t="e">
        <f t="shared" si="49"/>
        <v>#DIV/0!</v>
      </c>
      <c r="BO50" s="2" t="e">
        <f t="shared" si="62"/>
        <v>#DIV/0!</v>
      </c>
      <c r="BP50" s="2" t="e">
        <f t="shared" si="63"/>
        <v>#DIV/0!</v>
      </c>
    </row>
    <row r="51" spans="1:68" x14ac:dyDescent="0.2">
      <c r="A51" s="2">
        <f t="shared" si="50"/>
        <v>0.91666666666666674</v>
      </c>
      <c r="B51" s="2">
        <f t="shared" si="51"/>
        <v>0.39984965434484732</v>
      </c>
      <c r="C51" s="2">
        <f t="shared" si="25"/>
        <v>0.39984965434484732</v>
      </c>
      <c r="D51" s="8">
        <f t="shared" si="26"/>
        <v>0.39984965434484732</v>
      </c>
      <c r="E51" s="2">
        <f t="shared" si="27"/>
        <v>0.39984965434484732</v>
      </c>
      <c r="H51" s="8" t="e">
        <f t="shared" si="28"/>
        <v>#DIV/0!</v>
      </c>
      <c r="I51" s="2" t="e">
        <f t="shared" si="29"/>
        <v>#DIV/0!</v>
      </c>
      <c r="L51" s="8">
        <f t="shared" si="30"/>
        <v>0.53466876556118026</v>
      </c>
      <c r="M51" s="2">
        <f t="shared" si="31"/>
        <v>0.53466876556118026</v>
      </c>
      <c r="P51" s="8">
        <f t="shared" si="32"/>
        <v>0.52173913043478259</v>
      </c>
      <c r="Q51" s="2">
        <f t="shared" si="33"/>
        <v>0.52173913043478259</v>
      </c>
      <c r="T51" s="8">
        <f t="shared" si="34"/>
        <v>0.39984965434484732</v>
      </c>
      <c r="U51" s="2">
        <f t="shared" si="35"/>
        <v>0.39984965434484732</v>
      </c>
      <c r="X51" s="8">
        <f t="shared" si="36"/>
        <v>0.53466876556118026</v>
      </c>
      <c r="Y51" s="2">
        <f t="shared" si="37"/>
        <v>0.53466876556118026</v>
      </c>
      <c r="AD51" s="8" t="e">
        <f t="shared" si="38"/>
        <v>#DIV/0!</v>
      </c>
      <c r="AE51" s="2" t="e">
        <f t="shared" si="39"/>
        <v>#DIV/0!</v>
      </c>
      <c r="AG51" s="2" t="e">
        <f t="shared" si="52"/>
        <v>#DIV/0!</v>
      </c>
      <c r="AH51" s="2" t="e">
        <f t="shared" si="53"/>
        <v>#DIV/0!</v>
      </c>
      <c r="AJ51" s="8" t="e">
        <f t="shared" si="40"/>
        <v>#DIV/0!</v>
      </c>
      <c r="AK51" s="2" t="e">
        <f t="shared" si="41"/>
        <v>#DIV/0!</v>
      </c>
      <c r="AM51" s="2" t="e">
        <f t="shared" si="54"/>
        <v>#DIV/0!</v>
      </c>
      <c r="AN51" s="2" t="e">
        <f t="shared" si="55"/>
        <v>#DIV/0!</v>
      </c>
      <c r="AP51" s="8" t="e">
        <f t="shared" si="42"/>
        <v>#DIV/0!</v>
      </c>
      <c r="AQ51" s="2" t="e">
        <f t="shared" si="43"/>
        <v>#DIV/0!</v>
      </c>
      <c r="AS51" s="2" t="e">
        <f t="shared" si="56"/>
        <v>#DIV/0!</v>
      </c>
      <c r="AT51" s="16" t="e">
        <f t="shared" si="57"/>
        <v>#DIV/0!</v>
      </c>
      <c r="AV51" s="8" t="e">
        <f t="shared" si="44"/>
        <v>#DIV/0!</v>
      </c>
      <c r="AW51" s="2" t="e">
        <f t="shared" si="45"/>
        <v>#DIV/0!</v>
      </c>
      <c r="AY51" s="2" t="e">
        <f t="shared" si="58"/>
        <v>#DIV/0!</v>
      </c>
      <c r="AZ51" s="2" t="e">
        <f t="shared" si="59"/>
        <v>#DIV/0!</v>
      </c>
      <c r="BD51" s="8" t="e">
        <f t="shared" si="46"/>
        <v>#DIV/0!</v>
      </c>
      <c r="BE51" s="2" t="e">
        <f t="shared" si="47"/>
        <v>#DIV/0!</v>
      </c>
      <c r="BG51" s="2" t="e">
        <f t="shared" si="60"/>
        <v>#DIV/0!</v>
      </c>
      <c r="BH51" s="2" t="e">
        <f t="shared" si="61"/>
        <v>#DIV/0!</v>
      </c>
      <c r="BL51" s="8" t="e">
        <f t="shared" si="48"/>
        <v>#DIV/0!</v>
      </c>
      <c r="BM51" s="2" t="e">
        <f t="shared" si="49"/>
        <v>#DIV/0!</v>
      </c>
      <c r="BO51" s="2" t="e">
        <f t="shared" si="62"/>
        <v>#DIV/0!</v>
      </c>
      <c r="BP51" s="2" t="e">
        <f t="shared" si="63"/>
        <v>#DIV/0!</v>
      </c>
    </row>
    <row r="52" spans="1:68" x14ac:dyDescent="0.2">
      <c r="A52" s="2">
        <f t="shared" si="50"/>
        <v>1</v>
      </c>
      <c r="B52" s="2">
        <f t="shared" si="51"/>
        <v>0.36787944117144233</v>
      </c>
      <c r="C52" s="2">
        <f t="shared" si="25"/>
        <v>0.36787944117144233</v>
      </c>
      <c r="D52" s="8">
        <f t="shared" si="26"/>
        <v>0.36787944117144233</v>
      </c>
      <c r="E52" s="2">
        <f t="shared" si="27"/>
        <v>0.36787944117144233</v>
      </c>
      <c r="H52" s="8" t="e">
        <f t="shared" si="28"/>
        <v>#DIV/0!</v>
      </c>
      <c r="I52" s="2" t="e">
        <f t="shared" si="29"/>
        <v>#DIV/0!</v>
      </c>
      <c r="L52" s="8">
        <f t="shared" si="30"/>
        <v>0.5</v>
      </c>
      <c r="M52" s="2">
        <f t="shared" si="31"/>
        <v>0.5</v>
      </c>
      <c r="P52" s="8">
        <f t="shared" si="32"/>
        <v>0.5</v>
      </c>
      <c r="Q52" s="2">
        <f t="shared" si="33"/>
        <v>0.5</v>
      </c>
      <c r="T52" s="8">
        <f t="shared" si="34"/>
        <v>0.36787944117144233</v>
      </c>
      <c r="U52" s="2">
        <f t="shared" si="35"/>
        <v>0.36787944117144233</v>
      </c>
      <c r="X52" s="8">
        <f t="shared" si="36"/>
        <v>0.5</v>
      </c>
      <c r="Y52" s="2">
        <f t="shared" si="37"/>
        <v>0.5</v>
      </c>
      <c r="AD52" s="8" t="e">
        <f t="shared" si="38"/>
        <v>#DIV/0!</v>
      </c>
      <c r="AE52" s="2" t="e">
        <f t="shared" si="39"/>
        <v>#DIV/0!</v>
      </c>
      <c r="AG52" s="2" t="e">
        <f t="shared" si="52"/>
        <v>#DIV/0!</v>
      </c>
      <c r="AH52" s="2" t="e">
        <f t="shared" si="53"/>
        <v>#DIV/0!</v>
      </c>
      <c r="AJ52" s="8" t="e">
        <f t="shared" si="40"/>
        <v>#DIV/0!</v>
      </c>
      <c r="AK52" s="2" t="e">
        <f t="shared" si="41"/>
        <v>#DIV/0!</v>
      </c>
      <c r="AM52" s="2" t="e">
        <f t="shared" si="54"/>
        <v>#DIV/0!</v>
      </c>
      <c r="AN52" s="2" t="e">
        <f t="shared" si="55"/>
        <v>#DIV/0!</v>
      </c>
      <c r="AP52" s="8" t="e">
        <f t="shared" si="42"/>
        <v>#DIV/0!</v>
      </c>
      <c r="AQ52" s="2" t="e">
        <f t="shared" si="43"/>
        <v>#DIV/0!</v>
      </c>
      <c r="AS52" s="2" t="e">
        <f t="shared" si="56"/>
        <v>#DIV/0!</v>
      </c>
      <c r="AT52" s="16" t="e">
        <f t="shared" si="57"/>
        <v>#DIV/0!</v>
      </c>
      <c r="AV52" s="8" t="e">
        <f t="shared" si="44"/>
        <v>#DIV/0!</v>
      </c>
      <c r="AW52" s="2" t="e">
        <f t="shared" si="45"/>
        <v>#DIV/0!</v>
      </c>
      <c r="AY52" s="2" t="e">
        <f t="shared" si="58"/>
        <v>#DIV/0!</v>
      </c>
      <c r="AZ52" s="2" t="e">
        <f t="shared" si="59"/>
        <v>#DIV/0!</v>
      </c>
      <c r="BD52" s="8" t="e">
        <f t="shared" si="46"/>
        <v>#DIV/0!</v>
      </c>
      <c r="BE52" s="2" t="e">
        <f t="shared" si="47"/>
        <v>#DIV/0!</v>
      </c>
      <c r="BG52" s="2" t="e">
        <f t="shared" si="60"/>
        <v>#DIV/0!</v>
      </c>
      <c r="BH52" s="2" t="e">
        <f t="shared" si="61"/>
        <v>#DIV/0!</v>
      </c>
      <c r="BL52" s="8" t="e">
        <f t="shared" si="48"/>
        <v>#DIV/0!</v>
      </c>
      <c r="BM52" s="2" t="e">
        <f t="shared" si="49"/>
        <v>#DIV/0!</v>
      </c>
      <c r="BO52" s="2" t="e">
        <f t="shared" si="62"/>
        <v>#DIV/0!</v>
      </c>
      <c r="BP52" s="2" t="e">
        <f t="shared" si="63"/>
        <v>#DIV/0!</v>
      </c>
    </row>
    <row r="53" spans="1:68" x14ac:dyDescent="0.2">
      <c r="A53" s="2">
        <f t="shared" si="50"/>
        <v>1.0833333333333333</v>
      </c>
      <c r="B53" s="2">
        <f t="shared" si="51"/>
        <v>0.33846542510674221</v>
      </c>
      <c r="C53" s="2">
        <f t="shared" si="25"/>
        <v>0.33846542510674221</v>
      </c>
      <c r="D53" s="8">
        <f t="shared" si="26"/>
        <v>0.33846542510674221</v>
      </c>
      <c r="E53" s="2">
        <f t="shared" si="27"/>
        <v>0.33846542510674221</v>
      </c>
      <c r="H53" s="8" t="e">
        <f t="shared" si="28"/>
        <v>#DIV/0!</v>
      </c>
      <c r="I53" s="2" t="e">
        <f t="shared" si="29"/>
        <v>#DIV/0!</v>
      </c>
      <c r="L53" s="8">
        <f t="shared" si="30"/>
        <v>0.46810164455248771</v>
      </c>
      <c r="M53" s="2">
        <f t="shared" si="31"/>
        <v>0.46810164455248771</v>
      </c>
      <c r="P53" s="8">
        <f t="shared" si="32"/>
        <v>0.48</v>
      </c>
      <c r="Q53" s="2">
        <f t="shared" si="33"/>
        <v>0.48</v>
      </c>
      <c r="T53" s="8">
        <f t="shared" si="34"/>
        <v>0.33846542510674227</v>
      </c>
      <c r="U53" s="2">
        <f t="shared" si="35"/>
        <v>0.33846542510674227</v>
      </c>
      <c r="X53" s="8">
        <f t="shared" si="36"/>
        <v>0.46810164455248771</v>
      </c>
      <c r="Y53" s="2">
        <f t="shared" si="37"/>
        <v>0.46810164455248771</v>
      </c>
      <c r="AD53" s="8" t="e">
        <f t="shared" si="38"/>
        <v>#DIV/0!</v>
      </c>
      <c r="AE53" s="2" t="e">
        <f t="shared" si="39"/>
        <v>#DIV/0!</v>
      </c>
      <c r="AG53" s="2" t="e">
        <f t="shared" si="52"/>
        <v>#DIV/0!</v>
      </c>
      <c r="AH53" s="2" t="e">
        <f t="shared" si="53"/>
        <v>#DIV/0!</v>
      </c>
      <c r="AJ53" s="8" t="e">
        <f t="shared" si="40"/>
        <v>#DIV/0!</v>
      </c>
      <c r="AK53" s="2" t="e">
        <f t="shared" si="41"/>
        <v>#DIV/0!</v>
      </c>
      <c r="AM53" s="2" t="e">
        <f t="shared" si="54"/>
        <v>#DIV/0!</v>
      </c>
      <c r="AN53" s="2" t="e">
        <f t="shared" si="55"/>
        <v>#DIV/0!</v>
      </c>
      <c r="AP53" s="8" t="e">
        <f t="shared" si="42"/>
        <v>#DIV/0!</v>
      </c>
      <c r="AQ53" s="2" t="e">
        <f t="shared" si="43"/>
        <v>#DIV/0!</v>
      </c>
      <c r="AS53" s="2" t="e">
        <f t="shared" si="56"/>
        <v>#DIV/0!</v>
      </c>
      <c r="AT53" s="16" t="e">
        <f t="shared" si="57"/>
        <v>#DIV/0!</v>
      </c>
      <c r="AV53" s="8" t="e">
        <f t="shared" si="44"/>
        <v>#DIV/0!</v>
      </c>
      <c r="AW53" s="2" t="e">
        <f t="shared" si="45"/>
        <v>#DIV/0!</v>
      </c>
      <c r="AY53" s="2" t="e">
        <f t="shared" si="58"/>
        <v>#DIV/0!</v>
      </c>
      <c r="AZ53" s="2" t="e">
        <f t="shared" si="59"/>
        <v>#DIV/0!</v>
      </c>
      <c r="BD53" s="8" t="e">
        <f t="shared" si="46"/>
        <v>#DIV/0!</v>
      </c>
      <c r="BE53" s="2" t="e">
        <f t="shared" si="47"/>
        <v>#DIV/0!</v>
      </c>
      <c r="BG53" s="2" t="e">
        <f t="shared" si="60"/>
        <v>#DIV/0!</v>
      </c>
      <c r="BH53" s="2" t="e">
        <f t="shared" si="61"/>
        <v>#DIV/0!</v>
      </c>
      <c r="BL53" s="8" t="e">
        <f t="shared" si="48"/>
        <v>#DIV/0!</v>
      </c>
      <c r="BM53" s="2" t="e">
        <f t="shared" si="49"/>
        <v>#DIV/0!</v>
      </c>
      <c r="BO53" s="2" t="e">
        <f t="shared" si="62"/>
        <v>#DIV/0!</v>
      </c>
      <c r="BP53" s="2" t="e">
        <f t="shared" si="63"/>
        <v>#DIV/0!</v>
      </c>
    </row>
    <row r="54" spans="1:68" x14ac:dyDescent="0.2">
      <c r="A54" s="2">
        <f t="shared" si="50"/>
        <v>1.1666666666666665</v>
      </c>
      <c r="B54" s="2">
        <f t="shared" si="51"/>
        <v>0.31140322391459774</v>
      </c>
      <c r="C54" s="2">
        <f t="shared" si="25"/>
        <v>0.31140322391459774</v>
      </c>
      <c r="D54" s="8">
        <f t="shared" si="26"/>
        <v>0.31140322391459774</v>
      </c>
      <c r="E54" s="2">
        <f t="shared" si="27"/>
        <v>0.31140322391459774</v>
      </c>
      <c r="H54" s="8" t="e">
        <f t="shared" si="28"/>
        <v>#DIV/0!</v>
      </c>
      <c r="I54" s="2" t="e">
        <f t="shared" si="29"/>
        <v>#DIV/0!</v>
      </c>
      <c r="L54" s="8">
        <f t="shared" si="30"/>
        <v>0.4387454645331279</v>
      </c>
      <c r="M54" s="2">
        <f t="shared" si="31"/>
        <v>0.4387454645331279</v>
      </c>
      <c r="P54" s="8">
        <f t="shared" si="32"/>
        <v>0.46153846153846156</v>
      </c>
      <c r="Q54" s="2">
        <f t="shared" si="33"/>
        <v>0.46153846153846156</v>
      </c>
      <c r="T54" s="8">
        <f t="shared" si="34"/>
        <v>0.31140322391459774</v>
      </c>
      <c r="U54" s="2">
        <f t="shared" si="35"/>
        <v>0.31140322391459774</v>
      </c>
      <c r="X54" s="8">
        <f t="shared" si="36"/>
        <v>0.4387454645331279</v>
      </c>
      <c r="Y54" s="2">
        <f t="shared" si="37"/>
        <v>0.4387454645331279</v>
      </c>
      <c r="AD54" s="8" t="e">
        <f t="shared" si="38"/>
        <v>#DIV/0!</v>
      </c>
      <c r="AE54" s="2" t="e">
        <f t="shared" si="39"/>
        <v>#DIV/0!</v>
      </c>
      <c r="AG54" s="2" t="e">
        <f t="shared" si="52"/>
        <v>#DIV/0!</v>
      </c>
      <c r="AH54" s="2" t="e">
        <f t="shared" si="53"/>
        <v>#DIV/0!</v>
      </c>
      <c r="AJ54" s="8" t="e">
        <f t="shared" si="40"/>
        <v>#DIV/0!</v>
      </c>
      <c r="AK54" s="2" t="e">
        <f t="shared" si="41"/>
        <v>#DIV/0!</v>
      </c>
      <c r="AM54" s="2" t="e">
        <f t="shared" si="54"/>
        <v>#DIV/0!</v>
      </c>
      <c r="AN54" s="2" t="e">
        <f t="shared" si="55"/>
        <v>#DIV/0!</v>
      </c>
      <c r="AP54" s="8" t="e">
        <f t="shared" si="42"/>
        <v>#DIV/0!</v>
      </c>
      <c r="AQ54" s="2" t="e">
        <f t="shared" si="43"/>
        <v>#DIV/0!</v>
      </c>
      <c r="AS54" s="2" t="e">
        <f t="shared" si="56"/>
        <v>#DIV/0!</v>
      </c>
      <c r="AT54" s="16" t="e">
        <f t="shared" si="57"/>
        <v>#DIV/0!</v>
      </c>
      <c r="AV54" s="8" t="e">
        <f t="shared" si="44"/>
        <v>#DIV/0!</v>
      </c>
      <c r="AW54" s="2" t="e">
        <f t="shared" si="45"/>
        <v>#DIV/0!</v>
      </c>
      <c r="AY54" s="2" t="e">
        <f t="shared" si="58"/>
        <v>#DIV/0!</v>
      </c>
      <c r="AZ54" s="2" t="e">
        <f t="shared" si="59"/>
        <v>#DIV/0!</v>
      </c>
      <c r="BD54" s="8" t="e">
        <f t="shared" si="46"/>
        <v>#DIV/0!</v>
      </c>
      <c r="BE54" s="2" t="e">
        <f t="shared" si="47"/>
        <v>#DIV/0!</v>
      </c>
      <c r="BG54" s="2" t="e">
        <f t="shared" si="60"/>
        <v>#DIV/0!</v>
      </c>
      <c r="BH54" s="2" t="e">
        <f t="shared" si="61"/>
        <v>#DIV/0!</v>
      </c>
      <c r="BL54" s="8" t="e">
        <f t="shared" si="48"/>
        <v>#DIV/0!</v>
      </c>
      <c r="BM54" s="2" t="e">
        <f t="shared" si="49"/>
        <v>#DIV/0!</v>
      </c>
      <c r="BO54" s="2" t="e">
        <f t="shared" si="62"/>
        <v>#DIV/0!</v>
      </c>
      <c r="BP54" s="2" t="e">
        <f t="shared" si="63"/>
        <v>#DIV/0!</v>
      </c>
    </row>
    <row r="55" spans="1:68" x14ac:dyDescent="0.2">
      <c r="A55" s="2">
        <f t="shared" si="50"/>
        <v>1.2499999999999998</v>
      </c>
      <c r="B55" s="2">
        <f t="shared" si="51"/>
        <v>0.28650479686019015</v>
      </c>
      <c r="C55" s="2">
        <f t="shared" si="25"/>
        <v>0.28650479686019015</v>
      </c>
      <c r="D55" s="8">
        <f t="shared" si="26"/>
        <v>0.28650479686019015</v>
      </c>
      <c r="E55" s="2">
        <f t="shared" si="27"/>
        <v>0.28650479686019015</v>
      </c>
      <c r="H55" s="8" t="e">
        <f t="shared" si="28"/>
        <v>#DIV/0!</v>
      </c>
      <c r="I55" s="2" t="e">
        <f t="shared" si="29"/>
        <v>#DIV/0!</v>
      </c>
      <c r="L55" s="8">
        <f t="shared" si="30"/>
        <v>0.41171189185745494</v>
      </c>
      <c r="M55" s="2">
        <f t="shared" si="31"/>
        <v>0.41171189185745494</v>
      </c>
      <c r="P55" s="8">
        <f t="shared" si="32"/>
        <v>0.44444444444444453</v>
      </c>
      <c r="Q55" s="2">
        <f t="shared" si="33"/>
        <v>0.44444444444444453</v>
      </c>
      <c r="T55" s="8">
        <f t="shared" si="34"/>
        <v>0.28650479686019015</v>
      </c>
      <c r="U55" s="2">
        <f t="shared" si="35"/>
        <v>0.28650479686019015</v>
      </c>
      <c r="X55" s="8">
        <f t="shared" si="36"/>
        <v>0.41171189185745494</v>
      </c>
      <c r="Y55" s="2">
        <f t="shared" si="37"/>
        <v>0.41171189185745494</v>
      </c>
      <c r="AD55" s="8" t="e">
        <f t="shared" si="38"/>
        <v>#DIV/0!</v>
      </c>
      <c r="AE55" s="2" t="e">
        <f t="shared" si="39"/>
        <v>#DIV/0!</v>
      </c>
      <c r="AG55" s="2" t="e">
        <f t="shared" si="52"/>
        <v>#DIV/0!</v>
      </c>
      <c r="AH55" s="2" t="e">
        <f t="shared" si="53"/>
        <v>#DIV/0!</v>
      </c>
      <c r="AJ55" s="8" t="e">
        <f t="shared" si="40"/>
        <v>#DIV/0!</v>
      </c>
      <c r="AK55" s="2" t="e">
        <f t="shared" si="41"/>
        <v>#DIV/0!</v>
      </c>
      <c r="AM55" s="2" t="e">
        <f t="shared" si="54"/>
        <v>#DIV/0!</v>
      </c>
      <c r="AN55" s="2" t="e">
        <f t="shared" si="55"/>
        <v>#DIV/0!</v>
      </c>
      <c r="AP55" s="8" t="e">
        <f t="shared" si="42"/>
        <v>#DIV/0!</v>
      </c>
      <c r="AQ55" s="2" t="e">
        <f t="shared" si="43"/>
        <v>#DIV/0!</v>
      </c>
      <c r="AS55" s="2" t="e">
        <f t="shared" si="56"/>
        <v>#DIV/0!</v>
      </c>
      <c r="AT55" s="16" t="e">
        <f t="shared" si="57"/>
        <v>#DIV/0!</v>
      </c>
      <c r="AV55" s="8" t="e">
        <f t="shared" si="44"/>
        <v>#DIV/0!</v>
      </c>
      <c r="AW55" s="2" t="e">
        <f t="shared" si="45"/>
        <v>#DIV/0!</v>
      </c>
      <c r="AY55" s="2" t="e">
        <f t="shared" si="58"/>
        <v>#DIV/0!</v>
      </c>
      <c r="AZ55" s="2" t="e">
        <f t="shared" si="59"/>
        <v>#DIV/0!</v>
      </c>
      <c r="BD55" s="8" t="e">
        <f t="shared" si="46"/>
        <v>#DIV/0!</v>
      </c>
      <c r="BE55" s="2" t="e">
        <f t="shared" si="47"/>
        <v>#DIV/0!</v>
      </c>
      <c r="BG55" s="2" t="e">
        <f t="shared" si="60"/>
        <v>#DIV/0!</v>
      </c>
      <c r="BH55" s="2" t="e">
        <f t="shared" si="61"/>
        <v>#DIV/0!</v>
      </c>
      <c r="BL55" s="8" t="e">
        <f t="shared" si="48"/>
        <v>#DIV/0!</v>
      </c>
      <c r="BM55" s="2" t="e">
        <f t="shared" si="49"/>
        <v>#DIV/0!</v>
      </c>
      <c r="BO55" s="2" t="e">
        <f t="shared" si="62"/>
        <v>#DIV/0!</v>
      </c>
      <c r="BP55" s="2" t="e">
        <f t="shared" si="63"/>
        <v>#DIV/0!</v>
      </c>
    </row>
    <row r="56" spans="1:68" x14ac:dyDescent="0.2">
      <c r="A56" s="2">
        <f t="shared" si="50"/>
        <v>1.333333333333333</v>
      </c>
      <c r="B56" s="2">
        <f t="shared" si="51"/>
        <v>0.26359713811572683</v>
      </c>
      <c r="C56" s="2">
        <f t="shared" si="25"/>
        <v>0.26359713811572683</v>
      </c>
      <c r="D56" s="8">
        <f t="shared" si="26"/>
        <v>0.26359713811572683</v>
      </c>
      <c r="E56" s="2">
        <f t="shared" si="27"/>
        <v>0.26359713811572683</v>
      </c>
      <c r="H56" s="8" t="e">
        <f t="shared" si="28"/>
        <v>#DIV/0!</v>
      </c>
      <c r="I56" s="2" t="e">
        <f t="shared" si="29"/>
        <v>#DIV/0!</v>
      </c>
      <c r="L56" s="8">
        <f t="shared" si="30"/>
        <v>0.38679505713409734</v>
      </c>
      <c r="M56" s="2">
        <f t="shared" si="31"/>
        <v>0.38679505713409734</v>
      </c>
      <c r="P56" s="8">
        <f t="shared" si="32"/>
        <v>0.4285714285714286</v>
      </c>
      <c r="Q56" s="2">
        <f t="shared" si="33"/>
        <v>0.4285714285714286</v>
      </c>
      <c r="T56" s="8">
        <f t="shared" si="34"/>
        <v>0.26359713811572683</v>
      </c>
      <c r="U56" s="2">
        <f t="shared" si="35"/>
        <v>0.26359713811572683</v>
      </c>
      <c r="X56" s="8">
        <f t="shared" si="36"/>
        <v>0.38679505713409734</v>
      </c>
      <c r="Y56" s="2">
        <f t="shared" si="37"/>
        <v>0.38679505713409734</v>
      </c>
      <c r="AD56" s="8" t="e">
        <f t="shared" si="38"/>
        <v>#DIV/0!</v>
      </c>
      <c r="AE56" s="2" t="e">
        <f t="shared" si="39"/>
        <v>#DIV/0!</v>
      </c>
      <c r="AG56" s="2" t="e">
        <f t="shared" si="52"/>
        <v>#DIV/0!</v>
      </c>
      <c r="AH56" s="2" t="e">
        <f t="shared" si="53"/>
        <v>#DIV/0!</v>
      </c>
      <c r="AJ56" s="8" t="e">
        <f t="shared" si="40"/>
        <v>#DIV/0!</v>
      </c>
      <c r="AK56" s="2" t="e">
        <f t="shared" si="41"/>
        <v>#DIV/0!</v>
      </c>
      <c r="AM56" s="2" t="e">
        <f t="shared" si="54"/>
        <v>#DIV/0!</v>
      </c>
      <c r="AN56" s="2" t="e">
        <f t="shared" si="55"/>
        <v>#DIV/0!</v>
      </c>
      <c r="AP56" s="8" t="e">
        <f t="shared" si="42"/>
        <v>#DIV/0!</v>
      </c>
      <c r="AQ56" s="2" t="e">
        <f t="shared" si="43"/>
        <v>#DIV/0!</v>
      </c>
      <c r="AS56" s="2" t="e">
        <f t="shared" si="56"/>
        <v>#DIV/0!</v>
      </c>
      <c r="AT56" s="16" t="e">
        <f t="shared" si="57"/>
        <v>#DIV/0!</v>
      </c>
      <c r="AV56" s="8" t="e">
        <f t="shared" si="44"/>
        <v>#DIV/0!</v>
      </c>
      <c r="AW56" s="2" t="e">
        <f t="shared" si="45"/>
        <v>#DIV/0!</v>
      </c>
      <c r="AY56" s="2" t="e">
        <f t="shared" si="58"/>
        <v>#DIV/0!</v>
      </c>
      <c r="AZ56" s="2" t="e">
        <f t="shared" si="59"/>
        <v>#DIV/0!</v>
      </c>
      <c r="BD56" s="8" t="e">
        <f t="shared" si="46"/>
        <v>#DIV/0!</v>
      </c>
      <c r="BE56" s="2" t="e">
        <f t="shared" si="47"/>
        <v>#DIV/0!</v>
      </c>
      <c r="BG56" s="2" t="e">
        <f t="shared" si="60"/>
        <v>#DIV/0!</v>
      </c>
      <c r="BH56" s="2" t="e">
        <f t="shared" si="61"/>
        <v>#DIV/0!</v>
      </c>
      <c r="BL56" s="8" t="e">
        <f t="shared" si="48"/>
        <v>#DIV/0!</v>
      </c>
      <c r="BM56" s="2" t="e">
        <f t="shared" si="49"/>
        <v>#DIV/0!</v>
      </c>
      <c r="BO56" s="2" t="e">
        <f t="shared" si="62"/>
        <v>#DIV/0!</v>
      </c>
      <c r="BP56" s="2" t="e">
        <f t="shared" si="63"/>
        <v>#DIV/0!</v>
      </c>
    </row>
    <row r="57" spans="1:68" x14ac:dyDescent="0.2">
      <c r="A57" s="2">
        <f t="shared" si="50"/>
        <v>1.4166666666666663</v>
      </c>
      <c r="B57" s="2">
        <f t="shared" si="51"/>
        <v>0.24252107463564879</v>
      </c>
      <c r="C57" s="2">
        <f t="shared" si="25"/>
        <v>0.24252107463564879</v>
      </c>
      <c r="D57" s="8">
        <f t="shared" si="26"/>
        <v>0.24252107463564879</v>
      </c>
      <c r="E57" s="2">
        <f t="shared" si="27"/>
        <v>0.24252107463564879</v>
      </c>
      <c r="H57" s="8" t="e">
        <f t="shared" si="28"/>
        <v>#DIV/0!</v>
      </c>
      <c r="I57" s="2" t="e">
        <f t="shared" si="29"/>
        <v>#DIV/0!</v>
      </c>
      <c r="L57" s="8">
        <f t="shared" si="30"/>
        <v>0.36380493347416765</v>
      </c>
      <c r="M57" s="2">
        <f t="shared" si="31"/>
        <v>0.36380493347416765</v>
      </c>
      <c r="P57" s="8">
        <f t="shared" si="32"/>
        <v>0.41379310344827591</v>
      </c>
      <c r="Q57" s="2">
        <f t="shared" si="33"/>
        <v>0.41379310344827591</v>
      </c>
      <c r="T57" s="8">
        <f t="shared" si="34"/>
        <v>0.24252107463564876</v>
      </c>
      <c r="U57" s="2">
        <f t="shared" si="35"/>
        <v>0.24252107463564876</v>
      </c>
      <c r="X57" s="8">
        <f t="shared" si="36"/>
        <v>0.36380493347416765</v>
      </c>
      <c r="Y57" s="2">
        <f t="shared" si="37"/>
        <v>0.36380493347416765</v>
      </c>
      <c r="AD57" s="8" t="e">
        <f t="shared" si="38"/>
        <v>#DIV/0!</v>
      </c>
      <c r="AE57" s="2" t="e">
        <f t="shared" si="39"/>
        <v>#DIV/0!</v>
      </c>
      <c r="AG57" s="2" t="e">
        <f t="shared" si="52"/>
        <v>#DIV/0!</v>
      </c>
      <c r="AH57" s="2" t="e">
        <f t="shared" si="53"/>
        <v>#DIV/0!</v>
      </c>
      <c r="AJ57" s="8" t="e">
        <f t="shared" si="40"/>
        <v>#DIV/0!</v>
      </c>
      <c r="AK57" s="2" t="e">
        <f t="shared" si="41"/>
        <v>#DIV/0!</v>
      </c>
      <c r="AM57" s="2" t="e">
        <f t="shared" si="54"/>
        <v>#DIV/0!</v>
      </c>
      <c r="AN57" s="2" t="e">
        <f t="shared" si="55"/>
        <v>#DIV/0!</v>
      </c>
      <c r="AP57" s="8" t="e">
        <f t="shared" si="42"/>
        <v>#DIV/0!</v>
      </c>
      <c r="AQ57" s="2" t="e">
        <f t="shared" si="43"/>
        <v>#DIV/0!</v>
      </c>
      <c r="AS57" s="2" t="e">
        <f t="shared" si="56"/>
        <v>#DIV/0!</v>
      </c>
      <c r="AT57" s="16" t="e">
        <f t="shared" si="57"/>
        <v>#DIV/0!</v>
      </c>
      <c r="AV57" s="8" t="e">
        <f t="shared" si="44"/>
        <v>#DIV/0!</v>
      </c>
      <c r="AW57" s="2" t="e">
        <f t="shared" si="45"/>
        <v>#DIV/0!</v>
      </c>
      <c r="AY57" s="2" t="e">
        <f t="shared" si="58"/>
        <v>#DIV/0!</v>
      </c>
      <c r="AZ57" s="2" t="e">
        <f t="shared" si="59"/>
        <v>#DIV/0!</v>
      </c>
      <c r="BD57" s="8" t="e">
        <f t="shared" si="46"/>
        <v>#DIV/0!</v>
      </c>
      <c r="BE57" s="2" t="e">
        <f t="shared" si="47"/>
        <v>#DIV/0!</v>
      </c>
      <c r="BG57" s="2" t="e">
        <f t="shared" si="60"/>
        <v>#DIV/0!</v>
      </c>
      <c r="BH57" s="2" t="e">
        <f t="shared" si="61"/>
        <v>#DIV/0!</v>
      </c>
      <c r="BL57" s="8" t="e">
        <f t="shared" si="48"/>
        <v>#DIV/0!</v>
      </c>
      <c r="BM57" s="2" t="e">
        <f t="shared" si="49"/>
        <v>#DIV/0!</v>
      </c>
      <c r="BO57" s="2" t="e">
        <f t="shared" si="62"/>
        <v>#DIV/0!</v>
      </c>
      <c r="BP57" s="2" t="e">
        <f t="shared" si="63"/>
        <v>#DIV/0!</v>
      </c>
    </row>
    <row r="58" spans="1:68" x14ac:dyDescent="0.2">
      <c r="A58" s="2">
        <f t="shared" si="50"/>
        <v>1.4999999999999996</v>
      </c>
      <c r="B58" s="2">
        <f t="shared" si="51"/>
        <v>0.22313016014842993</v>
      </c>
      <c r="C58" s="2">
        <f t="shared" si="25"/>
        <v>0.22313016014842993</v>
      </c>
      <c r="D58" s="8">
        <f t="shared" si="26"/>
        <v>0.22313016014842993</v>
      </c>
      <c r="E58" s="2">
        <f t="shared" si="27"/>
        <v>0.22313016014842993</v>
      </c>
      <c r="H58" s="8" t="e">
        <f t="shared" si="28"/>
        <v>#DIV/0!</v>
      </c>
      <c r="I58" s="2" t="e">
        <f t="shared" si="29"/>
        <v>#DIV/0!</v>
      </c>
      <c r="L58" s="8">
        <f t="shared" si="30"/>
        <v>0.34256783051484596</v>
      </c>
      <c r="M58" s="2">
        <f t="shared" si="31"/>
        <v>0.34256783051484596</v>
      </c>
      <c r="P58" s="8">
        <f t="shared" si="32"/>
        <v>0.40000000000000013</v>
      </c>
      <c r="Q58" s="2">
        <f t="shared" si="33"/>
        <v>0.40000000000000013</v>
      </c>
      <c r="T58" s="8">
        <f t="shared" si="34"/>
        <v>0.2231301601484299</v>
      </c>
      <c r="U58" s="2">
        <f t="shared" si="35"/>
        <v>0.2231301601484299</v>
      </c>
      <c r="X58" s="8">
        <f t="shared" si="36"/>
        <v>0.34256783051484596</v>
      </c>
      <c r="Y58" s="2">
        <f t="shared" si="37"/>
        <v>0.34256783051484596</v>
      </c>
      <c r="AD58" s="8" t="e">
        <f t="shared" si="38"/>
        <v>#DIV/0!</v>
      </c>
      <c r="AE58" s="2" t="e">
        <f t="shared" si="39"/>
        <v>#DIV/0!</v>
      </c>
      <c r="AG58" s="2" t="e">
        <f t="shared" si="52"/>
        <v>#DIV/0!</v>
      </c>
      <c r="AH58" s="2" t="e">
        <f t="shared" si="53"/>
        <v>#DIV/0!</v>
      </c>
      <c r="AJ58" s="8" t="e">
        <f t="shared" si="40"/>
        <v>#DIV/0!</v>
      </c>
      <c r="AK58" s="2" t="e">
        <f t="shared" si="41"/>
        <v>#DIV/0!</v>
      </c>
      <c r="AM58" s="2" t="e">
        <f t="shared" si="54"/>
        <v>#DIV/0!</v>
      </c>
      <c r="AN58" s="2" t="e">
        <f t="shared" si="55"/>
        <v>#DIV/0!</v>
      </c>
      <c r="AP58" s="8" t="e">
        <f t="shared" si="42"/>
        <v>#DIV/0!</v>
      </c>
      <c r="AQ58" s="2" t="e">
        <f t="shared" si="43"/>
        <v>#DIV/0!</v>
      </c>
      <c r="AS58" s="2" t="e">
        <f t="shared" si="56"/>
        <v>#DIV/0!</v>
      </c>
      <c r="AT58" s="16" t="e">
        <f t="shared" si="57"/>
        <v>#DIV/0!</v>
      </c>
      <c r="AV58" s="8" t="e">
        <f t="shared" si="44"/>
        <v>#DIV/0!</v>
      </c>
      <c r="AW58" s="2" t="e">
        <f t="shared" si="45"/>
        <v>#DIV/0!</v>
      </c>
      <c r="AY58" s="2" t="e">
        <f t="shared" si="58"/>
        <v>#DIV/0!</v>
      </c>
      <c r="AZ58" s="2" t="e">
        <f t="shared" si="59"/>
        <v>#DIV/0!</v>
      </c>
      <c r="BD58" s="8" t="e">
        <f t="shared" si="46"/>
        <v>#DIV/0!</v>
      </c>
      <c r="BE58" s="2" t="e">
        <f t="shared" si="47"/>
        <v>#DIV/0!</v>
      </c>
      <c r="BG58" s="2" t="e">
        <f t="shared" si="60"/>
        <v>#DIV/0!</v>
      </c>
      <c r="BH58" s="2" t="e">
        <f t="shared" si="61"/>
        <v>#DIV/0!</v>
      </c>
      <c r="BL58" s="8" t="e">
        <f t="shared" si="48"/>
        <v>#DIV/0!</v>
      </c>
      <c r="BM58" s="2" t="e">
        <f t="shared" si="49"/>
        <v>#DIV/0!</v>
      </c>
      <c r="BO58" s="2" t="e">
        <f t="shared" si="62"/>
        <v>#DIV/0!</v>
      </c>
      <c r="BP58" s="2" t="e">
        <f t="shared" si="63"/>
        <v>#DIV/0!</v>
      </c>
    </row>
    <row r="59" spans="1:68" x14ac:dyDescent="0.2">
      <c r="A59" s="2">
        <f t="shared" si="50"/>
        <v>1.5833333333333328</v>
      </c>
      <c r="B59" s="2">
        <f t="shared" si="51"/>
        <v>0.20528965757990938</v>
      </c>
      <c r="C59" s="2">
        <f t="shared" si="25"/>
        <v>0.20528965757990938</v>
      </c>
      <c r="D59" s="8">
        <f t="shared" si="26"/>
        <v>0.20528965757990938</v>
      </c>
      <c r="E59" s="2">
        <f t="shared" si="27"/>
        <v>0.20528965757990938</v>
      </c>
      <c r="H59" s="8" t="e">
        <f t="shared" si="28"/>
        <v>#DIV/0!</v>
      </c>
      <c r="I59" s="2" t="e">
        <f t="shared" si="29"/>
        <v>#DIV/0!</v>
      </c>
      <c r="L59" s="8">
        <f t="shared" si="30"/>
        <v>0.32292597074484819</v>
      </c>
      <c r="M59" s="2">
        <f t="shared" si="31"/>
        <v>0.32292597074484819</v>
      </c>
      <c r="P59" s="8">
        <f t="shared" si="32"/>
        <v>0.38709677419354849</v>
      </c>
      <c r="Q59" s="2">
        <f t="shared" si="33"/>
        <v>0.38709677419354849</v>
      </c>
      <c r="T59" s="8">
        <f t="shared" si="34"/>
        <v>0.20528965757990936</v>
      </c>
      <c r="U59" s="2">
        <f t="shared" si="35"/>
        <v>0.20528965757990936</v>
      </c>
      <c r="X59" s="8">
        <f t="shared" si="36"/>
        <v>0.32292597074484819</v>
      </c>
      <c r="Y59" s="2">
        <f t="shared" si="37"/>
        <v>0.32292597074484819</v>
      </c>
      <c r="AD59" s="8" t="e">
        <f t="shared" si="38"/>
        <v>#DIV/0!</v>
      </c>
      <c r="AE59" s="2" t="e">
        <f t="shared" si="39"/>
        <v>#DIV/0!</v>
      </c>
      <c r="AG59" s="2" t="e">
        <f t="shared" si="52"/>
        <v>#DIV/0!</v>
      </c>
      <c r="AH59" s="2" t="e">
        <f t="shared" si="53"/>
        <v>#DIV/0!</v>
      </c>
      <c r="AJ59" s="8" t="e">
        <f t="shared" si="40"/>
        <v>#DIV/0!</v>
      </c>
      <c r="AK59" s="2" t="e">
        <f t="shared" si="41"/>
        <v>#DIV/0!</v>
      </c>
      <c r="AM59" s="2" t="e">
        <f t="shared" si="54"/>
        <v>#DIV/0!</v>
      </c>
      <c r="AN59" s="2" t="e">
        <f t="shared" si="55"/>
        <v>#DIV/0!</v>
      </c>
      <c r="AP59" s="8" t="e">
        <f t="shared" si="42"/>
        <v>#DIV/0!</v>
      </c>
      <c r="AQ59" s="2" t="e">
        <f t="shared" si="43"/>
        <v>#DIV/0!</v>
      </c>
      <c r="AS59" s="2" t="e">
        <f t="shared" si="56"/>
        <v>#DIV/0!</v>
      </c>
      <c r="AT59" s="16" t="e">
        <f t="shared" si="57"/>
        <v>#DIV/0!</v>
      </c>
      <c r="AV59" s="8" t="e">
        <f t="shared" si="44"/>
        <v>#DIV/0!</v>
      </c>
      <c r="AW59" s="2" t="e">
        <f t="shared" si="45"/>
        <v>#DIV/0!</v>
      </c>
      <c r="AY59" s="2" t="e">
        <f t="shared" si="58"/>
        <v>#DIV/0!</v>
      </c>
      <c r="AZ59" s="2" t="e">
        <f t="shared" si="59"/>
        <v>#DIV/0!</v>
      </c>
      <c r="BD59" s="8" t="e">
        <f t="shared" si="46"/>
        <v>#DIV/0!</v>
      </c>
      <c r="BE59" s="2" t="e">
        <f t="shared" si="47"/>
        <v>#DIV/0!</v>
      </c>
      <c r="BG59" s="2" t="e">
        <f t="shared" si="60"/>
        <v>#DIV/0!</v>
      </c>
      <c r="BH59" s="2" t="e">
        <f t="shared" si="61"/>
        <v>#DIV/0!</v>
      </c>
      <c r="BL59" s="8" t="e">
        <f t="shared" si="48"/>
        <v>#DIV/0!</v>
      </c>
      <c r="BM59" s="2" t="e">
        <f t="shared" si="49"/>
        <v>#DIV/0!</v>
      </c>
      <c r="BO59" s="2" t="e">
        <f t="shared" si="62"/>
        <v>#DIV/0!</v>
      </c>
      <c r="BP59" s="2" t="e">
        <f t="shared" si="63"/>
        <v>#DIV/0!</v>
      </c>
    </row>
    <row r="60" spans="1:68" x14ac:dyDescent="0.2">
      <c r="A60" s="2">
        <f t="shared" si="50"/>
        <v>1.6666666666666661</v>
      </c>
      <c r="B60" s="2">
        <f t="shared" si="51"/>
        <v>0.18887560283756194</v>
      </c>
      <c r="C60" s="2">
        <f t="shared" si="25"/>
        <v>0.18887560283756194</v>
      </c>
      <c r="D60" s="8">
        <f t="shared" si="26"/>
        <v>0.18887560283756194</v>
      </c>
      <c r="E60" s="2">
        <f t="shared" si="27"/>
        <v>0.18887560283756194</v>
      </c>
      <c r="H60" s="8" t="e">
        <f t="shared" si="28"/>
        <v>#DIV/0!</v>
      </c>
      <c r="I60" s="2" t="e">
        <f t="shared" si="29"/>
        <v>#DIV/0!</v>
      </c>
      <c r="L60" s="8">
        <f t="shared" si="30"/>
        <v>0.30473658251023183</v>
      </c>
      <c r="M60" s="2">
        <f t="shared" si="31"/>
        <v>0.30473658251023183</v>
      </c>
      <c r="P60" s="8">
        <f t="shared" si="32"/>
        <v>0.375</v>
      </c>
      <c r="Q60" s="2">
        <f t="shared" si="33"/>
        <v>0.375</v>
      </c>
      <c r="T60" s="8">
        <f t="shared" si="34"/>
        <v>0.188875602837562</v>
      </c>
      <c r="U60" s="2">
        <f t="shared" si="35"/>
        <v>0.188875602837562</v>
      </c>
      <c r="X60" s="8">
        <f t="shared" si="36"/>
        <v>0.30473658251023183</v>
      </c>
      <c r="Y60" s="2">
        <f t="shared" si="37"/>
        <v>0.30473658251023183</v>
      </c>
      <c r="AD60" s="8" t="e">
        <f t="shared" si="38"/>
        <v>#DIV/0!</v>
      </c>
      <c r="AE60" s="2" t="e">
        <f t="shared" si="39"/>
        <v>#DIV/0!</v>
      </c>
      <c r="AG60" s="2" t="e">
        <f t="shared" si="52"/>
        <v>#DIV/0!</v>
      </c>
      <c r="AH60" s="2" t="e">
        <f t="shared" si="53"/>
        <v>#DIV/0!</v>
      </c>
      <c r="AJ60" s="8" t="e">
        <f t="shared" si="40"/>
        <v>#DIV/0!</v>
      </c>
      <c r="AK60" s="2" t="e">
        <f t="shared" si="41"/>
        <v>#DIV/0!</v>
      </c>
      <c r="AM60" s="2" t="e">
        <f t="shared" si="54"/>
        <v>#DIV/0!</v>
      </c>
      <c r="AN60" s="2" t="e">
        <f t="shared" si="55"/>
        <v>#DIV/0!</v>
      </c>
      <c r="AP60" s="8" t="e">
        <f t="shared" si="42"/>
        <v>#DIV/0!</v>
      </c>
      <c r="AQ60" s="2" t="e">
        <f t="shared" si="43"/>
        <v>#DIV/0!</v>
      </c>
      <c r="AS60" s="2" t="e">
        <f t="shared" si="56"/>
        <v>#DIV/0!</v>
      </c>
      <c r="AT60" s="16" t="e">
        <f t="shared" si="57"/>
        <v>#DIV/0!</v>
      </c>
      <c r="AV60" s="8" t="e">
        <f t="shared" si="44"/>
        <v>#DIV/0!</v>
      </c>
      <c r="AW60" s="2" t="e">
        <f t="shared" si="45"/>
        <v>#DIV/0!</v>
      </c>
      <c r="AY60" s="2" t="e">
        <f t="shared" si="58"/>
        <v>#DIV/0!</v>
      </c>
      <c r="AZ60" s="2" t="e">
        <f t="shared" si="59"/>
        <v>#DIV/0!</v>
      </c>
      <c r="BD60" s="8" t="e">
        <f t="shared" si="46"/>
        <v>#DIV/0!</v>
      </c>
      <c r="BE60" s="2" t="e">
        <f t="shared" si="47"/>
        <v>#DIV/0!</v>
      </c>
      <c r="BG60" s="2" t="e">
        <f t="shared" si="60"/>
        <v>#DIV/0!</v>
      </c>
      <c r="BH60" s="2" t="e">
        <f t="shared" si="61"/>
        <v>#DIV/0!</v>
      </c>
      <c r="BL60" s="8" t="e">
        <f t="shared" si="48"/>
        <v>#DIV/0!</v>
      </c>
      <c r="BM60" s="2" t="e">
        <f t="shared" si="49"/>
        <v>#DIV/0!</v>
      </c>
      <c r="BO60" s="2" t="e">
        <f t="shared" si="62"/>
        <v>#DIV/0!</v>
      </c>
      <c r="BP60" s="2" t="e">
        <f t="shared" si="63"/>
        <v>#DIV/0!</v>
      </c>
    </row>
    <row r="61" spans="1:68" x14ac:dyDescent="0.2">
      <c r="A61" s="2">
        <f t="shared" si="50"/>
        <v>1.7499999999999993</v>
      </c>
      <c r="B61" s="2">
        <f t="shared" si="51"/>
        <v>0.17377394345044525</v>
      </c>
      <c r="C61" s="2">
        <f t="shared" si="25"/>
        <v>0.17377394345044525</v>
      </c>
      <c r="D61" s="8">
        <f t="shared" si="26"/>
        <v>0.17377394345044525</v>
      </c>
      <c r="E61" s="2">
        <f t="shared" si="27"/>
        <v>0.17377394345044525</v>
      </c>
      <c r="H61" s="8" t="e">
        <f t="shared" si="28"/>
        <v>#DIV/0!</v>
      </c>
      <c r="I61" s="2" t="e">
        <f t="shared" si="29"/>
        <v>#DIV/0!</v>
      </c>
      <c r="L61" s="8">
        <f t="shared" si="30"/>
        <v>0.28787076684992507</v>
      </c>
      <c r="M61" s="2">
        <f t="shared" si="31"/>
        <v>0.28787076684992507</v>
      </c>
      <c r="P61" s="8">
        <f t="shared" si="32"/>
        <v>0.36363636363636376</v>
      </c>
      <c r="Q61" s="2">
        <f t="shared" si="33"/>
        <v>0.36363636363636376</v>
      </c>
      <c r="T61" s="8">
        <f t="shared" si="34"/>
        <v>0.17377394345044528</v>
      </c>
      <c r="U61" s="2">
        <f t="shared" si="35"/>
        <v>0.17377394345044528</v>
      </c>
      <c r="X61" s="8">
        <f t="shared" si="36"/>
        <v>0.28787076684992507</v>
      </c>
      <c r="Y61" s="2">
        <f t="shared" si="37"/>
        <v>0.28787076684992507</v>
      </c>
      <c r="AD61" s="8" t="e">
        <f t="shared" si="38"/>
        <v>#DIV/0!</v>
      </c>
      <c r="AE61" s="2" t="e">
        <f t="shared" si="39"/>
        <v>#DIV/0!</v>
      </c>
      <c r="AG61" s="2" t="e">
        <f t="shared" si="52"/>
        <v>#DIV/0!</v>
      </c>
      <c r="AH61" s="2" t="e">
        <f t="shared" si="53"/>
        <v>#DIV/0!</v>
      </c>
      <c r="AJ61" s="8" t="e">
        <f t="shared" si="40"/>
        <v>#DIV/0!</v>
      </c>
      <c r="AK61" s="2" t="e">
        <f t="shared" si="41"/>
        <v>#DIV/0!</v>
      </c>
      <c r="AM61" s="2" t="e">
        <f t="shared" si="54"/>
        <v>#DIV/0!</v>
      </c>
      <c r="AN61" s="2" t="e">
        <f t="shared" si="55"/>
        <v>#DIV/0!</v>
      </c>
      <c r="AP61" s="8" t="e">
        <f t="shared" si="42"/>
        <v>#DIV/0!</v>
      </c>
      <c r="AQ61" s="2" t="e">
        <f t="shared" si="43"/>
        <v>#DIV/0!</v>
      </c>
      <c r="AS61" s="2" t="e">
        <f t="shared" si="56"/>
        <v>#DIV/0!</v>
      </c>
      <c r="AT61" s="16" t="e">
        <f t="shared" si="57"/>
        <v>#DIV/0!</v>
      </c>
      <c r="AV61" s="8" t="e">
        <f t="shared" si="44"/>
        <v>#DIV/0!</v>
      </c>
      <c r="AW61" s="2" t="e">
        <f t="shared" si="45"/>
        <v>#DIV/0!</v>
      </c>
      <c r="AY61" s="2" t="e">
        <f t="shared" si="58"/>
        <v>#DIV/0!</v>
      </c>
      <c r="AZ61" s="2" t="e">
        <f t="shared" si="59"/>
        <v>#DIV/0!</v>
      </c>
      <c r="BD61" s="8" t="e">
        <f t="shared" si="46"/>
        <v>#DIV/0!</v>
      </c>
      <c r="BE61" s="2" t="e">
        <f t="shared" si="47"/>
        <v>#DIV/0!</v>
      </c>
      <c r="BG61" s="2" t="e">
        <f t="shared" si="60"/>
        <v>#DIV/0!</v>
      </c>
      <c r="BH61" s="2" t="e">
        <f t="shared" si="61"/>
        <v>#DIV/0!</v>
      </c>
      <c r="BL61" s="8" t="e">
        <f t="shared" si="48"/>
        <v>#DIV/0!</v>
      </c>
      <c r="BM61" s="2" t="e">
        <f t="shared" si="49"/>
        <v>#DIV/0!</v>
      </c>
      <c r="BO61" s="2" t="e">
        <f t="shared" si="62"/>
        <v>#DIV/0!</v>
      </c>
      <c r="BP61" s="2" t="e">
        <f t="shared" si="63"/>
        <v>#DIV/0!</v>
      </c>
    </row>
    <row r="62" spans="1:68" x14ac:dyDescent="0.2">
      <c r="A62" s="2">
        <f t="shared" si="50"/>
        <v>1.8333333333333326</v>
      </c>
      <c r="B62" s="2">
        <f t="shared" si="51"/>
        <v>0.15987974607969402</v>
      </c>
      <c r="C62" s="2">
        <f t="shared" si="25"/>
        <v>0.15987974607969402</v>
      </c>
      <c r="D62" s="8">
        <f t="shared" si="26"/>
        <v>0.15987974607969402</v>
      </c>
      <c r="E62" s="2">
        <f t="shared" si="27"/>
        <v>0.15987974607969402</v>
      </c>
      <c r="H62" s="8" t="e">
        <f t="shared" si="28"/>
        <v>#DIV/0!</v>
      </c>
      <c r="I62" s="2" t="e">
        <f t="shared" si="29"/>
        <v>#DIV/0!</v>
      </c>
      <c r="L62" s="8">
        <f t="shared" si="30"/>
        <v>0.27221228880193415</v>
      </c>
      <c r="M62" s="2">
        <f t="shared" si="31"/>
        <v>0.27221228880193415</v>
      </c>
      <c r="P62" s="8">
        <f t="shared" si="32"/>
        <v>0.35294117647058831</v>
      </c>
      <c r="Q62" s="2">
        <f t="shared" si="33"/>
        <v>0.35294117647058831</v>
      </c>
      <c r="T62" s="8">
        <f t="shared" si="34"/>
        <v>0.15987974607969402</v>
      </c>
      <c r="U62" s="2">
        <f t="shared" si="35"/>
        <v>0.15987974607969402</v>
      </c>
      <c r="X62" s="8">
        <f t="shared" si="36"/>
        <v>0.27221228880193415</v>
      </c>
      <c r="Y62" s="2">
        <f t="shared" si="37"/>
        <v>0.27221228880193415</v>
      </c>
      <c r="AD62" s="8" t="e">
        <f t="shared" si="38"/>
        <v>#DIV/0!</v>
      </c>
      <c r="AE62" s="2" t="e">
        <f t="shared" si="39"/>
        <v>#DIV/0!</v>
      </c>
      <c r="AG62" s="2" t="e">
        <f t="shared" si="52"/>
        <v>#DIV/0!</v>
      </c>
      <c r="AH62" s="2" t="e">
        <f t="shared" si="53"/>
        <v>#DIV/0!</v>
      </c>
      <c r="AJ62" s="8" t="e">
        <f t="shared" si="40"/>
        <v>#DIV/0!</v>
      </c>
      <c r="AK62" s="2" t="e">
        <f t="shared" si="41"/>
        <v>#DIV/0!</v>
      </c>
      <c r="AM62" s="2" t="e">
        <f t="shared" si="54"/>
        <v>#DIV/0!</v>
      </c>
      <c r="AN62" s="2" t="e">
        <f t="shared" si="55"/>
        <v>#DIV/0!</v>
      </c>
      <c r="AP62" s="8" t="e">
        <f t="shared" si="42"/>
        <v>#DIV/0!</v>
      </c>
      <c r="AQ62" s="2" t="e">
        <f t="shared" si="43"/>
        <v>#DIV/0!</v>
      </c>
      <c r="AS62" s="2" t="e">
        <f t="shared" si="56"/>
        <v>#DIV/0!</v>
      </c>
      <c r="AT62" s="16" t="e">
        <f t="shared" si="57"/>
        <v>#DIV/0!</v>
      </c>
      <c r="AV62" s="8" t="e">
        <f t="shared" si="44"/>
        <v>#DIV/0!</v>
      </c>
      <c r="AW62" s="2" t="e">
        <f t="shared" si="45"/>
        <v>#DIV/0!</v>
      </c>
      <c r="AY62" s="2" t="e">
        <f t="shared" si="58"/>
        <v>#DIV/0!</v>
      </c>
      <c r="AZ62" s="2" t="e">
        <f t="shared" si="59"/>
        <v>#DIV/0!</v>
      </c>
      <c r="BD62" s="8" t="e">
        <f t="shared" si="46"/>
        <v>#DIV/0!</v>
      </c>
      <c r="BE62" s="2" t="e">
        <f t="shared" si="47"/>
        <v>#DIV/0!</v>
      </c>
      <c r="BG62" s="2" t="e">
        <f t="shared" si="60"/>
        <v>#DIV/0!</v>
      </c>
      <c r="BH62" s="2" t="e">
        <f t="shared" si="61"/>
        <v>#DIV/0!</v>
      </c>
      <c r="BL62" s="8" t="e">
        <f t="shared" si="48"/>
        <v>#DIV/0!</v>
      </c>
      <c r="BM62" s="2" t="e">
        <f t="shared" si="49"/>
        <v>#DIV/0!</v>
      </c>
      <c r="BO62" s="2" t="e">
        <f t="shared" si="62"/>
        <v>#DIV/0!</v>
      </c>
      <c r="BP62" s="2" t="e">
        <f t="shared" si="63"/>
        <v>#DIV/0!</v>
      </c>
    </row>
    <row r="63" spans="1:68" x14ac:dyDescent="0.2">
      <c r="A63" s="2">
        <f t="shared" si="50"/>
        <v>1.9166666666666659</v>
      </c>
      <c r="B63" s="2">
        <f t="shared" si="51"/>
        <v>0.14709646739297694</v>
      </c>
      <c r="C63" s="2">
        <f t="shared" si="25"/>
        <v>0.14709646739297694</v>
      </c>
      <c r="D63" s="8">
        <f t="shared" si="26"/>
        <v>0.14709646739297694</v>
      </c>
      <c r="E63" s="2">
        <f t="shared" si="27"/>
        <v>0.14709646739297694</v>
      </c>
      <c r="H63" s="8" t="e">
        <f t="shared" si="28"/>
        <v>#DIV/0!</v>
      </c>
      <c r="I63" s="2" t="e">
        <f t="shared" si="29"/>
        <v>#DIV/0!</v>
      </c>
      <c r="L63" s="8">
        <f t="shared" si="30"/>
        <v>0.25765637942693465</v>
      </c>
      <c r="M63" s="2">
        <f t="shared" si="31"/>
        <v>0.25765637942693465</v>
      </c>
      <c r="P63" s="8">
        <f t="shared" si="32"/>
        <v>0.34285714285714286</v>
      </c>
      <c r="Q63" s="2">
        <f t="shared" si="33"/>
        <v>0.34285714285714286</v>
      </c>
      <c r="T63" s="8">
        <f t="shared" si="34"/>
        <v>0.14709646739297688</v>
      </c>
      <c r="U63" s="2">
        <f t="shared" si="35"/>
        <v>0.14709646739297688</v>
      </c>
      <c r="X63" s="8">
        <f t="shared" si="36"/>
        <v>0.25765637942693465</v>
      </c>
      <c r="Y63" s="2">
        <f t="shared" si="37"/>
        <v>0.25765637942693465</v>
      </c>
      <c r="AD63" s="8" t="e">
        <f t="shared" si="38"/>
        <v>#DIV/0!</v>
      </c>
      <c r="AE63" s="2" t="e">
        <f t="shared" si="39"/>
        <v>#DIV/0!</v>
      </c>
      <c r="AG63" s="2" t="e">
        <f t="shared" si="52"/>
        <v>#DIV/0!</v>
      </c>
      <c r="AH63" s="2" t="e">
        <f t="shared" si="53"/>
        <v>#DIV/0!</v>
      </c>
      <c r="AJ63" s="8" t="e">
        <f t="shared" si="40"/>
        <v>#DIV/0!</v>
      </c>
      <c r="AK63" s="2" t="e">
        <f t="shared" si="41"/>
        <v>#DIV/0!</v>
      </c>
      <c r="AM63" s="2" t="e">
        <f t="shared" si="54"/>
        <v>#DIV/0!</v>
      </c>
      <c r="AN63" s="2" t="e">
        <f t="shared" si="55"/>
        <v>#DIV/0!</v>
      </c>
      <c r="AP63" s="8" t="e">
        <f t="shared" si="42"/>
        <v>#DIV/0!</v>
      </c>
      <c r="AQ63" s="2" t="e">
        <f t="shared" si="43"/>
        <v>#DIV/0!</v>
      </c>
      <c r="AS63" s="2" t="e">
        <f t="shared" si="56"/>
        <v>#DIV/0!</v>
      </c>
      <c r="AT63" s="16" t="e">
        <f t="shared" si="57"/>
        <v>#DIV/0!</v>
      </c>
      <c r="AV63" s="8" t="e">
        <f t="shared" si="44"/>
        <v>#DIV/0!</v>
      </c>
      <c r="AW63" s="2" t="e">
        <f t="shared" si="45"/>
        <v>#DIV/0!</v>
      </c>
      <c r="AY63" s="2" t="e">
        <f t="shared" si="58"/>
        <v>#DIV/0!</v>
      </c>
      <c r="AZ63" s="2" t="e">
        <f t="shared" si="59"/>
        <v>#DIV/0!</v>
      </c>
      <c r="BD63" s="8" t="e">
        <f t="shared" si="46"/>
        <v>#DIV/0!</v>
      </c>
      <c r="BE63" s="2" t="e">
        <f t="shared" si="47"/>
        <v>#DIV/0!</v>
      </c>
      <c r="BG63" s="2" t="e">
        <f t="shared" si="60"/>
        <v>#DIV/0!</v>
      </c>
      <c r="BH63" s="2" t="e">
        <f t="shared" si="61"/>
        <v>#DIV/0!</v>
      </c>
      <c r="BL63" s="8" t="e">
        <f t="shared" si="48"/>
        <v>#DIV/0!</v>
      </c>
      <c r="BM63" s="2" t="e">
        <f t="shared" si="49"/>
        <v>#DIV/0!</v>
      </c>
      <c r="BO63" s="2" t="e">
        <f t="shared" si="62"/>
        <v>#DIV/0!</v>
      </c>
      <c r="BP63" s="2" t="e">
        <f t="shared" si="63"/>
        <v>#DIV/0!</v>
      </c>
    </row>
    <row r="64" spans="1:68" x14ac:dyDescent="0.2">
      <c r="A64" s="2">
        <f t="shared" si="50"/>
        <v>1.9999999999999991</v>
      </c>
      <c r="B64" s="2">
        <f t="shared" si="51"/>
        <v>0.13533528323661281</v>
      </c>
      <c r="C64" s="2">
        <f t="shared" si="25"/>
        <v>0.13533528323661281</v>
      </c>
      <c r="D64" s="8">
        <f t="shared" si="26"/>
        <v>0.13533528323661281</v>
      </c>
      <c r="E64" s="2">
        <f t="shared" si="27"/>
        <v>0.13533528323661281</v>
      </c>
      <c r="H64" s="8" t="e">
        <f t="shared" si="28"/>
        <v>#DIV/0!</v>
      </c>
      <c r="I64" s="2" t="e">
        <f t="shared" si="29"/>
        <v>#DIV/0!</v>
      </c>
      <c r="L64" s="8">
        <f t="shared" si="30"/>
        <v>0.24410859578558286</v>
      </c>
      <c r="M64" s="2">
        <f t="shared" si="31"/>
        <v>0.24410859578558286</v>
      </c>
      <c r="P64" s="8">
        <f t="shared" si="32"/>
        <v>0.33333333333333348</v>
      </c>
      <c r="Q64" s="2">
        <f t="shared" si="33"/>
        <v>0.33333333333333348</v>
      </c>
      <c r="T64" s="8">
        <f t="shared" si="34"/>
        <v>0.13533528323661281</v>
      </c>
      <c r="U64" s="2">
        <f t="shared" si="35"/>
        <v>0.13533528323661281</v>
      </c>
      <c r="X64" s="8">
        <f t="shared" si="36"/>
        <v>0.24410859578558286</v>
      </c>
      <c r="Y64" s="2">
        <f t="shared" si="37"/>
        <v>0.24410859578558286</v>
      </c>
      <c r="AD64" s="8" t="e">
        <f t="shared" si="38"/>
        <v>#DIV/0!</v>
      </c>
      <c r="AE64" s="2" t="e">
        <f t="shared" si="39"/>
        <v>#DIV/0!</v>
      </c>
      <c r="AG64" s="2" t="e">
        <f t="shared" si="52"/>
        <v>#DIV/0!</v>
      </c>
      <c r="AH64" s="2" t="e">
        <f t="shared" si="53"/>
        <v>#DIV/0!</v>
      </c>
      <c r="AJ64" s="8" t="e">
        <f t="shared" si="40"/>
        <v>#DIV/0!</v>
      </c>
      <c r="AK64" s="2" t="e">
        <f t="shared" si="41"/>
        <v>#DIV/0!</v>
      </c>
      <c r="AM64" s="2" t="e">
        <f t="shared" si="54"/>
        <v>#DIV/0!</v>
      </c>
      <c r="AN64" s="2" t="e">
        <f t="shared" si="55"/>
        <v>#DIV/0!</v>
      </c>
      <c r="AP64" s="8" t="e">
        <f t="shared" si="42"/>
        <v>#DIV/0!</v>
      </c>
      <c r="AQ64" s="2" t="e">
        <f t="shared" si="43"/>
        <v>#DIV/0!</v>
      </c>
      <c r="AS64" s="2" t="e">
        <f t="shared" si="56"/>
        <v>#DIV/0!</v>
      </c>
      <c r="AT64" s="16" t="e">
        <f t="shared" si="57"/>
        <v>#DIV/0!</v>
      </c>
      <c r="AV64" s="8" t="e">
        <f t="shared" si="44"/>
        <v>#DIV/0!</v>
      </c>
      <c r="AW64" s="2" t="e">
        <f t="shared" si="45"/>
        <v>#DIV/0!</v>
      </c>
      <c r="AY64" s="2" t="e">
        <f t="shared" si="58"/>
        <v>#DIV/0!</v>
      </c>
      <c r="AZ64" s="2" t="e">
        <f t="shared" si="59"/>
        <v>#DIV/0!</v>
      </c>
      <c r="BD64" s="8" t="e">
        <f t="shared" si="46"/>
        <v>#DIV/0!</v>
      </c>
      <c r="BE64" s="2" t="e">
        <f t="shared" si="47"/>
        <v>#DIV/0!</v>
      </c>
      <c r="BG64" s="2" t="e">
        <f t="shared" si="60"/>
        <v>#DIV/0!</v>
      </c>
      <c r="BH64" s="2" t="e">
        <f t="shared" si="61"/>
        <v>#DIV/0!</v>
      </c>
      <c r="BL64" s="8" t="e">
        <f t="shared" si="48"/>
        <v>#DIV/0!</v>
      </c>
      <c r="BM64" s="2" t="e">
        <f t="shared" si="49"/>
        <v>#DIV/0!</v>
      </c>
      <c r="BO64" s="2" t="e">
        <f t="shared" si="62"/>
        <v>#DIV/0!</v>
      </c>
      <c r="BP64" s="2" t="e">
        <f t="shared" si="63"/>
        <v>#DIV/0!</v>
      </c>
    </row>
    <row r="65" spans="1:68" x14ac:dyDescent="0.2">
      <c r="A65" s="2">
        <f t="shared" si="50"/>
        <v>2.0833333333333326</v>
      </c>
      <c r="B65" s="2">
        <f t="shared" si="51"/>
        <v>0.12451447144412307</v>
      </c>
      <c r="C65" s="2">
        <f t="shared" si="25"/>
        <v>0.12451447144412307</v>
      </c>
      <c r="D65" s="8">
        <f t="shared" si="26"/>
        <v>0.12451447144412307</v>
      </c>
      <c r="E65" s="2">
        <f t="shared" si="27"/>
        <v>0.12451447144412307</v>
      </c>
      <c r="H65" s="8" t="e">
        <f t="shared" si="28"/>
        <v>#DIV/0!</v>
      </c>
      <c r="I65" s="2" t="e">
        <f t="shared" si="29"/>
        <v>#DIV/0!</v>
      </c>
      <c r="L65" s="8">
        <f t="shared" si="30"/>
        <v>0.23148376254423575</v>
      </c>
      <c r="M65" s="2">
        <f t="shared" si="31"/>
        <v>0.23148376254423575</v>
      </c>
      <c r="P65" s="8">
        <f t="shared" si="32"/>
        <v>0.32432432432432445</v>
      </c>
      <c r="Q65" s="2">
        <f t="shared" si="33"/>
        <v>0.32432432432432445</v>
      </c>
      <c r="T65" s="8">
        <f t="shared" si="34"/>
        <v>0.12451447144412309</v>
      </c>
      <c r="U65" s="2">
        <f t="shared" si="35"/>
        <v>0.12451447144412309</v>
      </c>
      <c r="X65" s="8">
        <f t="shared" si="36"/>
        <v>0.23148376254423575</v>
      </c>
      <c r="Y65" s="2">
        <f t="shared" si="37"/>
        <v>0.23148376254423575</v>
      </c>
      <c r="AD65" s="8" t="e">
        <f t="shared" si="38"/>
        <v>#DIV/0!</v>
      </c>
      <c r="AE65" s="2" t="e">
        <f t="shared" si="39"/>
        <v>#DIV/0!</v>
      </c>
      <c r="AG65" s="2" t="e">
        <f t="shared" si="52"/>
        <v>#DIV/0!</v>
      </c>
      <c r="AH65" s="2" t="e">
        <f t="shared" si="53"/>
        <v>#DIV/0!</v>
      </c>
      <c r="AJ65" s="8" t="e">
        <f t="shared" si="40"/>
        <v>#DIV/0!</v>
      </c>
      <c r="AK65" s="2" t="e">
        <f t="shared" si="41"/>
        <v>#DIV/0!</v>
      </c>
      <c r="AM65" s="2" t="e">
        <f t="shared" si="54"/>
        <v>#DIV/0!</v>
      </c>
      <c r="AN65" s="2" t="e">
        <f t="shared" si="55"/>
        <v>#DIV/0!</v>
      </c>
      <c r="AP65" s="8" t="e">
        <f t="shared" si="42"/>
        <v>#DIV/0!</v>
      </c>
      <c r="AQ65" s="2" t="e">
        <f t="shared" si="43"/>
        <v>#DIV/0!</v>
      </c>
      <c r="AS65" s="2" t="e">
        <f t="shared" si="56"/>
        <v>#DIV/0!</v>
      </c>
      <c r="AT65" s="16" t="e">
        <f t="shared" si="57"/>
        <v>#DIV/0!</v>
      </c>
      <c r="AV65" s="8" t="e">
        <f t="shared" si="44"/>
        <v>#DIV/0!</v>
      </c>
      <c r="AW65" s="2" t="e">
        <f t="shared" si="45"/>
        <v>#DIV/0!</v>
      </c>
      <c r="AY65" s="2" t="e">
        <f t="shared" si="58"/>
        <v>#DIV/0!</v>
      </c>
      <c r="AZ65" s="2" t="e">
        <f t="shared" si="59"/>
        <v>#DIV/0!</v>
      </c>
      <c r="BD65" s="8" t="e">
        <f t="shared" si="46"/>
        <v>#DIV/0!</v>
      </c>
      <c r="BE65" s="2" t="e">
        <f t="shared" si="47"/>
        <v>#DIV/0!</v>
      </c>
      <c r="BG65" s="2" t="e">
        <f t="shared" si="60"/>
        <v>#DIV/0!</v>
      </c>
      <c r="BH65" s="2" t="e">
        <f t="shared" si="61"/>
        <v>#DIV/0!</v>
      </c>
      <c r="BL65" s="8" t="e">
        <f t="shared" si="48"/>
        <v>#DIV/0!</v>
      </c>
      <c r="BM65" s="2" t="e">
        <f t="shared" si="49"/>
        <v>#DIV/0!</v>
      </c>
      <c r="BO65" s="2" t="e">
        <f t="shared" si="62"/>
        <v>#DIV/0!</v>
      </c>
      <c r="BP65" s="2" t="e">
        <f t="shared" si="63"/>
        <v>#DIV/0!</v>
      </c>
    </row>
    <row r="66" spans="1:68" x14ac:dyDescent="0.2">
      <c r="A66" s="2">
        <f t="shared" si="50"/>
        <v>2.1666666666666661</v>
      </c>
      <c r="B66" s="2">
        <f t="shared" si="51"/>
        <v>0.11455884399268779</v>
      </c>
      <c r="C66" s="2">
        <f t="shared" si="25"/>
        <v>0.11455884399268779</v>
      </c>
      <c r="D66" s="8">
        <f t="shared" si="26"/>
        <v>0.11455884399268779</v>
      </c>
      <c r="E66" s="2">
        <f t="shared" si="27"/>
        <v>0.11455884399268779</v>
      </c>
      <c r="H66" s="8" t="e">
        <f t="shared" si="28"/>
        <v>#DIV/0!</v>
      </c>
      <c r="I66" s="2" t="e">
        <f t="shared" si="29"/>
        <v>#DIV/0!</v>
      </c>
      <c r="L66" s="8">
        <f t="shared" si="30"/>
        <v>0.21970500479146426</v>
      </c>
      <c r="M66" s="2">
        <f t="shared" si="31"/>
        <v>0.21970500479146426</v>
      </c>
      <c r="P66" s="8">
        <f t="shared" si="32"/>
        <v>0.31578947368421062</v>
      </c>
      <c r="Q66" s="2">
        <f t="shared" si="33"/>
        <v>0.31578947368421062</v>
      </c>
      <c r="T66" s="8">
        <f t="shared" si="34"/>
        <v>0.11455884399268779</v>
      </c>
      <c r="U66" s="2">
        <f t="shared" si="35"/>
        <v>0.11455884399268779</v>
      </c>
      <c r="X66" s="8">
        <f t="shared" si="36"/>
        <v>0.21970500479146426</v>
      </c>
      <c r="Y66" s="2">
        <f t="shared" si="37"/>
        <v>0.21970500479146426</v>
      </c>
      <c r="AD66" s="8" t="e">
        <f t="shared" si="38"/>
        <v>#DIV/0!</v>
      </c>
      <c r="AE66" s="2" t="e">
        <f t="shared" si="39"/>
        <v>#DIV/0!</v>
      </c>
      <c r="AG66" s="2" t="e">
        <f t="shared" si="52"/>
        <v>#DIV/0!</v>
      </c>
      <c r="AH66" s="2" t="e">
        <f t="shared" si="53"/>
        <v>#DIV/0!</v>
      </c>
      <c r="AJ66" s="8" t="e">
        <f t="shared" si="40"/>
        <v>#DIV/0!</v>
      </c>
      <c r="AK66" s="2" t="e">
        <f t="shared" si="41"/>
        <v>#DIV/0!</v>
      </c>
      <c r="AM66" s="2" t="e">
        <f t="shared" si="54"/>
        <v>#DIV/0!</v>
      </c>
      <c r="AN66" s="2" t="e">
        <f t="shared" si="55"/>
        <v>#DIV/0!</v>
      </c>
      <c r="AP66" s="8" t="e">
        <f t="shared" si="42"/>
        <v>#DIV/0!</v>
      </c>
      <c r="AQ66" s="2" t="e">
        <f t="shared" si="43"/>
        <v>#DIV/0!</v>
      </c>
      <c r="AS66" s="2" t="e">
        <f t="shared" si="56"/>
        <v>#DIV/0!</v>
      </c>
      <c r="AT66" s="16" t="e">
        <f t="shared" si="57"/>
        <v>#DIV/0!</v>
      </c>
      <c r="AV66" s="8" t="e">
        <f t="shared" si="44"/>
        <v>#DIV/0!</v>
      </c>
      <c r="AW66" s="2" t="e">
        <f t="shared" si="45"/>
        <v>#DIV/0!</v>
      </c>
      <c r="AY66" s="2" t="e">
        <f t="shared" si="58"/>
        <v>#DIV/0!</v>
      </c>
      <c r="AZ66" s="2" t="e">
        <f t="shared" si="59"/>
        <v>#DIV/0!</v>
      </c>
      <c r="BD66" s="8" t="e">
        <f t="shared" si="46"/>
        <v>#DIV/0!</v>
      </c>
      <c r="BE66" s="2" t="e">
        <f t="shared" si="47"/>
        <v>#DIV/0!</v>
      </c>
      <c r="BG66" s="2" t="e">
        <f t="shared" si="60"/>
        <v>#DIV/0!</v>
      </c>
      <c r="BH66" s="2" t="e">
        <f t="shared" si="61"/>
        <v>#DIV/0!</v>
      </c>
      <c r="BL66" s="8" t="e">
        <f t="shared" si="48"/>
        <v>#DIV/0!</v>
      </c>
      <c r="BM66" s="2" t="e">
        <f t="shared" si="49"/>
        <v>#DIV/0!</v>
      </c>
      <c r="BO66" s="2" t="e">
        <f t="shared" si="62"/>
        <v>#DIV/0!</v>
      </c>
      <c r="BP66" s="2" t="e">
        <f t="shared" si="63"/>
        <v>#DIV/0!</v>
      </c>
    </row>
    <row r="67" spans="1:68" x14ac:dyDescent="0.2">
      <c r="A67" s="2">
        <f t="shared" si="50"/>
        <v>2.2499999999999996</v>
      </c>
      <c r="B67" s="2">
        <f t="shared" si="51"/>
        <v>0.10539922456186439</v>
      </c>
      <c r="C67" s="2">
        <f t="shared" si="25"/>
        <v>0.10539922456186439</v>
      </c>
      <c r="D67" s="8">
        <f t="shared" si="26"/>
        <v>0.10539922456186439</v>
      </c>
      <c r="E67" s="2">
        <f t="shared" si="27"/>
        <v>0.10539922456186439</v>
      </c>
      <c r="H67" s="8" t="e">
        <f t="shared" si="28"/>
        <v>#DIV/0!</v>
      </c>
      <c r="I67" s="2" t="e">
        <f t="shared" si="29"/>
        <v>#DIV/0!</v>
      </c>
      <c r="L67" s="8">
        <f t="shared" si="30"/>
        <v>0.20870287338447135</v>
      </c>
      <c r="M67" s="2">
        <f t="shared" si="31"/>
        <v>0.20870287338447135</v>
      </c>
      <c r="P67" s="8">
        <f t="shared" si="32"/>
        <v>0.30769230769230782</v>
      </c>
      <c r="Q67" s="2">
        <f t="shared" si="33"/>
        <v>0.30769230769230782</v>
      </c>
      <c r="T67" s="8">
        <f t="shared" si="34"/>
        <v>0.10539922456186435</v>
      </c>
      <c r="U67" s="2">
        <f t="shared" si="35"/>
        <v>0.10539922456186435</v>
      </c>
      <c r="X67" s="8">
        <f t="shared" si="36"/>
        <v>0.20870287338447135</v>
      </c>
      <c r="Y67" s="2">
        <f t="shared" si="37"/>
        <v>0.20870287338447135</v>
      </c>
      <c r="AD67" s="8" t="e">
        <f t="shared" si="38"/>
        <v>#DIV/0!</v>
      </c>
      <c r="AE67" s="2" t="e">
        <f t="shared" si="39"/>
        <v>#DIV/0!</v>
      </c>
      <c r="AG67" s="2" t="e">
        <f t="shared" si="52"/>
        <v>#DIV/0!</v>
      </c>
      <c r="AH67" s="2" t="e">
        <f t="shared" si="53"/>
        <v>#DIV/0!</v>
      </c>
      <c r="AJ67" s="8" t="e">
        <f t="shared" si="40"/>
        <v>#DIV/0!</v>
      </c>
      <c r="AK67" s="2" t="e">
        <f t="shared" si="41"/>
        <v>#DIV/0!</v>
      </c>
      <c r="AM67" s="2" t="e">
        <f t="shared" si="54"/>
        <v>#DIV/0!</v>
      </c>
      <c r="AN67" s="2" t="e">
        <f t="shared" si="55"/>
        <v>#DIV/0!</v>
      </c>
      <c r="AP67" s="8" t="e">
        <f t="shared" si="42"/>
        <v>#DIV/0!</v>
      </c>
      <c r="AQ67" s="2" t="e">
        <f t="shared" si="43"/>
        <v>#DIV/0!</v>
      </c>
      <c r="AS67" s="2" t="e">
        <f t="shared" si="56"/>
        <v>#DIV/0!</v>
      </c>
      <c r="AT67" s="16" t="e">
        <f t="shared" si="57"/>
        <v>#DIV/0!</v>
      </c>
      <c r="AV67" s="8" t="e">
        <f t="shared" si="44"/>
        <v>#DIV/0!</v>
      </c>
      <c r="AW67" s="2" t="e">
        <f t="shared" si="45"/>
        <v>#DIV/0!</v>
      </c>
      <c r="AY67" s="2" t="e">
        <f t="shared" si="58"/>
        <v>#DIV/0!</v>
      </c>
      <c r="AZ67" s="2" t="e">
        <f t="shared" si="59"/>
        <v>#DIV/0!</v>
      </c>
      <c r="BD67" s="8" t="e">
        <f t="shared" si="46"/>
        <v>#DIV/0!</v>
      </c>
      <c r="BE67" s="2" t="e">
        <f t="shared" si="47"/>
        <v>#DIV/0!</v>
      </c>
      <c r="BG67" s="2" t="e">
        <f t="shared" si="60"/>
        <v>#DIV/0!</v>
      </c>
      <c r="BH67" s="2" t="e">
        <f t="shared" si="61"/>
        <v>#DIV/0!</v>
      </c>
      <c r="BL67" s="8" t="e">
        <f t="shared" si="48"/>
        <v>#DIV/0!</v>
      </c>
      <c r="BM67" s="2" t="e">
        <f t="shared" si="49"/>
        <v>#DIV/0!</v>
      </c>
      <c r="BO67" s="2" t="e">
        <f t="shared" si="62"/>
        <v>#DIV/0!</v>
      </c>
      <c r="BP67" s="2" t="e">
        <f t="shared" si="63"/>
        <v>#DIV/0!</v>
      </c>
    </row>
    <row r="68" spans="1:68" x14ac:dyDescent="0.2">
      <c r="A68" s="2">
        <f t="shared" si="50"/>
        <v>2.333333333333333</v>
      </c>
      <c r="B68" s="2">
        <f t="shared" si="51"/>
        <v>9.6971967864405095E-2</v>
      </c>
      <c r="C68" s="2">
        <f t="shared" si="25"/>
        <v>9.6971967864405095E-2</v>
      </c>
      <c r="D68" s="8">
        <f t="shared" si="26"/>
        <v>9.6971967864405095E-2</v>
      </c>
      <c r="E68" s="2">
        <f t="shared" si="27"/>
        <v>9.6971967864405095E-2</v>
      </c>
      <c r="H68" s="8" t="e">
        <f t="shared" si="28"/>
        <v>#DIV/0!</v>
      </c>
      <c r="I68" s="2" t="e">
        <f t="shared" si="29"/>
        <v>#DIV/0!</v>
      </c>
      <c r="L68" s="8">
        <f t="shared" si="30"/>
        <v>0.19841455947264197</v>
      </c>
      <c r="M68" s="2">
        <f t="shared" si="31"/>
        <v>0.19841455947264197</v>
      </c>
      <c r="P68" s="8">
        <f t="shared" si="32"/>
        <v>0.30000000000000004</v>
      </c>
      <c r="Q68" s="2">
        <f t="shared" si="33"/>
        <v>0.30000000000000004</v>
      </c>
      <c r="T68" s="8">
        <f t="shared" si="34"/>
        <v>9.6971967864405095E-2</v>
      </c>
      <c r="U68" s="2">
        <f t="shared" si="35"/>
        <v>9.6971967864405095E-2</v>
      </c>
      <c r="X68" s="8">
        <f t="shared" si="36"/>
        <v>0.19841455947264197</v>
      </c>
      <c r="Y68" s="2">
        <f t="shared" si="37"/>
        <v>0.19841455947264197</v>
      </c>
      <c r="AD68" s="8" t="e">
        <f t="shared" si="38"/>
        <v>#DIV/0!</v>
      </c>
      <c r="AE68" s="2" t="e">
        <f t="shared" si="39"/>
        <v>#DIV/0!</v>
      </c>
      <c r="AG68" s="2" t="e">
        <f t="shared" si="52"/>
        <v>#DIV/0!</v>
      </c>
      <c r="AH68" s="2" t="e">
        <f t="shared" si="53"/>
        <v>#DIV/0!</v>
      </c>
      <c r="AJ68" s="8" t="e">
        <f t="shared" si="40"/>
        <v>#DIV/0!</v>
      </c>
      <c r="AK68" s="2" t="e">
        <f t="shared" si="41"/>
        <v>#DIV/0!</v>
      </c>
      <c r="AM68" s="2" t="e">
        <f t="shared" si="54"/>
        <v>#DIV/0!</v>
      </c>
      <c r="AN68" s="2" t="e">
        <f t="shared" si="55"/>
        <v>#DIV/0!</v>
      </c>
      <c r="AP68" s="8" t="e">
        <f t="shared" si="42"/>
        <v>#DIV/0!</v>
      </c>
      <c r="AQ68" s="2" t="e">
        <f t="shared" si="43"/>
        <v>#DIV/0!</v>
      </c>
      <c r="AS68" s="2" t="e">
        <f t="shared" si="56"/>
        <v>#DIV/0!</v>
      </c>
      <c r="AT68" s="16" t="e">
        <f t="shared" si="57"/>
        <v>#DIV/0!</v>
      </c>
      <c r="AV68" s="8" t="e">
        <f t="shared" si="44"/>
        <v>#DIV/0!</v>
      </c>
      <c r="AW68" s="2" t="e">
        <f t="shared" si="45"/>
        <v>#DIV/0!</v>
      </c>
      <c r="AY68" s="2" t="e">
        <f t="shared" si="58"/>
        <v>#DIV/0!</v>
      </c>
      <c r="AZ68" s="2" t="e">
        <f t="shared" si="59"/>
        <v>#DIV/0!</v>
      </c>
      <c r="BD68" s="8" t="e">
        <f t="shared" si="46"/>
        <v>#DIV/0!</v>
      </c>
      <c r="BE68" s="2" t="e">
        <f t="shared" si="47"/>
        <v>#DIV/0!</v>
      </c>
      <c r="BG68" s="2" t="e">
        <f t="shared" si="60"/>
        <v>#DIV/0!</v>
      </c>
      <c r="BH68" s="2" t="e">
        <f t="shared" si="61"/>
        <v>#DIV/0!</v>
      </c>
      <c r="BL68" s="8" t="e">
        <f t="shared" si="48"/>
        <v>#DIV/0!</v>
      </c>
      <c r="BM68" s="2" t="e">
        <f t="shared" si="49"/>
        <v>#DIV/0!</v>
      </c>
      <c r="BO68" s="2" t="e">
        <f t="shared" si="62"/>
        <v>#DIV/0!</v>
      </c>
      <c r="BP68" s="2" t="e">
        <f t="shared" si="63"/>
        <v>#DIV/0!</v>
      </c>
    </row>
    <row r="69" spans="1:68" x14ac:dyDescent="0.2">
      <c r="A69" s="2">
        <f t="shared" si="50"/>
        <v>2.4166666666666665</v>
      </c>
      <c r="B69" s="2">
        <f t="shared" si="51"/>
        <v>8.9218517409260109E-2</v>
      </c>
      <c r="C69" s="2">
        <f t="shared" si="25"/>
        <v>8.9218517409260109E-2</v>
      </c>
      <c r="D69" s="8">
        <f t="shared" si="26"/>
        <v>8.9218517409260109E-2</v>
      </c>
      <c r="E69" s="2">
        <f t="shared" si="27"/>
        <v>8.9218517409260109E-2</v>
      </c>
      <c r="H69" s="8" t="e">
        <f t="shared" si="28"/>
        <v>#DIV/0!</v>
      </c>
      <c r="I69" s="2" t="e">
        <f t="shared" si="29"/>
        <v>#DIV/0!</v>
      </c>
      <c r="L69" s="8">
        <f t="shared" si="30"/>
        <v>0.18878319237896202</v>
      </c>
      <c r="M69" s="2">
        <f t="shared" si="31"/>
        <v>0.18878319237896202</v>
      </c>
      <c r="P69" s="8">
        <f t="shared" si="32"/>
        <v>0.29268292682926822</v>
      </c>
      <c r="Q69" s="2">
        <f t="shared" si="33"/>
        <v>0.29268292682926822</v>
      </c>
      <c r="T69" s="8">
        <f t="shared" si="34"/>
        <v>8.9218517409260123E-2</v>
      </c>
      <c r="U69" s="2">
        <f t="shared" si="35"/>
        <v>8.9218517409260123E-2</v>
      </c>
      <c r="X69" s="8">
        <f t="shared" si="36"/>
        <v>0.18878319237896202</v>
      </c>
      <c r="Y69" s="2">
        <f t="shared" si="37"/>
        <v>0.18878319237896202</v>
      </c>
      <c r="AD69" s="8" t="e">
        <f t="shared" si="38"/>
        <v>#DIV/0!</v>
      </c>
      <c r="AE69" s="2" t="e">
        <f t="shared" si="39"/>
        <v>#DIV/0!</v>
      </c>
      <c r="AG69" s="2" t="e">
        <f t="shared" si="52"/>
        <v>#DIV/0!</v>
      </c>
      <c r="AH69" s="2" t="e">
        <f t="shared" si="53"/>
        <v>#DIV/0!</v>
      </c>
      <c r="AJ69" s="8" t="e">
        <f t="shared" si="40"/>
        <v>#DIV/0!</v>
      </c>
      <c r="AK69" s="2" t="e">
        <f t="shared" si="41"/>
        <v>#DIV/0!</v>
      </c>
      <c r="AM69" s="2" t="e">
        <f t="shared" si="54"/>
        <v>#DIV/0!</v>
      </c>
      <c r="AN69" s="2" t="e">
        <f t="shared" si="55"/>
        <v>#DIV/0!</v>
      </c>
      <c r="AP69" s="8" t="e">
        <f t="shared" si="42"/>
        <v>#DIV/0!</v>
      </c>
      <c r="AQ69" s="2" t="e">
        <f t="shared" si="43"/>
        <v>#DIV/0!</v>
      </c>
      <c r="AS69" s="2" t="e">
        <f t="shared" si="56"/>
        <v>#DIV/0!</v>
      </c>
      <c r="AT69" s="16" t="e">
        <f t="shared" si="57"/>
        <v>#DIV/0!</v>
      </c>
      <c r="AV69" s="8" t="e">
        <f t="shared" si="44"/>
        <v>#DIV/0!</v>
      </c>
      <c r="AW69" s="2" t="e">
        <f t="shared" si="45"/>
        <v>#DIV/0!</v>
      </c>
      <c r="AY69" s="2" t="e">
        <f t="shared" si="58"/>
        <v>#DIV/0!</v>
      </c>
      <c r="AZ69" s="2" t="e">
        <f t="shared" si="59"/>
        <v>#DIV/0!</v>
      </c>
      <c r="BD69" s="8" t="e">
        <f t="shared" si="46"/>
        <v>#DIV/0!</v>
      </c>
      <c r="BE69" s="2" t="e">
        <f t="shared" si="47"/>
        <v>#DIV/0!</v>
      </c>
      <c r="BG69" s="2" t="e">
        <f t="shared" si="60"/>
        <v>#DIV/0!</v>
      </c>
      <c r="BH69" s="2" t="e">
        <f t="shared" si="61"/>
        <v>#DIV/0!</v>
      </c>
      <c r="BL69" s="8" t="e">
        <f t="shared" si="48"/>
        <v>#DIV/0!</v>
      </c>
      <c r="BM69" s="2" t="e">
        <f t="shared" si="49"/>
        <v>#DIV/0!</v>
      </c>
      <c r="BO69" s="2" t="e">
        <f t="shared" si="62"/>
        <v>#DIV/0!</v>
      </c>
      <c r="BP69" s="2" t="e">
        <f t="shared" si="63"/>
        <v>#DIV/0!</v>
      </c>
    </row>
    <row r="70" spans="1:68" x14ac:dyDescent="0.2">
      <c r="A70" s="2">
        <f t="shared" si="50"/>
        <v>2.5</v>
      </c>
      <c r="B70" s="2">
        <f t="shared" si="51"/>
        <v>8.20849986238988E-2</v>
      </c>
      <c r="C70" s="2">
        <f t="shared" si="25"/>
        <v>8.20849986238988E-2</v>
      </c>
      <c r="D70" s="8">
        <f t="shared" si="26"/>
        <v>8.20849986238988E-2</v>
      </c>
      <c r="E70" s="2">
        <f t="shared" si="27"/>
        <v>8.20849986238988E-2</v>
      </c>
      <c r="H70" s="8" t="e">
        <f t="shared" si="28"/>
        <v>#DIV/0!</v>
      </c>
      <c r="I70" s="2" t="e">
        <f t="shared" si="29"/>
        <v>#DIV/0!</v>
      </c>
      <c r="L70" s="8">
        <f t="shared" si="30"/>
        <v>0.17975721389578536</v>
      </c>
      <c r="M70" s="2">
        <f t="shared" si="31"/>
        <v>0.17975721389578536</v>
      </c>
      <c r="P70" s="8">
        <f t="shared" si="32"/>
        <v>0.2857142857142857</v>
      </c>
      <c r="Q70" s="2">
        <f t="shared" si="33"/>
        <v>0.2857142857142857</v>
      </c>
      <c r="T70" s="8">
        <f t="shared" si="34"/>
        <v>8.2084998623898842E-2</v>
      </c>
      <c r="U70" s="2">
        <f t="shared" si="35"/>
        <v>8.2084998623898842E-2</v>
      </c>
      <c r="X70" s="8">
        <f t="shared" si="36"/>
        <v>0.17975721389578536</v>
      </c>
      <c r="Y70" s="2">
        <f t="shared" si="37"/>
        <v>0.17975721389578536</v>
      </c>
      <c r="AD70" s="8" t="e">
        <f t="shared" si="38"/>
        <v>#DIV/0!</v>
      </c>
      <c r="AE70" s="2" t="e">
        <f t="shared" si="39"/>
        <v>#DIV/0!</v>
      </c>
      <c r="AG70" s="2" t="e">
        <f t="shared" si="52"/>
        <v>#DIV/0!</v>
      </c>
      <c r="AH70" s="2" t="e">
        <f t="shared" si="53"/>
        <v>#DIV/0!</v>
      </c>
      <c r="AJ70" s="8" t="e">
        <f t="shared" si="40"/>
        <v>#DIV/0!</v>
      </c>
      <c r="AK70" s="2" t="e">
        <f t="shared" si="41"/>
        <v>#DIV/0!</v>
      </c>
      <c r="AM70" s="2" t="e">
        <f t="shared" si="54"/>
        <v>#DIV/0!</v>
      </c>
      <c r="AN70" s="2" t="e">
        <f t="shared" si="55"/>
        <v>#DIV/0!</v>
      </c>
      <c r="AP70" s="8" t="e">
        <f t="shared" si="42"/>
        <v>#DIV/0!</v>
      </c>
      <c r="AQ70" s="2" t="e">
        <f t="shared" si="43"/>
        <v>#DIV/0!</v>
      </c>
      <c r="AS70" s="2" t="e">
        <f t="shared" si="56"/>
        <v>#DIV/0!</v>
      </c>
      <c r="AT70" s="16" t="e">
        <f t="shared" si="57"/>
        <v>#DIV/0!</v>
      </c>
      <c r="AV70" s="8" t="e">
        <f t="shared" si="44"/>
        <v>#DIV/0!</v>
      </c>
      <c r="AW70" s="2" t="e">
        <f t="shared" si="45"/>
        <v>#DIV/0!</v>
      </c>
      <c r="AY70" s="2" t="e">
        <f t="shared" si="58"/>
        <v>#DIV/0!</v>
      </c>
      <c r="AZ70" s="2" t="e">
        <f t="shared" si="59"/>
        <v>#DIV/0!</v>
      </c>
      <c r="BD70" s="8" t="e">
        <f t="shared" si="46"/>
        <v>#DIV/0!</v>
      </c>
      <c r="BE70" s="2" t="e">
        <f t="shared" si="47"/>
        <v>#DIV/0!</v>
      </c>
      <c r="BG70" s="2" t="e">
        <f t="shared" si="60"/>
        <v>#DIV/0!</v>
      </c>
      <c r="BH70" s="2" t="e">
        <f t="shared" si="61"/>
        <v>#DIV/0!</v>
      </c>
      <c r="BL70" s="8" t="e">
        <f t="shared" si="48"/>
        <v>#DIV/0!</v>
      </c>
      <c r="BM70" s="2" t="e">
        <f t="shared" si="49"/>
        <v>#DIV/0!</v>
      </c>
      <c r="BO70" s="2" t="e">
        <f t="shared" si="62"/>
        <v>#DIV/0!</v>
      </c>
      <c r="BP70" s="2" t="e">
        <f t="shared" si="63"/>
        <v>#DIV/0!</v>
      </c>
    </row>
    <row r="71" spans="1:68" x14ac:dyDescent="0.2">
      <c r="A71" s="2">
        <f t="shared" si="50"/>
        <v>2.5833333333333335</v>
      </c>
      <c r="B71" s="2">
        <f t="shared" si="51"/>
        <v>7.5521844508773764E-2</v>
      </c>
      <c r="C71" s="2">
        <f t="shared" si="25"/>
        <v>7.5521844508773764E-2</v>
      </c>
      <c r="D71" s="8">
        <f t="shared" si="26"/>
        <v>7.5521844508773764E-2</v>
      </c>
      <c r="E71" s="2">
        <f t="shared" si="27"/>
        <v>7.5521844508773764E-2</v>
      </c>
      <c r="H71" s="8" t="e">
        <f t="shared" si="28"/>
        <v>#DIV/0!</v>
      </c>
      <c r="I71" s="2" t="e">
        <f t="shared" si="29"/>
        <v>#DIV/0!</v>
      </c>
      <c r="L71" s="8">
        <f t="shared" si="30"/>
        <v>0.17128982173014684</v>
      </c>
      <c r="M71" s="2">
        <f t="shared" si="31"/>
        <v>0.17128982173014684</v>
      </c>
      <c r="P71" s="8">
        <f t="shared" si="32"/>
        <v>0.27906976744186052</v>
      </c>
      <c r="Q71" s="2">
        <f t="shared" si="33"/>
        <v>0.27906976744186052</v>
      </c>
      <c r="T71" s="8">
        <f t="shared" si="34"/>
        <v>7.552184450877375E-2</v>
      </c>
      <c r="U71" s="2">
        <f t="shared" si="35"/>
        <v>7.552184450877375E-2</v>
      </c>
      <c r="X71" s="8">
        <f t="shared" si="36"/>
        <v>0.17128982173014684</v>
      </c>
      <c r="Y71" s="2">
        <f t="shared" si="37"/>
        <v>0.17128982173014684</v>
      </c>
      <c r="AD71" s="8" t="e">
        <f t="shared" si="38"/>
        <v>#DIV/0!</v>
      </c>
      <c r="AE71" s="2" t="e">
        <f t="shared" si="39"/>
        <v>#DIV/0!</v>
      </c>
      <c r="AG71" s="2" t="e">
        <f t="shared" si="52"/>
        <v>#DIV/0!</v>
      </c>
      <c r="AH71" s="2" t="e">
        <f t="shared" si="53"/>
        <v>#DIV/0!</v>
      </c>
      <c r="AJ71" s="8" t="e">
        <f t="shared" si="40"/>
        <v>#DIV/0!</v>
      </c>
      <c r="AK71" s="2" t="e">
        <f t="shared" si="41"/>
        <v>#DIV/0!</v>
      </c>
      <c r="AM71" s="2" t="e">
        <f t="shared" si="54"/>
        <v>#DIV/0!</v>
      </c>
      <c r="AN71" s="2" t="e">
        <f t="shared" si="55"/>
        <v>#DIV/0!</v>
      </c>
      <c r="AP71" s="8" t="e">
        <f t="shared" si="42"/>
        <v>#DIV/0!</v>
      </c>
      <c r="AQ71" s="2" t="e">
        <f t="shared" si="43"/>
        <v>#DIV/0!</v>
      </c>
      <c r="AS71" s="2" t="e">
        <f t="shared" si="56"/>
        <v>#DIV/0!</v>
      </c>
      <c r="AT71" s="16" t="e">
        <f t="shared" si="57"/>
        <v>#DIV/0!</v>
      </c>
      <c r="AV71" s="8" t="e">
        <f t="shared" si="44"/>
        <v>#DIV/0!</v>
      </c>
      <c r="AW71" s="2" t="e">
        <f t="shared" si="45"/>
        <v>#DIV/0!</v>
      </c>
      <c r="AY71" s="2" t="e">
        <f t="shared" si="58"/>
        <v>#DIV/0!</v>
      </c>
      <c r="AZ71" s="2" t="e">
        <f t="shared" si="59"/>
        <v>#DIV/0!</v>
      </c>
      <c r="BD71" s="8" t="e">
        <f t="shared" si="46"/>
        <v>#DIV/0!</v>
      </c>
      <c r="BE71" s="2" t="e">
        <f t="shared" si="47"/>
        <v>#DIV/0!</v>
      </c>
      <c r="BG71" s="2" t="e">
        <f t="shared" si="60"/>
        <v>#DIV/0!</v>
      </c>
      <c r="BH71" s="2" t="e">
        <f t="shared" si="61"/>
        <v>#DIV/0!</v>
      </c>
      <c r="BL71" s="8" t="e">
        <f t="shared" si="48"/>
        <v>#DIV/0!</v>
      </c>
      <c r="BM71" s="2" t="e">
        <f t="shared" si="49"/>
        <v>#DIV/0!</v>
      </c>
      <c r="BO71" s="2" t="e">
        <f t="shared" si="62"/>
        <v>#DIV/0!</v>
      </c>
      <c r="BP71" s="2" t="e">
        <f t="shared" si="63"/>
        <v>#DIV/0!</v>
      </c>
    </row>
    <row r="72" spans="1:68" x14ac:dyDescent="0.2">
      <c r="A72" s="2">
        <f t="shared" si="50"/>
        <v>2.666666666666667</v>
      </c>
      <c r="B72" s="2">
        <f t="shared" si="51"/>
        <v>6.9483451222801515E-2</v>
      </c>
      <c r="C72" s="2">
        <f t="shared" si="25"/>
        <v>6.9483451222801515E-2</v>
      </c>
      <c r="D72" s="8">
        <f t="shared" si="26"/>
        <v>6.9483451222801515E-2</v>
      </c>
      <c r="E72" s="2">
        <f t="shared" si="27"/>
        <v>6.9483451222801515E-2</v>
      </c>
      <c r="H72" s="8" t="e">
        <f t="shared" si="28"/>
        <v>#DIV/0!</v>
      </c>
      <c r="I72" s="2" t="e">
        <f t="shared" si="29"/>
        <v>#DIV/0!</v>
      </c>
      <c r="L72" s="8">
        <f t="shared" si="30"/>
        <v>0.16333847497860055</v>
      </c>
      <c r="M72" s="2">
        <f t="shared" si="31"/>
        <v>0.16333847497860055</v>
      </c>
      <c r="P72" s="8">
        <f t="shared" si="32"/>
        <v>0.27272727272727271</v>
      </c>
      <c r="Q72" s="2">
        <f t="shared" si="33"/>
        <v>0.27272727272727271</v>
      </c>
      <c r="T72" s="8">
        <f t="shared" si="34"/>
        <v>6.9483451222801529E-2</v>
      </c>
      <c r="U72" s="2">
        <f t="shared" si="35"/>
        <v>6.9483451222801529E-2</v>
      </c>
      <c r="X72" s="8">
        <f t="shared" si="36"/>
        <v>0.16333847497860055</v>
      </c>
      <c r="Y72" s="2">
        <f t="shared" si="37"/>
        <v>0.16333847497860055</v>
      </c>
      <c r="AD72" s="8" t="e">
        <f t="shared" si="38"/>
        <v>#DIV/0!</v>
      </c>
      <c r="AE72" s="2" t="e">
        <f t="shared" si="39"/>
        <v>#DIV/0!</v>
      </c>
      <c r="AG72" s="2" t="e">
        <f t="shared" si="52"/>
        <v>#DIV/0!</v>
      </c>
      <c r="AH72" s="2" t="e">
        <f t="shared" si="53"/>
        <v>#DIV/0!</v>
      </c>
      <c r="AJ72" s="8" t="e">
        <f t="shared" si="40"/>
        <v>#DIV/0!</v>
      </c>
      <c r="AK72" s="2" t="e">
        <f t="shared" si="41"/>
        <v>#DIV/0!</v>
      </c>
      <c r="AM72" s="2" t="e">
        <f t="shared" si="54"/>
        <v>#DIV/0!</v>
      </c>
      <c r="AN72" s="2" t="e">
        <f t="shared" si="55"/>
        <v>#DIV/0!</v>
      </c>
      <c r="AP72" s="8" t="e">
        <f t="shared" si="42"/>
        <v>#DIV/0!</v>
      </c>
      <c r="AQ72" s="2" t="e">
        <f t="shared" si="43"/>
        <v>#DIV/0!</v>
      </c>
      <c r="AS72" s="2" t="e">
        <f t="shared" si="56"/>
        <v>#DIV/0!</v>
      </c>
      <c r="AT72" s="16" t="e">
        <f t="shared" si="57"/>
        <v>#DIV/0!</v>
      </c>
      <c r="AV72" s="8" t="e">
        <f t="shared" si="44"/>
        <v>#DIV/0!</v>
      </c>
      <c r="AW72" s="2" t="e">
        <f t="shared" si="45"/>
        <v>#DIV/0!</v>
      </c>
      <c r="AY72" s="2" t="e">
        <f t="shared" si="58"/>
        <v>#DIV/0!</v>
      </c>
      <c r="AZ72" s="2" t="e">
        <f t="shared" si="59"/>
        <v>#DIV/0!</v>
      </c>
      <c r="BD72" s="8" t="e">
        <f t="shared" si="46"/>
        <v>#DIV/0!</v>
      </c>
      <c r="BE72" s="2" t="e">
        <f t="shared" si="47"/>
        <v>#DIV/0!</v>
      </c>
      <c r="BG72" s="2" t="e">
        <f t="shared" si="60"/>
        <v>#DIV/0!</v>
      </c>
      <c r="BH72" s="2" t="e">
        <f t="shared" si="61"/>
        <v>#DIV/0!</v>
      </c>
      <c r="BL72" s="8" t="e">
        <f t="shared" si="48"/>
        <v>#DIV/0!</v>
      </c>
      <c r="BM72" s="2" t="e">
        <f t="shared" si="49"/>
        <v>#DIV/0!</v>
      </c>
      <c r="BO72" s="2" t="e">
        <f t="shared" si="62"/>
        <v>#DIV/0!</v>
      </c>
      <c r="BP72" s="2" t="e">
        <f t="shared" si="63"/>
        <v>#DIV/0!</v>
      </c>
    </row>
    <row r="73" spans="1:68" x14ac:dyDescent="0.2">
      <c r="A73" s="2">
        <f t="shared" si="50"/>
        <v>2.7500000000000004</v>
      </c>
      <c r="B73" s="2">
        <f t="shared" si="51"/>
        <v>6.3927861206707542E-2</v>
      </c>
      <c r="C73" s="2">
        <f t="shared" ref="C73:C104" si="64">EXP(-$A73*$B$35*C$35)</f>
        <v>6.3927861206707542E-2</v>
      </c>
      <c r="D73" s="8">
        <f t="shared" ref="D73:D104" si="65">EXP(-(($A73*$E$35)^$D$35))</f>
        <v>6.3927861206707542E-2</v>
      </c>
      <c r="E73" s="2">
        <f t="shared" ref="E73:E104" si="66">EXP(-(($A73*$E$35*F$35)^$G$35))</f>
        <v>6.3927861206707542E-2</v>
      </c>
      <c r="H73" s="8" t="e">
        <f t="shared" ref="H73:H104" si="67">EXP(-(($I$35)/$H$35)*(EXP($H$35*$A73)-1))</f>
        <v>#DIV/0!</v>
      </c>
      <c r="I73" s="2" t="e">
        <f t="shared" ref="I73:I104" si="68">EXP(-(($I$35*J$35)/$K$35)*(EXP($K$35*$A73)-1))</f>
        <v>#DIV/0!</v>
      </c>
      <c r="L73" s="8">
        <f t="shared" ref="L73:L104" si="69">1-_xlfn.NORM.S.DIST((LN($A73)-$L$35)/$M$35,TRUE)</f>
        <v>0.15586445491256917</v>
      </c>
      <c r="M73" s="2">
        <f t="shared" ref="M73:M104" si="70">1-_xlfn.NORM.S.DIST((LN($A73)-$L$35-N$35)/$O$35,TRUE)</f>
        <v>0.15586445491256917</v>
      </c>
      <c r="P73" s="8">
        <f t="shared" ref="P73:P104" si="71">1-(1/(1+($A73/($Q$35))^(-$P$35)))</f>
        <v>0.26666666666666661</v>
      </c>
      <c r="Q73" s="2">
        <f t="shared" ref="Q73:Q104" si="72">1-(1/(1+($A73/($Q$35*R$35))^(-$S$35)))</f>
        <v>0.26666666666666661</v>
      </c>
      <c r="T73" s="8">
        <f t="shared" ref="T73:T104" si="73">1-(_xlfn.GAMMA.DIST($U$35*$A73,$T$35,1,TRUE)*EXP(GAMMALN($T$35)))/EXP(GAMMALN($T$35))</f>
        <v>6.392786120670757E-2</v>
      </c>
      <c r="U73" s="2">
        <f t="shared" ref="U73:U104" si="74">1-(_xlfn.GAMMA.DIST($U$35*V$35*$A73,$W$35,1,TRUE)*EXP(GAMMALN($W$35)))/EXP(GAMMALN($W$35))</f>
        <v>6.392786120670757E-2</v>
      </c>
      <c r="X73" s="8">
        <f t="shared" ref="X73:X104" si="75">IF(ABS($Z$35)&lt;0.05,
        1-_xlfn.NORM.S.DIST((LN($A73)-$X$35)/$Y$35,TRUE),
        IF(0=1-
            IF($Z$35&gt;0,
                    _xlfn.GAMMA.DIST(EXP($Z$35*((LN($A73)-$X$35)/$Y$35))*($Z$35^(-2)),($Z$35^(-2)),1, TRUE),
                    1-_xlfn.GAMMA.DIST(EXP($Z$35*((LN($A73)-$X$35)/$Y$35))*($Z$35^(-2)),($Z$35^(-2)),1, TRUE)),
            0,
            EXP(LN(1-
                IF($Z$35&gt;0,
                    _xlfn.GAMMA.DIST(EXP($Z$35*((LN($A73)-$X$35)/$Y$35))*($Z$35^(-2)),($Z$35^(-2)),1, TRUE),
                    1-_xlfn.GAMMA.DIST(EXP($Z$35*((LN($A73)-$X$35)/$Y$35))*($Z$35^(-2)),($Z$35^(-2)),1, TRUE))))))</f>
        <v>0.15586445491256917</v>
      </c>
      <c r="Y73" s="2">
        <f t="shared" ref="Y73:Y104" si="76">IF(ABS($AC$35)&lt;0.05,
        1-_xlfn.NORM.S.DIST((LN($A73)-($X$35+AA$35))/$AB$35,TRUE),
        IF(0=1-
            IF($AC$35&gt;0,
                    _xlfn.GAMMA.DIST(EXP($AC$35*((LN($A73)-($X$35+AA$35))/$AB$35))*($AC$35^(-2)),($AC$35^(-2)),1, TRUE),
                    1-_xlfn.GAMMA.DIST(EXP($AC$35*((LN($A73)-($X$35+AA$35))/$AB$35))*($AC$35^(-2)),($AC$35^(-2)),1, TRUE)),
            0,
            EXP(LN(1-
                IF($AC$35&gt;0,
                    _xlfn.GAMMA.DIST(EXP($AC$35*((LN($A73)-($X$35+AA$35))/$AB$35))*($AC$35^(-2)),($AC$35^(-2)),1, TRUE),
                    1-_xlfn.GAMMA.DIST(EXP($AC$35*((LN($A73)-($X$35+AA$35))/$AB$35))*($AC$35^(-2)),($AC$35^(-2)),1, TRUE))))))</f>
        <v>0.15586445491256917</v>
      </c>
      <c r="AD73" s="8" t="e">
        <f t="shared" ref="AD73:AD104" si="77">AD$35+
AE$35*LN($A73)+
AF$35*(MAX(LN($A73)-AE$9,0)^3-AF$37*MAX(LN($A73)-AD$9,0)^3-(1-AF$37)*MAX(LN($A73)-AF$9,0)^3)</f>
        <v>#DIV/0!</v>
      </c>
      <c r="AE73" s="2" t="e">
        <f t="shared" ref="AE73:AE104" si="78">AD$35+
AH$35*LN($A73)+
AI$35*(MAX(LN($A73)-AE$9,0)^3-AF$37*MAX(LN($A73)-AD$9,0)^3-(1-AF$37)*MAX(LN($A73)-AF$9,0)^3)</f>
        <v>#DIV/0!</v>
      </c>
      <c r="AG73" s="2" t="e">
        <f t="shared" si="52"/>
        <v>#DIV/0!</v>
      </c>
      <c r="AH73" s="2" t="e">
        <f t="shared" si="53"/>
        <v>#DIV/0!</v>
      </c>
      <c r="AJ73" s="8" t="e">
        <f t="shared" ref="AJ73:AJ104" si="79">AJ$35+
AK$35*LN($A73)+
AL$35*(MAX(LN($A73)-AK$9,0)^3-AL$37*MAX(LN($A73)-AJ$9,0)^3-(1-AL$37)*MAX(LN($A73)-AL$9,0)^3)</f>
        <v>#DIV/0!</v>
      </c>
      <c r="AK73" s="2" t="e">
        <f t="shared" ref="AK73:AK104" si="80">AJ$35+
AN$35*LN($A73)+
AO$35*(MAX(LN($A73)-AK$9,0)^3-AL$37*MAX(LN($A73)-AJ$9,0)^3-(1-AL$37)*MAX(LN($A73)-AL$9,0)^3)</f>
        <v>#DIV/0!</v>
      </c>
      <c r="AM73" s="2" t="e">
        <f t="shared" si="54"/>
        <v>#DIV/0!</v>
      </c>
      <c r="AN73" s="2" t="e">
        <f t="shared" si="55"/>
        <v>#DIV/0!</v>
      </c>
      <c r="AP73" s="8" t="e">
        <f t="shared" ref="AP73:AP104" si="81">AP$35+
AQ$35*LN($A73)+
AR$35*(MAX(LN($A73)-AQ$9,0)^3-AR$37*MAX(LN($A73)-AP$9,0)^3-(1-AR$37)*MAX(LN($A73)-AR$9,0)^3)</f>
        <v>#DIV/0!</v>
      </c>
      <c r="AQ73" s="2" t="e">
        <f t="shared" ref="AQ73:AQ104" si="82">AP$35+
AT$35*LN($A73)+
AU$35*(MAX(LN($A73)-AQ$9,0)^3-AR$37*MAX(LN($A73)-AP$9,0)^3-(1-AR$37)*MAX(LN($A73)-AR$9,0)^3)</f>
        <v>#DIV/0!</v>
      </c>
      <c r="AS73" s="2" t="e">
        <f t="shared" si="56"/>
        <v>#DIV/0!</v>
      </c>
      <c r="AT73" s="16" t="e">
        <f t="shared" si="57"/>
        <v>#DIV/0!</v>
      </c>
      <c r="AV73" s="8" t="e">
        <f t="shared" ref="AV73:AV104" si="83">AV$35+
AW$35*LN($A73)+
AX$35*(MAX(LN($A73)-AW$9,0)^3-AX$37*MAX(LN($A73)-AV$9,0)^3-(1-AX$37)*MAX(LN($A73)-AY$9,0)^3)+
AY$35*(MAX(LN($A73)-AX$9,0)^3-AY$37*MAX(LN($A73)-AV$9,0)^3-(1-AY$37)*MAX(LN($A73)-AY$9,0)^3)</f>
        <v>#DIV/0!</v>
      </c>
      <c r="AW73" s="2" t="e">
        <f t="shared" ref="AW73:AW104" si="84">AV$35+
BA$35*LN($A73)+
BB$35*(MAX(LN($A73)-AW$9,0)^3-AX$37*MAX(LN($A73)-AV$9,0)^3-(1-AX$37)*MAX(LN($A73)-AY$9,0)^3)+
BC$35*(MAX(LN($A73)-AX$9,0)^3-AY$37*MAX(LN($A73)-AV$9,0)^3-(1-AY$37)*MAX(LN($A73)-AY$9,0)^3)</f>
        <v>#DIV/0!</v>
      </c>
      <c r="AY73" s="2" t="e">
        <f t="shared" si="58"/>
        <v>#DIV/0!</v>
      </c>
      <c r="AZ73" s="2" t="e">
        <f t="shared" si="59"/>
        <v>#DIV/0!</v>
      </c>
      <c r="BD73" s="8" t="e">
        <f t="shared" ref="BD73:BD104" si="85">BD$35+
BE$35*LN($A73)+
BF$35*(MAX(LN($A73)-BE$9,0)^3-BF$37*MAX(LN($A73)-BD$9,0)^3-(1-BF$37)*MAX(LN($A73)-BG$9,0)^3)+
BG$35*(MAX(LN($A73)-BF$9,0)^3-BG$37*MAX(LN($A73)-BD$9,0)^3-(1-BG$37)*MAX(LN($A73)-BG$9,0)^3)</f>
        <v>#DIV/0!</v>
      </c>
      <c r="BE73" s="2" t="e">
        <f t="shared" ref="BE73:BE104" si="86">BD$35+
BI$35*LN($A73)+
BJ$35*(MAX(LN($A73)-BE$9,0)^3-BF$37*MAX(LN($A73)-BD$9,0)^3-(1-BF$37)*MAX(LN($A73)-BG$9,0)^3)+
BK$35*(MAX(LN($A73)-BF$9,0)^3-BG$37*MAX(LN($A73)-BD$9,0)^3-(1-BG$37)*MAX(LN($A73)-BG$9,0)^3)</f>
        <v>#DIV/0!</v>
      </c>
      <c r="BG73" s="2" t="e">
        <f t="shared" si="60"/>
        <v>#DIV/0!</v>
      </c>
      <c r="BH73" s="2" t="e">
        <f t="shared" si="61"/>
        <v>#DIV/0!</v>
      </c>
      <c r="BL73" s="8" t="e">
        <f t="shared" ref="BL73:BL104" si="87">BL$35+
BM$35*LN($A73)+
BN$35*(MAX(LN($A73)-BM$9,0)^3-BN$37*MAX(LN($A73)-BL$9,0)^3-(1-BN$37)*MAX(LN($A73)-BO$9,0)^3)+
BO$35*(MAX(LN($A73)-BN$9,0)^3-BO$37*MAX(LN($A73)-BL$9,0)^3-(1-BO$37)*MAX(LN($A73)-BO$9,0)^3)</f>
        <v>#DIV/0!</v>
      </c>
      <c r="BM73" s="2" t="e">
        <f t="shared" ref="BM73:BM104" si="88">BL$35+
BQ$35*LN($A73)+
BR$35*(MAX(LN($A73)-BM$9,0)^3-BN$37*MAX(LN($A73)-BL$9,0)^3-(1-BN$37)*MAX(LN($A73)-BO$9,0)^3)+
BS$35*(MAX(LN($A73)-BN$9,0)^3-BO$37*MAX(LN($A73)-BL$9,0)^3-(1-BO$37)*MAX(LN($A73)-BO$9,0)^3)</f>
        <v>#DIV/0!</v>
      </c>
      <c r="BO73" s="2" t="e">
        <f t="shared" si="62"/>
        <v>#DIV/0!</v>
      </c>
      <c r="BP73" s="2" t="e">
        <f t="shared" si="63"/>
        <v>#DIV/0!</v>
      </c>
    </row>
    <row r="74" spans="1:68" x14ac:dyDescent="0.2">
      <c r="A74" s="2">
        <f t="shared" si="50"/>
        <v>2.8333333333333339</v>
      </c>
      <c r="B74" s="2">
        <f t="shared" si="51"/>
        <v>5.8816471642429854E-2</v>
      </c>
      <c r="C74" s="2">
        <f t="shared" si="64"/>
        <v>5.8816471642429854E-2</v>
      </c>
      <c r="D74" s="8">
        <f t="shared" si="65"/>
        <v>5.8816471642429854E-2</v>
      </c>
      <c r="E74" s="2">
        <f t="shared" si="66"/>
        <v>5.8816471642429854E-2</v>
      </c>
      <c r="H74" s="8" t="e">
        <f t="shared" si="67"/>
        <v>#DIV/0!</v>
      </c>
      <c r="I74" s="2" t="e">
        <f t="shared" si="68"/>
        <v>#DIV/0!</v>
      </c>
      <c r="L74" s="8">
        <f t="shared" si="69"/>
        <v>0.14883247488282902</v>
      </c>
      <c r="M74" s="2">
        <f t="shared" si="70"/>
        <v>0.14883247488282902</v>
      </c>
      <c r="P74" s="8">
        <f t="shared" si="71"/>
        <v>0.26086956521739124</v>
      </c>
      <c r="Q74" s="2">
        <f t="shared" si="72"/>
        <v>0.26086956521739124</v>
      </c>
      <c r="T74" s="8">
        <f t="shared" si="73"/>
        <v>5.8816471642429868E-2</v>
      </c>
      <c r="U74" s="2">
        <f t="shared" si="74"/>
        <v>5.8816471642429868E-2</v>
      </c>
      <c r="X74" s="8">
        <f t="shared" si="75"/>
        <v>0.14883247488282902</v>
      </c>
      <c r="Y74" s="2">
        <f t="shared" si="76"/>
        <v>0.14883247488282902</v>
      </c>
      <c r="AD74" s="8" t="e">
        <f t="shared" si="77"/>
        <v>#DIV/0!</v>
      </c>
      <c r="AE74" s="2" t="e">
        <f t="shared" si="78"/>
        <v>#DIV/0!</v>
      </c>
      <c r="AG74" s="2" t="e">
        <f t="shared" si="52"/>
        <v>#DIV/0!</v>
      </c>
      <c r="AH74" s="2" t="e">
        <f t="shared" si="53"/>
        <v>#DIV/0!</v>
      </c>
      <c r="AJ74" s="8" t="e">
        <f t="shared" si="79"/>
        <v>#DIV/0!</v>
      </c>
      <c r="AK74" s="2" t="e">
        <f t="shared" si="80"/>
        <v>#DIV/0!</v>
      </c>
      <c r="AM74" s="2" t="e">
        <f t="shared" si="54"/>
        <v>#DIV/0!</v>
      </c>
      <c r="AN74" s="2" t="e">
        <f t="shared" si="55"/>
        <v>#DIV/0!</v>
      </c>
      <c r="AP74" s="8" t="e">
        <f t="shared" si="81"/>
        <v>#DIV/0!</v>
      </c>
      <c r="AQ74" s="2" t="e">
        <f t="shared" si="82"/>
        <v>#DIV/0!</v>
      </c>
      <c r="AS74" s="2" t="e">
        <f t="shared" si="56"/>
        <v>#DIV/0!</v>
      </c>
      <c r="AT74" s="16" t="e">
        <f t="shared" si="57"/>
        <v>#DIV/0!</v>
      </c>
      <c r="AV74" s="8" t="e">
        <f t="shared" si="83"/>
        <v>#DIV/0!</v>
      </c>
      <c r="AW74" s="2" t="e">
        <f t="shared" si="84"/>
        <v>#DIV/0!</v>
      </c>
      <c r="AY74" s="2" t="e">
        <f t="shared" si="58"/>
        <v>#DIV/0!</v>
      </c>
      <c r="AZ74" s="2" t="e">
        <f t="shared" si="59"/>
        <v>#DIV/0!</v>
      </c>
      <c r="BD74" s="8" t="e">
        <f t="shared" si="85"/>
        <v>#DIV/0!</v>
      </c>
      <c r="BE74" s="2" t="e">
        <f t="shared" si="86"/>
        <v>#DIV/0!</v>
      </c>
      <c r="BG74" s="2" t="e">
        <f t="shared" si="60"/>
        <v>#DIV/0!</v>
      </c>
      <c r="BH74" s="2" t="e">
        <f t="shared" si="61"/>
        <v>#DIV/0!</v>
      </c>
      <c r="BL74" s="8" t="e">
        <f t="shared" si="87"/>
        <v>#DIV/0!</v>
      </c>
      <c r="BM74" s="2" t="e">
        <f t="shared" si="88"/>
        <v>#DIV/0!</v>
      </c>
      <c r="BO74" s="2" t="e">
        <f t="shared" si="62"/>
        <v>#DIV/0!</v>
      </c>
      <c r="BP74" s="2" t="e">
        <f t="shared" si="63"/>
        <v>#DIV/0!</v>
      </c>
    </row>
    <row r="75" spans="1:68" x14ac:dyDescent="0.2">
      <c r="A75" s="2">
        <f t="shared" si="50"/>
        <v>2.9166666666666674</v>
      </c>
      <c r="B75" s="2">
        <f t="shared" si="51"/>
        <v>5.411376622282156E-2</v>
      </c>
      <c r="C75" s="2">
        <f t="shared" si="64"/>
        <v>5.411376622282156E-2</v>
      </c>
      <c r="D75" s="8">
        <f t="shared" si="65"/>
        <v>5.411376622282156E-2</v>
      </c>
      <c r="E75" s="2">
        <f t="shared" si="66"/>
        <v>5.411376622282156E-2</v>
      </c>
      <c r="H75" s="8" t="e">
        <f t="shared" si="67"/>
        <v>#DIV/0!</v>
      </c>
      <c r="I75" s="2" t="e">
        <f t="shared" si="68"/>
        <v>#DIV/0!</v>
      </c>
      <c r="L75" s="8">
        <f t="shared" si="69"/>
        <v>0.14221033372714587</v>
      </c>
      <c r="M75" s="2">
        <f t="shared" si="70"/>
        <v>0.14221033372714587</v>
      </c>
      <c r="P75" s="8">
        <f t="shared" si="71"/>
        <v>0.25531914893617014</v>
      </c>
      <c r="Q75" s="2">
        <f t="shared" si="72"/>
        <v>0.25531914893617014</v>
      </c>
      <c r="T75" s="8">
        <f t="shared" si="73"/>
        <v>5.4113766222821602E-2</v>
      </c>
      <c r="U75" s="2">
        <f t="shared" si="74"/>
        <v>5.4113766222821602E-2</v>
      </c>
      <c r="X75" s="8">
        <f t="shared" si="75"/>
        <v>0.14221033372714587</v>
      </c>
      <c r="Y75" s="2">
        <f t="shared" si="76"/>
        <v>0.14221033372714587</v>
      </c>
      <c r="AD75" s="8" t="e">
        <f t="shared" si="77"/>
        <v>#DIV/0!</v>
      </c>
      <c r="AE75" s="2" t="e">
        <f t="shared" si="78"/>
        <v>#DIV/0!</v>
      </c>
      <c r="AG75" s="2" t="e">
        <f t="shared" si="52"/>
        <v>#DIV/0!</v>
      </c>
      <c r="AH75" s="2" t="e">
        <f t="shared" si="53"/>
        <v>#DIV/0!</v>
      </c>
      <c r="AJ75" s="8" t="e">
        <f t="shared" si="79"/>
        <v>#DIV/0!</v>
      </c>
      <c r="AK75" s="2" t="e">
        <f t="shared" si="80"/>
        <v>#DIV/0!</v>
      </c>
      <c r="AM75" s="2" t="e">
        <f t="shared" si="54"/>
        <v>#DIV/0!</v>
      </c>
      <c r="AN75" s="2" t="e">
        <f t="shared" si="55"/>
        <v>#DIV/0!</v>
      </c>
      <c r="AP75" s="8" t="e">
        <f t="shared" si="81"/>
        <v>#DIV/0!</v>
      </c>
      <c r="AQ75" s="2" t="e">
        <f t="shared" si="82"/>
        <v>#DIV/0!</v>
      </c>
      <c r="AS75" s="2" t="e">
        <f t="shared" si="56"/>
        <v>#DIV/0!</v>
      </c>
      <c r="AT75" s="16" t="e">
        <f t="shared" si="57"/>
        <v>#DIV/0!</v>
      </c>
      <c r="AV75" s="8" t="e">
        <f t="shared" si="83"/>
        <v>#DIV/0!</v>
      </c>
      <c r="AW75" s="2" t="e">
        <f t="shared" si="84"/>
        <v>#DIV/0!</v>
      </c>
      <c r="AY75" s="2" t="e">
        <f t="shared" si="58"/>
        <v>#DIV/0!</v>
      </c>
      <c r="AZ75" s="2" t="e">
        <f t="shared" si="59"/>
        <v>#DIV/0!</v>
      </c>
      <c r="BD75" s="8" t="e">
        <f t="shared" si="85"/>
        <v>#DIV/0!</v>
      </c>
      <c r="BE75" s="2" t="e">
        <f t="shared" si="86"/>
        <v>#DIV/0!</v>
      </c>
      <c r="BG75" s="2" t="e">
        <f t="shared" si="60"/>
        <v>#DIV/0!</v>
      </c>
      <c r="BH75" s="2" t="e">
        <f t="shared" si="61"/>
        <v>#DIV/0!</v>
      </c>
      <c r="BL75" s="8" t="e">
        <f t="shared" si="87"/>
        <v>#DIV/0!</v>
      </c>
      <c r="BM75" s="2" t="e">
        <f t="shared" si="88"/>
        <v>#DIV/0!</v>
      </c>
      <c r="BO75" s="2" t="e">
        <f t="shared" si="62"/>
        <v>#DIV/0!</v>
      </c>
      <c r="BP75" s="2" t="e">
        <f t="shared" si="63"/>
        <v>#DIV/0!</v>
      </c>
    </row>
    <row r="76" spans="1:68" x14ac:dyDescent="0.2">
      <c r="A76" s="2">
        <f t="shared" si="50"/>
        <v>3.0000000000000009</v>
      </c>
      <c r="B76" s="2">
        <f t="shared" si="51"/>
        <v>4.9787068367863896E-2</v>
      </c>
      <c r="C76" s="2">
        <f t="shared" si="64"/>
        <v>4.9787068367863896E-2</v>
      </c>
      <c r="D76" s="8">
        <f t="shared" si="65"/>
        <v>4.9787068367863896E-2</v>
      </c>
      <c r="E76" s="2">
        <f t="shared" si="66"/>
        <v>4.9787068367863896E-2</v>
      </c>
      <c r="H76" s="8" t="e">
        <f t="shared" si="67"/>
        <v>#DIV/0!</v>
      </c>
      <c r="I76" s="2" t="e">
        <f t="shared" si="68"/>
        <v>#DIV/0!</v>
      </c>
      <c r="L76" s="8">
        <f t="shared" si="69"/>
        <v>0.13596860764142438</v>
      </c>
      <c r="M76" s="2">
        <f t="shared" si="70"/>
        <v>0.13596860764142438</v>
      </c>
      <c r="P76" s="8">
        <f t="shared" si="71"/>
        <v>0.25</v>
      </c>
      <c r="Q76" s="2">
        <f t="shared" si="72"/>
        <v>0.25</v>
      </c>
      <c r="T76" s="8">
        <f t="shared" si="73"/>
        <v>4.978706836786384E-2</v>
      </c>
      <c r="U76" s="2">
        <f t="shared" si="74"/>
        <v>4.978706836786384E-2</v>
      </c>
      <c r="X76" s="8">
        <f t="shared" si="75"/>
        <v>0.13596860764142438</v>
      </c>
      <c r="Y76" s="2">
        <f t="shared" si="76"/>
        <v>0.13596860764142438</v>
      </c>
      <c r="AD76" s="8" t="e">
        <f t="shared" si="77"/>
        <v>#DIV/0!</v>
      </c>
      <c r="AE76" s="2" t="e">
        <f t="shared" si="78"/>
        <v>#DIV/0!</v>
      </c>
      <c r="AG76" s="2" t="e">
        <f t="shared" si="52"/>
        <v>#DIV/0!</v>
      </c>
      <c r="AH76" s="2" t="e">
        <f t="shared" si="53"/>
        <v>#DIV/0!</v>
      </c>
      <c r="AJ76" s="8" t="e">
        <f t="shared" si="79"/>
        <v>#DIV/0!</v>
      </c>
      <c r="AK76" s="2" t="e">
        <f t="shared" si="80"/>
        <v>#DIV/0!</v>
      </c>
      <c r="AM76" s="2" t="e">
        <f t="shared" si="54"/>
        <v>#DIV/0!</v>
      </c>
      <c r="AN76" s="2" t="e">
        <f t="shared" si="55"/>
        <v>#DIV/0!</v>
      </c>
      <c r="AP76" s="8" t="e">
        <f t="shared" si="81"/>
        <v>#DIV/0!</v>
      </c>
      <c r="AQ76" s="2" t="e">
        <f t="shared" si="82"/>
        <v>#DIV/0!</v>
      </c>
      <c r="AS76" s="2" t="e">
        <f t="shared" si="56"/>
        <v>#DIV/0!</v>
      </c>
      <c r="AT76" s="16" t="e">
        <f t="shared" si="57"/>
        <v>#DIV/0!</v>
      </c>
      <c r="AV76" s="8" t="e">
        <f t="shared" si="83"/>
        <v>#DIV/0!</v>
      </c>
      <c r="AW76" s="2" t="e">
        <f t="shared" si="84"/>
        <v>#DIV/0!</v>
      </c>
      <c r="AY76" s="2" t="e">
        <f t="shared" si="58"/>
        <v>#DIV/0!</v>
      </c>
      <c r="AZ76" s="2" t="e">
        <f t="shared" si="59"/>
        <v>#DIV/0!</v>
      </c>
      <c r="BD76" s="8" t="e">
        <f t="shared" si="85"/>
        <v>#DIV/0!</v>
      </c>
      <c r="BE76" s="2" t="e">
        <f t="shared" si="86"/>
        <v>#DIV/0!</v>
      </c>
      <c r="BG76" s="2" t="e">
        <f t="shared" si="60"/>
        <v>#DIV/0!</v>
      </c>
      <c r="BH76" s="2" t="e">
        <f t="shared" si="61"/>
        <v>#DIV/0!</v>
      </c>
      <c r="BL76" s="8" t="e">
        <f t="shared" si="87"/>
        <v>#DIV/0!</v>
      </c>
      <c r="BM76" s="2" t="e">
        <f t="shared" si="88"/>
        <v>#DIV/0!</v>
      </c>
      <c r="BO76" s="2" t="e">
        <f t="shared" si="62"/>
        <v>#DIV/0!</v>
      </c>
      <c r="BP76" s="2" t="e">
        <f t="shared" si="63"/>
        <v>#DIV/0!</v>
      </c>
    </row>
    <row r="77" spans="1:68" x14ac:dyDescent="0.2">
      <c r="A77" s="2">
        <f t="shared" si="50"/>
        <v>3.0833333333333344</v>
      </c>
      <c r="B77" s="2">
        <f t="shared" si="51"/>
        <v>4.5806314172621432E-2</v>
      </c>
      <c r="C77" s="2">
        <f t="shared" si="64"/>
        <v>4.5806314172621432E-2</v>
      </c>
      <c r="D77" s="8">
        <f t="shared" si="65"/>
        <v>4.5806314172621432E-2</v>
      </c>
      <c r="E77" s="2">
        <f t="shared" si="66"/>
        <v>4.5806314172621432E-2</v>
      </c>
      <c r="H77" s="8" t="e">
        <f t="shared" si="67"/>
        <v>#DIV/0!</v>
      </c>
      <c r="I77" s="2" t="e">
        <f t="shared" si="68"/>
        <v>#DIV/0!</v>
      </c>
      <c r="L77" s="8">
        <f t="shared" si="69"/>
        <v>0.13008037602547573</v>
      </c>
      <c r="M77" s="2">
        <f t="shared" si="70"/>
        <v>0.13008037602547573</v>
      </c>
      <c r="P77" s="8">
        <f t="shared" si="71"/>
        <v>0.24489795918367341</v>
      </c>
      <c r="Q77" s="2">
        <f t="shared" si="72"/>
        <v>0.24489795918367341</v>
      </c>
      <c r="T77" s="8">
        <f t="shared" si="73"/>
        <v>4.5806314172621487E-2</v>
      </c>
      <c r="U77" s="2">
        <f t="shared" si="74"/>
        <v>4.5806314172621487E-2</v>
      </c>
      <c r="X77" s="8">
        <f t="shared" si="75"/>
        <v>0.13008037602547573</v>
      </c>
      <c r="Y77" s="2">
        <f t="shared" si="76"/>
        <v>0.13008037602547573</v>
      </c>
      <c r="AD77" s="8" t="e">
        <f t="shared" si="77"/>
        <v>#DIV/0!</v>
      </c>
      <c r="AE77" s="2" t="e">
        <f t="shared" si="78"/>
        <v>#DIV/0!</v>
      </c>
      <c r="AG77" s="2" t="e">
        <f t="shared" si="52"/>
        <v>#DIV/0!</v>
      </c>
      <c r="AH77" s="2" t="e">
        <f t="shared" si="53"/>
        <v>#DIV/0!</v>
      </c>
      <c r="AJ77" s="8" t="e">
        <f t="shared" si="79"/>
        <v>#DIV/0!</v>
      </c>
      <c r="AK77" s="2" t="e">
        <f t="shared" si="80"/>
        <v>#DIV/0!</v>
      </c>
      <c r="AM77" s="2" t="e">
        <f t="shared" si="54"/>
        <v>#DIV/0!</v>
      </c>
      <c r="AN77" s="2" t="e">
        <f t="shared" si="55"/>
        <v>#DIV/0!</v>
      </c>
      <c r="AP77" s="8" t="e">
        <f t="shared" si="81"/>
        <v>#DIV/0!</v>
      </c>
      <c r="AQ77" s="2" t="e">
        <f t="shared" si="82"/>
        <v>#DIV/0!</v>
      </c>
      <c r="AS77" s="2" t="e">
        <f t="shared" si="56"/>
        <v>#DIV/0!</v>
      </c>
      <c r="AT77" s="16" t="e">
        <f t="shared" si="57"/>
        <v>#DIV/0!</v>
      </c>
      <c r="AV77" s="8" t="e">
        <f t="shared" si="83"/>
        <v>#DIV/0!</v>
      </c>
      <c r="AW77" s="2" t="e">
        <f t="shared" si="84"/>
        <v>#DIV/0!</v>
      </c>
      <c r="AY77" s="2" t="e">
        <f t="shared" si="58"/>
        <v>#DIV/0!</v>
      </c>
      <c r="AZ77" s="2" t="e">
        <f t="shared" si="59"/>
        <v>#DIV/0!</v>
      </c>
      <c r="BD77" s="8" t="e">
        <f t="shared" si="85"/>
        <v>#DIV/0!</v>
      </c>
      <c r="BE77" s="2" t="e">
        <f t="shared" si="86"/>
        <v>#DIV/0!</v>
      </c>
      <c r="BG77" s="2" t="e">
        <f t="shared" si="60"/>
        <v>#DIV/0!</v>
      </c>
      <c r="BH77" s="2" t="e">
        <f t="shared" si="61"/>
        <v>#DIV/0!</v>
      </c>
      <c r="BL77" s="8" t="e">
        <f t="shared" si="87"/>
        <v>#DIV/0!</v>
      </c>
      <c r="BM77" s="2" t="e">
        <f t="shared" si="88"/>
        <v>#DIV/0!</v>
      </c>
      <c r="BO77" s="2" t="e">
        <f t="shared" si="62"/>
        <v>#DIV/0!</v>
      </c>
      <c r="BP77" s="2" t="e">
        <f t="shared" si="63"/>
        <v>#DIV/0!</v>
      </c>
    </row>
    <row r="78" spans="1:68" x14ac:dyDescent="0.2">
      <c r="A78" s="2">
        <f t="shared" si="50"/>
        <v>3.1666666666666679</v>
      </c>
      <c r="B78" s="2">
        <f t="shared" si="51"/>
        <v>4.2143843509276351E-2</v>
      </c>
      <c r="C78" s="2">
        <f t="shared" si="64"/>
        <v>4.2143843509276351E-2</v>
      </c>
      <c r="D78" s="8">
        <f t="shared" si="65"/>
        <v>4.2143843509276351E-2</v>
      </c>
      <c r="E78" s="2">
        <f t="shared" si="66"/>
        <v>4.2143843509276351E-2</v>
      </c>
      <c r="H78" s="8" t="e">
        <f t="shared" si="67"/>
        <v>#DIV/0!</v>
      </c>
      <c r="I78" s="2" t="e">
        <f t="shared" si="68"/>
        <v>#DIV/0!</v>
      </c>
      <c r="L78" s="8">
        <f t="shared" si="69"/>
        <v>0.12452097732570455</v>
      </c>
      <c r="M78" s="2">
        <f t="shared" si="70"/>
        <v>0.12452097732570455</v>
      </c>
      <c r="P78" s="8">
        <f t="shared" si="71"/>
        <v>0.23999999999999988</v>
      </c>
      <c r="Q78" s="2">
        <f t="shared" si="72"/>
        <v>0.23999999999999988</v>
      </c>
      <c r="T78" s="8">
        <f t="shared" si="73"/>
        <v>4.2143843509276357E-2</v>
      </c>
      <c r="U78" s="2">
        <f t="shared" si="74"/>
        <v>4.2143843509276357E-2</v>
      </c>
      <c r="X78" s="8">
        <f t="shared" si="75"/>
        <v>0.12452097732570455</v>
      </c>
      <c r="Y78" s="2">
        <f t="shared" si="76"/>
        <v>0.12452097732570455</v>
      </c>
      <c r="AD78" s="8" t="e">
        <f t="shared" si="77"/>
        <v>#DIV/0!</v>
      </c>
      <c r="AE78" s="2" t="e">
        <f t="shared" si="78"/>
        <v>#DIV/0!</v>
      </c>
      <c r="AG78" s="2" t="e">
        <f t="shared" si="52"/>
        <v>#DIV/0!</v>
      </c>
      <c r="AH78" s="2" t="e">
        <f t="shared" si="53"/>
        <v>#DIV/0!</v>
      </c>
      <c r="AJ78" s="8" t="e">
        <f t="shared" si="79"/>
        <v>#DIV/0!</v>
      </c>
      <c r="AK78" s="2" t="e">
        <f t="shared" si="80"/>
        <v>#DIV/0!</v>
      </c>
      <c r="AM78" s="2" t="e">
        <f t="shared" si="54"/>
        <v>#DIV/0!</v>
      </c>
      <c r="AN78" s="2" t="e">
        <f t="shared" si="55"/>
        <v>#DIV/0!</v>
      </c>
      <c r="AP78" s="8" t="e">
        <f t="shared" si="81"/>
        <v>#DIV/0!</v>
      </c>
      <c r="AQ78" s="2" t="e">
        <f t="shared" si="82"/>
        <v>#DIV/0!</v>
      </c>
      <c r="AS78" s="2" t="e">
        <f t="shared" si="56"/>
        <v>#DIV/0!</v>
      </c>
      <c r="AT78" s="16" t="e">
        <f t="shared" si="57"/>
        <v>#DIV/0!</v>
      </c>
      <c r="AV78" s="8" t="e">
        <f t="shared" si="83"/>
        <v>#DIV/0!</v>
      </c>
      <c r="AW78" s="2" t="e">
        <f t="shared" si="84"/>
        <v>#DIV/0!</v>
      </c>
      <c r="AY78" s="2" t="e">
        <f t="shared" si="58"/>
        <v>#DIV/0!</v>
      </c>
      <c r="AZ78" s="2" t="e">
        <f t="shared" si="59"/>
        <v>#DIV/0!</v>
      </c>
      <c r="BD78" s="8" t="e">
        <f t="shared" si="85"/>
        <v>#DIV/0!</v>
      </c>
      <c r="BE78" s="2" t="e">
        <f t="shared" si="86"/>
        <v>#DIV/0!</v>
      </c>
      <c r="BG78" s="2" t="e">
        <f t="shared" si="60"/>
        <v>#DIV/0!</v>
      </c>
      <c r="BH78" s="2" t="e">
        <f t="shared" si="61"/>
        <v>#DIV/0!</v>
      </c>
      <c r="BL78" s="8" t="e">
        <f t="shared" si="87"/>
        <v>#DIV/0!</v>
      </c>
      <c r="BM78" s="2" t="e">
        <f t="shared" si="88"/>
        <v>#DIV/0!</v>
      </c>
      <c r="BO78" s="2" t="e">
        <f t="shared" si="62"/>
        <v>#DIV/0!</v>
      </c>
      <c r="BP78" s="2" t="e">
        <f t="shared" si="63"/>
        <v>#DIV/0!</v>
      </c>
    </row>
    <row r="79" spans="1:68" x14ac:dyDescent="0.2">
      <c r="A79" s="2">
        <f t="shared" si="50"/>
        <v>3.2500000000000013</v>
      </c>
      <c r="B79" s="2">
        <f t="shared" si="51"/>
        <v>3.877420783172196E-2</v>
      </c>
      <c r="C79" s="2">
        <f t="shared" si="64"/>
        <v>3.877420783172196E-2</v>
      </c>
      <c r="D79" s="8">
        <f t="shared" si="65"/>
        <v>3.877420783172196E-2</v>
      </c>
      <c r="E79" s="2">
        <f t="shared" si="66"/>
        <v>3.877420783172196E-2</v>
      </c>
      <c r="H79" s="8" t="e">
        <f t="shared" si="67"/>
        <v>#DIV/0!</v>
      </c>
      <c r="I79" s="2" t="e">
        <f t="shared" si="68"/>
        <v>#DIV/0!</v>
      </c>
      <c r="L79" s="8">
        <f t="shared" si="69"/>
        <v>0.11926779136256527</v>
      </c>
      <c r="M79" s="2">
        <f t="shared" si="70"/>
        <v>0.11926779136256527</v>
      </c>
      <c r="P79" s="8">
        <f t="shared" si="71"/>
        <v>0.23529411764705865</v>
      </c>
      <c r="Q79" s="2">
        <f t="shared" si="72"/>
        <v>0.23529411764705865</v>
      </c>
      <c r="T79" s="8">
        <f t="shared" si="73"/>
        <v>3.8774207831721919E-2</v>
      </c>
      <c r="U79" s="2">
        <f t="shared" si="74"/>
        <v>3.8774207831721919E-2</v>
      </c>
      <c r="X79" s="8">
        <f t="shared" si="75"/>
        <v>0.11926779136256527</v>
      </c>
      <c r="Y79" s="2">
        <f t="shared" si="76"/>
        <v>0.11926779136256527</v>
      </c>
      <c r="AD79" s="8" t="e">
        <f t="shared" si="77"/>
        <v>#DIV/0!</v>
      </c>
      <c r="AE79" s="2" t="e">
        <f t="shared" si="78"/>
        <v>#DIV/0!</v>
      </c>
      <c r="AG79" s="2" t="e">
        <f t="shared" si="52"/>
        <v>#DIV/0!</v>
      </c>
      <c r="AH79" s="2" t="e">
        <f t="shared" si="53"/>
        <v>#DIV/0!</v>
      </c>
      <c r="AJ79" s="8" t="e">
        <f t="shared" si="79"/>
        <v>#DIV/0!</v>
      </c>
      <c r="AK79" s="2" t="e">
        <f t="shared" si="80"/>
        <v>#DIV/0!</v>
      </c>
      <c r="AM79" s="2" t="e">
        <f t="shared" si="54"/>
        <v>#DIV/0!</v>
      </c>
      <c r="AN79" s="2" t="e">
        <f t="shared" si="55"/>
        <v>#DIV/0!</v>
      </c>
      <c r="AP79" s="8" t="e">
        <f t="shared" si="81"/>
        <v>#DIV/0!</v>
      </c>
      <c r="AQ79" s="2" t="e">
        <f t="shared" si="82"/>
        <v>#DIV/0!</v>
      </c>
      <c r="AS79" s="2" t="e">
        <f t="shared" si="56"/>
        <v>#DIV/0!</v>
      </c>
      <c r="AT79" s="16" t="e">
        <f t="shared" si="57"/>
        <v>#DIV/0!</v>
      </c>
      <c r="AV79" s="8" t="e">
        <f t="shared" si="83"/>
        <v>#DIV/0!</v>
      </c>
      <c r="AW79" s="2" t="e">
        <f t="shared" si="84"/>
        <v>#DIV/0!</v>
      </c>
      <c r="AY79" s="2" t="e">
        <f t="shared" si="58"/>
        <v>#DIV/0!</v>
      </c>
      <c r="AZ79" s="2" t="e">
        <f t="shared" si="59"/>
        <v>#DIV/0!</v>
      </c>
      <c r="BD79" s="8" t="e">
        <f t="shared" si="85"/>
        <v>#DIV/0!</v>
      </c>
      <c r="BE79" s="2" t="e">
        <f t="shared" si="86"/>
        <v>#DIV/0!</v>
      </c>
      <c r="BG79" s="2" t="e">
        <f t="shared" si="60"/>
        <v>#DIV/0!</v>
      </c>
      <c r="BH79" s="2" t="e">
        <f t="shared" si="61"/>
        <v>#DIV/0!</v>
      </c>
      <c r="BL79" s="8" t="e">
        <f t="shared" si="87"/>
        <v>#DIV/0!</v>
      </c>
      <c r="BM79" s="2" t="e">
        <f t="shared" si="88"/>
        <v>#DIV/0!</v>
      </c>
      <c r="BO79" s="2" t="e">
        <f t="shared" si="62"/>
        <v>#DIV/0!</v>
      </c>
      <c r="BP79" s="2" t="e">
        <f t="shared" si="63"/>
        <v>#DIV/0!</v>
      </c>
    </row>
    <row r="80" spans="1:68" x14ac:dyDescent="0.2">
      <c r="A80" s="2">
        <f t="shared" si="50"/>
        <v>3.3333333333333348</v>
      </c>
      <c r="B80" s="2">
        <f t="shared" si="51"/>
        <v>3.5673993347252346E-2</v>
      </c>
      <c r="C80" s="2">
        <f t="shared" si="64"/>
        <v>3.5673993347252346E-2</v>
      </c>
      <c r="D80" s="8">
        <f t="shared" si="65"/>
        <v>3.5673993347252346E-2</v>
      </c>
      <c r="E80" s="2">
        <f t="shared" si="66"/>
        <v>3.5673993347252346E-2</v>
      </c>
      <c r="H80" s="8" t="e">
        <f t="shared" si="67"/>
        <v>#DIV/0!</v>
      </c>
      <c r="I80" s="2" t="e">
        <f t="shared" si="68"/>
        <v>#DIV/0!</v>
      </c>
      <c r="L80" s="8">
        <f t="shared" si="69"/>
        <v>0.11430004504915148</v>
      </c>
      <c r="M80" s="2">
        <f t="shared" si="70"/>
        <v>0.11430004504915148</v>
      </c>
      <c r="P80" s="8">
        <f t="shared" si="71"/>
        <v>0.23076923076923062</v>
      </c>
      <c r="Q80" s="2">
        <f t="shared" si="72"/>
        <v>0.23076923076923062</v>
      </c>
      <c r="T80" s="8">
        <f t="shared" si="73"/>
        <v>3.5673993347252297E-2</v>
      </c>
      <c r="U80" s="2">
        <f t="shared" si="74"/>
        <v>3.5673993347252297E-2</v>
      </c>
      <c r="X80" s="8">
        <f t="shared" si="75"/>
        <v>0.11430004504915148</v>
      </c>
      <c r="Y80" s="2">
        <f t="shared" si="76"/>
        <v>0.11430004504915148</v>
      </c>
      <c r="AD80" s="8" t="e">
        <f t="shared" si="77"/>
        <v>#DIV/0!</v>
      </c>
      <c r="AE80" s="2" t="e">
        <f t="shared" si="78"/>
        <v>#DIV/0!</v>
      </c>
      <c r="AG80" s="2" t="e">
        <f t="shared" si="52"/>
        <v>#DIV/0!</v>
      </c>
      <c r="AH80" s="2" t="e">
        <f t="shared" si="53"/>
        <v>#DIV/0!</v>
      </c>
      <c r="AJ80" s="8" t="e">
        <f t="shared" si="79"/>
        <v>#DIV/0!</v>
      </c>
      <c r="AK80" s="2" t="e">
        <f t="shared" si="80"/>
        <v>#DIV/0!</v>
      </c>
      <c r="AM80" s="2" t="e">
        <f t="shared" si="54"/>
        <v>#DIV/0!</v>
      </c>
      <c r="AN80" s="2" t="e">
        <f t="shared" si="55"/>
        <v>#DIV/0!</v>
      </c>
      <c r="AP80" s="8" t="e">
        <f t="shared" si="81"/>
        <v>#DIV/0!</v>
      </c>
      <c r="AQ80" s="2" t="e">
        <f t="shared" si="82"/>
        <v>#DIV/0!</v>
      </c>
      <c r="AS80" s="2" t="e">
        <f t="shared" si="56"/>
        <v>#DIV/0!</v>
      </c>
      <c r="AT80" s="16" t="e">
        <f t="shared" si="57"/>
        <v>#DIV/0!</v>
      </c>
      <c r="AV80" s="8" t="e">
        <f t="shared" si="83"/>
        <v>#DIV/0!</v>
      </c>
      <c r="AW80" s="2" t="e">
        <f t="shared" si="84"/>
        <v>#DIV/0!</v>
      </c>
      <c r="AY80" s="2" t="e">
        <f t="shared" si="58"/>
        <v>#DIV/0!</v>
      </c>
      <c r="AZ80" s="2" t="e">
        <f t="shared" si="59"/>
        <v>#DIV/0!</v>
      </c>
      <c r="BD80" s="8" t="e">
        <f t="shared" si="85"/>
        <v>#DIV/0!</v>
      </c>
      <c r="BE80" s="2" t="e">
        <f t="shared" si="86"/>
        <v>#DIV/0!</v>
      </c>
      <c r="BG80" s="2" t="e">
        <f t="shared" si="60"/>
        <v>#DIV/0!</v>
      </c>
      <c r="BH80" s="2" t="e">
        <f t="shared" si="61"/>
        <v>#DIV/0!</v>
      </c>
      <c r="BL80" s="8" t="e">
        <f t="shared" si="87"/>
        <v>#DIV/0!</v>
      </c>
      <c r="BM80" s="2" t="e">
        <f t="shared" si="88"/>
        <v>#DIV/0!</v>
      </c>
      <c r="BO80" s="2" t="e">
        <f t="shared" si="62"/>
        <v>#DIV/0!</v>
      </c>
      <c r="BP80" s="2" t="e">
        <f t="shared" si="63"/>
        <v>#DIV/0!</v>
      </c>
    </row>
    <row r="81" spans="1:68" x14ac:dyDescent="0.2">
      <c r="A81" s="2">
        <f t="shared" si="50"/>
        <v>3.4166666666666683</v>
      </c>
      <c r="B81" s="2">
        <f t="shared" si="51"/>
        <v>3.2821658326663151E-2</v>
      </c>
      <c r="C81" s="2">
        <f t="shared" si="64"/>
        <v>3.2821658326663151E-2</v>
      </c>
      <c r="D81" s="8">
        <f t="shared" si="65"/>
        <v>3.2821658326663151E-2</v>
      </c>
      <c r="E81" s="2">
        <f t="shared" si="66"/>
        <v>3.2821658326663151E-2</v>
      </c>
      <c r="H81" s="8" t="e">
        <f t="shared" si="67"/>
        <v>#DIV/0!</v>
      </c>
      <c r="I81" s="2" t="e">
        <f t="shared" si="68"/>
        <v>#DIV/0!</v>
      </c>
      <c r="L81" s="8">
        <f t="shared" si="69"/>
        <v>0.10959863878011067</v>
      </c>
      <c r="M81" s="2">
        <f t="shared" si="70"/>
        <v>0.10959863878011067</v>
      </c>
      <c r="P81" s="8">
        <f t="shared" si="71"/>
        <v>0.22641509433962248</v>
      </c>
      <c r="Q81" s="2">
        <f t="shared" si="72"/>
        <v>0.22641509433962248</v>
      </c>
      <c r="T81" s="8">
        <f t="shared" si="73"/>
        <v>3.2821658326663172E-2</v>
      </c>
      <c r="U81" s="2">
        <f t="shared" si="74"/>
        <v>3.2821658326663172E-2</v>
      </c>
      <c r="X81" s="8">
        <f t="shared" si="75"/>
        <v>0.10959863878011067</v>
      </c>
      <c r="Y81" s="2">
        <f t="shared" si="76"/>
        <v>0.10959863878011067</v>
      </c>
      <c r="AD81" s="8" t="e">
        <f t="shared" si="77"/>
        <v>#DIV/0!</v>
      </c>
      <c r="AE81" s="2" t="e">
        <f t="shared" si="78"/>
        <v>#DIV/0!</v>
      </c>
      <c r="AG81" s="2" t="e">
        <f t="shared" si="52"/>
        <v>#DIV/0!</v>
      </c>
      <c r="AH81" s="2" t="e">
        <f t="shared" si="53"/>
        <v>#DIV/0!</v>
      </c>
      <c r="AJ81" s="8" t="e">
        <f t="shared" si="79"/>
        <v>#DIV/0!</v>
      </c>
      <c r="AK81" s="2" t="e">
        <f t="shared" si="80"/>
        <v>#DIV/0!</v>
      </c>
      <c r="AM81" s="2" t="e">
        <f t="shared" si="54"/>
        <v>#DIV/0!</v>
      </c>
      <c r="AN81" s="2" t="e">
        <f t="shared" si="55"/>
        <v>#DIV/0!</v>
      </c>
      <c r="AP81" s="8" t="e">
        <f t="shared" si="81"/>
        <v>#DIV/0!</v>
      </c>
      <c r="AQ81" s="2" t="e">
        <f t="shared" si="82"/>
        <v>#DIV/0!</v>
      </c>
      <c r="AS81" s="2" t="e">
        <f t="shared" si="56"/>
        <v>#DIV/0!</v>
      </c>
      <c r="AT81" s="16" t="e">
        <f t="shared" si="57"/>
        <v>#DIV/0!</v>
      </c>
      <c r="AV81" s="8" t="e">
        <f t="shared" si="83"/>
        <v>#DIV/0!</v>
      </c>
      <c r="AW81" s="2" t="e">
        <f t="shared" si="84"/>
        <v>#DIV/0!</v>
      </c>
      <c r="AY81" s="2" t="e">
        <f t="shared" si="58"/>
        <v>#DIV/0!</v>
      </c>
      <c r="AZ81" s="2" t="e">
        <f t="shared" si="59"/>
        <v>#DIV/0!</v>
      </c>
      <c r="BD81" s="8" t="e">
        <f t="shared" si="85"/>
        <v>#DIV/0!</v>
      </c>
      <c r="BE81" s="2" t="e">
        <f t="shared" si="86"/>
        <v>#DIV/0!</v>
      </c>
      <c r="BG81" s="2" t="e">
        <f t="shared" si="60"/>
        <v>#DIV/0!</v>
      </c>
      <c r="BH81" s="2" t="e">
        <f t="shared" si="61"/>
        <v>#DIV/0!</v>
      </c>
      <c r="BL81" s="8" t="e">
        <f t="shared" si="87"/>
        <v>#DIV/0!</v>
      </c>
      <c r="BM81" s="2" t="e">
        <f t="shared" si="88"/>
        <v>#DIV/0!</v>
      </c>
      <c r="BO81" s="2" t="e">
        <f t="shared" si="62"/>
        <v>#DIV/0!</v>
      </c>
      <c r="BP81" s="2" t="e">
        <f t="shared" si="63"/>
        <v>#DIV/0!</v>
      </c>
    </row>
    <row r="82" spans="1:68" x14ac:dyDescent="0.2">
      <c r="A82" s="2">
        <f t="shared" si="50"/>
        <v>3.5000000000000018</v>
      </c>
      <c r="B82" s="2">
        <f t="shared" si="51"/>
        <v>3.0197383422318449E-2</v>
      </c>
      <c r="C82" s="2">
        <f t="shared" si="64"/>
        <v>3.0197383422318449E-2</v>
      </c>
      <c r="D82" s="8">
        <f t="shared" si="65"/>
        <v>3.0197383422318449E-2</v>
      </c>
      <c r="E82" s="2">
        <f t="shared" si="66"/>
        <v>3.0197383422318449E-2</v>
      </c>
      <c r="H82" s="8" t="e">
        <f t="shared" si="67"/>
        <v>#DIV/0!</v>
      </c>
      <c r="I82" s="2" t="e">
        <f t="shared" si="68"/>
        <v>#DIV/0!</v>
      </c>
      <c r="L82" s="8">
        <f t="shared" si="69"/>
        <v>0.10514599110011469</v>
      </c>
      <c r="M82" s="2">
        <f t="shared" si="70"/>
        <v>0.10514599110011469</v>
      </c>
      <c r="P82" s="8">
        <f t="shared" si="71"/>
        <v>0.2222222222222221</v>
      </c>
      <c r="Q82" s="2">
        <f t="shared" si="72"/>
        <v>0.2222222222222221</v>
      </c>
      <c r="T82" s="8">
        <f t="shared" si="73"/>
        <v>3.019738342231848E-2</v>
      </c>
      <c r="U82" s="2">
        <f t="shared" si="74"/>
        <v>3.019738342231848E-2</v>
      </c>
      <c r="X82" s="8">
        <f t="shared" si="75"/>
        <v>0.10514599110011469</v>
      </c>
      <c r="Y82" s="2">
        <f t="shared" si="76"/>
        <v>0.10514599110011469</v>
      </c>
      <c r="AD82" s="8" t="e">
        <f t="shared" si="77"/>
        <v>#DIV/0!</v>
      </c>
      <c r="AE82" s="2" t="e">
        <f t="shared" si="78"/>
        <v>#DIV/0!</v>
      </c>
      <c r="AG82" s="2" t="e">
        <f t="shared" si="52"/>
        <v>#DIV/0!</v>
      </c>
      <c r="AH82" s="2" t="e">
        <f t="shared" si="53"/>
        <v>#DIV/0!</v>
      </c>
      <c r="AJ82" s="8" t="e">
        <f t="shared" si="79"/>
        <v>#DIV/0!</v>
      </c>
      <c r="AK82" s="2" t="e">
        <f t="shared" si="80"/>
        <v>#DIV/0!</v>
      </c>
      <c r="AM82" s="2" t="e">
        <f t="shared" si="54"/>
        <v>#DIV/0!</v>
      </c>
      <c r="AN82" s="2" t="e">
        <f t="shared" si="55"/>
        <v>#DIV/0!</v>
      </c>
      <c r="AP82" s="8" t="e">
        <f t="shared" si="81"/>
        <v>#DIV/0!</v>
      </c>
      <c r="AQ82" s="2" t="e">
        <f t="shared" si="82"/>
        <v>#DIV/0!</v>
      </c>
      <c r="AS82" s="2" t="e">
        <f t="shared" si="56"/>
        <v>#DIV/0!</v>
      </c>
      <c r="AT82" s="16" t="e">
        <f t="shared" si="57"/>
        <v>#DIV/0!</v>
      </c>
      <c r="AV82" s="8" t="e">
        <f t="shared" si="83"/>
        <v>#DIV/0!</v>
      </c>
      <c r="AW82" s="2" t="e">
        <f t="shared" si="84"/>
        <v>#DIV/0!</v>
      </c>
      <c r="AY82" s="2" t="e">
        <f t="shared" si="58"/>
        <v>#DIV/0!</v>
      </c>
      <c r="AZ82" s="2" t="e">
        <f t="shared" si="59"/>
        <v>#DIV/0!</v>
      </c>
      <c r="BD82" s="8" t="e">
        <f t="shared" si="85"/>
        <v>#DIV/0!</v>
      </c>
      <c r="BE82" s="2" t="e">
        <f t="shared" si="86"/>
        <v>#DIV/0!</v>
      </c>
      <c r="BG82" s="2" t="e">
        <f t="shared" si="60"/>
        <v>#DIV/0!</v>
      </c>
      <c r="BH82" s="2" t="e">
        <f t="shared" si="61"/>
        <v>#DIV/0!</v>
      </c>
      <c r="BL82" s="8" t="e">
        <f t="shared" si="87"/>
        <v>#DIV/0!</v>
      </c>
      <c r="BM82" s="2" t="e">
        <f t="shared" si="88"/>
        <v>#DIV/0!</v>
      </c>
      <c r="BO82" s="2" t="e">
        <f t="shared" si="62"/>
        <v>#DIV/0!</v>
      </c>
      <c r="BP82" s="2" t="e">
        <f t="shared" si="63"/>
        <v>#DIV/0!</v>
      </c>
    </row>
    <row r="83" spans="1:68" x14ac:dyDescent="0.2">
      <c r="A83" s="2">
        <f t="shared" si="50"/>
        <v>3.5833333333333353</v>
      </c>
      <c r="B83" s="2">
        <f t="shared" si="51"/>
        <v>2.7782933954124202E-2</v>
      </c>
      <c r="C83" s="2">
        <f t="shared" si="64"/>
        <v>2.7782933954124202E-2</v>
      </c>
      <c r="D83" s="8">
        <f t="shared" si="65"/>
        <v>2.7782933954124202E-2</v>
      </c>
      <c r="E83" s="2">
        <f t="shared" si="66"/>
        <v>2.7782933954124202E-2</v>
      </c>
      <c r="H83" s="8" t="e">
        <f t="shared" si="67"/>
        <v>#DIV/0!</v>
      </c>
      <c r="I83" s="2" t="e">
        <f t="shared" si="68"/>
        <v>#DIV/0!</v>
      </c>
      <c r="L83" s="8">
        <f t="shared" si="69"/>
        <v>0.10092589955193287</v>
      </c>
      <c r="M83" s="2">
        <f t="shared" si="70"/>
        <v>0.10092589955193287</v>
      </c>
      <c r="P83" s="8">
        <f t="shared" si="71"/>
        <v>0.21818181818181803</v>
      </c>
      <c r="Q83" s="2">
        <f t="shared" si="72"/>
        <v>0.21818181818181803</v>
      </c>
      <c r="T83" s="8">
        <f t="shared" si="73"/>
        <v>2.7782933954124234E-2</v>
      </c>
      <c r="U83" s="2">
        <f t="shared" si="74"/>
        <v>2.7782933954124234E-2</v>
      </c>
      <c r="X83" s="8">
        <f t="shared" si="75"/>
        <v>0.10092589955193287</v>
      </c>
      <c r="Y83" s="2">
        <f t="shared" si="76"/>
        <v>0.10092589955193287</v>
      </c>
      <c r="AD83" s="8" t="e">
        <f t="shared" si="77"/>
        <v>#DIV/0!</v>
      </c>
      <c r="AE83" s="2" t="e">
        <f t="shared" si="78"/>
        <v>#DIV/0!</v>
      </c>
      <c r="AG83" s="2" t="e">
        <f t="shared" si="52"/>
        <v>#DIV/0!</v>
      </c>
      <c r="AH83" s="2" t="e">
        <f t="shared" si="53"/>
        <v>#DIV/0!</v>
      </c>
      <c r="AJ83" s="8" t="e">
        <f t="shared" si="79"/>
        <v>#DIV/0!</v>
      </c>
      <c r="AK83" s="2" t="e">
        <f t="shared" si="80"/>
        <v>#DIV/0!</v>
      </c>
      <c r="AM83" s="2" t="e">
        <f t="shared" si="54"/>
        <v>#DIV/0!</v>
      </c>
      <c r="AN83" s="2" t="e">
        <f t="shared" si="55"/>
        <v>#DIV/0!</v>
      </c>
      <c r="AP83" s="8" t="e">
        <f t="shared" si="81"/>
        <v>#DIV/0!</v>
      </c>
      <c r="AQ83" s="2" t="e">
        <f t="shared" si="82"/>
        <v>#DIV/0!</v>
      </c>
      <c r="AS83" s="2" t="e">
        <f t="shared" si="56"/>
        <v>#DIV/0!</v>
      </c>
      <c r="AT83" s="16" t="e">
        <f t="shared" si="57"/>
        <v>#DIV/0!</v>
      </c>
      <c r="AV83" s="8" t="e">
        <f t="shared" si="83"/>
        <v>#DIV/0!</v>
      </c>
      <c r="AW83" s="2" t="e">
        <f t="shared" si="84"/>
        <v>#DIV/0!</v>
      </c>
      <c r="AY83" s="2" t="e">
        <f t="shared" si="58"/>
        <v>#DIV/0!</v>
      </c>
      <c r="AZ83" s="2" t="e">
        <f t="shared" si="59"/>
        <v>#DIV/0!</v>
      </c>
      <c r="BD83" s="8" t="e">
        <f t="shared" si="85"/>
        <v>#DIV/0!</v>
      </c>
      <c r="BE83" s="2" t="e">
        <f t="shared" si="86"/>
        <v>#DIV/0!</v>
      </c>
      <c r="BG83" s="2" t="e">
        <f t="shared" si="60"/>
        <v>#DIV/0!</v>
      </c>
      <c r="BH83" s="2" t="e">
        <f t="shared" si="61"/>
        <v>#DIV/0!</v>
      </c>
      <c r="BL83" s="8" t="e">
        <f t="shared" si="87"/>
        <v>#DIV/0!</v>
      </c>
      <c r="BM83" s="2" t="e">
        <f t="shared" si="88"/>
        <v>#DIV/0!</v>
      </c>
      <c r="BO83" s="2" t="e">
        <f t="shared" si="62"/>
        <v>#DIV/0!</v>
      </c>
      <c r="BP83" s="2" t="e">
        <f t="shared" si="63"/>
        <v>#DIV/0!</v>
      </c>
    </row>
    <row r="84" spans="1:68" x14ac:dyDescent="0.2">
      <c r="A84" s="2">
        <f t="shared" si="50"/>
        <v>3.6666666666666687</v>
      </c>
      <c r="B84" s="2">
        <f t="shared" si="51"/>
        <v>2.5561533206507347E-2</v>
      </c>
      <c r="C84" s="2">
        <f t="shared" si="64"/>
        <v>2.5561533206507347E-2</v>
      </c>
      <c r="D84" s="8">
        <f t="shared" si="65"/>
        <v>2.5561533206507347E-2</v>
      </c>
      <c r="E84" s="2">
        <f t="shared" si="66"/>
        <v>2.5561533206507347E-2</v>
      </c>
      <c r="H84" s="8" t="e">
        <f t="shared" si="67"/>
        <v>#DIV/0!</v>
      </c>
      <c r="I84" s="2" t="e">
        <f t="shared" si="68"/>
        <v>#DIV/0!</v>
      </c>
      <c r="L84" s="8">
        <f t="shared" si="69"/>
        <v>9.6923415859640039E-2</v>
      </c>
      <c r="M84" s="2">
        <f t="shared" si="70"/>
        <v>9.6923415859640039E-2</v>
      </c>
      <c r="P84" s="8">
        <f t="shared" si="71"/>
        <v>0.21428571428571419</v>
      </c>
      <c r="Q84" s="2">
        <f t="shared" si="72"/>
        <v>0.21428571428571419</v>
      </c>
      <c r="T84" s="8">
        <f t="shared" si="73"/>
        <v>2.5561533206507336E-2</v>
      </c>
      <c r="U84" s="2">
        <f t="shared" si="74"/>
        <v>2.5561533206507336E-2</v>
      </c>
      <c r="X84" s="8">
        <f t="shared" si="75"/>
        <v>9.6923415859640039E-2</v>
      </c>
      <c r="Y84" s="2">
        <f t="shared" si="76"/>
        <v>9.6923415859640039E-2</v>
      </c>
      <c r="AD84" s="8" t="e">
        <f t="shared" si="77"/>
        <v>#DIV/0!</v>
      </c>
      <c r="AE84" s="2" t="e">
        <f t="shared" si="78"/>
        <v>#DIV/0!</v>
      </c>
      <c r="AG84" s="2" t="e">
        <f t="shared" si="52"/>
        <v>#DIV/0!</v>
      </c>
      <c r="AH84" s="2" t="e">
        <f t="shared" si="53"/>
        <v>#DIV/0!</v>
      </c>
      <c r="AJ84" s="8" t="e">
        <f t="shared" si="79"/>
        <v>#DIV/0!</v>
      </c>
      <c r="AK84" s="2" t="e">
        <f t="shared" si="80"/>
        <v>#DIV/0!</v>
      </c>
      <c r="AM84" s="2" t="e">
        <f t="shared" si="54"/>
        <v>#DIV/0!</v>
      </c>
      <c r="AN84" s="2" t="e">
        <f t="shared" si="55"/>
        <v>#DIV/0!</v>
      </c>
      <c r="AP84" s="8" t="e">
        <f t="shared" si="81"/>
        <v>#DIV/0!</v>
      </c>
      <c r="AQ84" s="2" t="e">
        <f t="shared" si="82"/>
        <v>#DIV/0!</v>
      </c>
      <c r="AS84" s="2" t="e">
        <f t="shared" si="56"/>
        <v>#DIV/0!</v>
      </c>
      <c r="AT84" s="16" t="e">
        <f t="shared" si="57"/>
        <v>#DIV/0!</v>
      </c>
      <c r="AV84" s="8" t="e">
        <f t="shared" si="83"/>
        <v>#DIV/0!</v>
      </c>
      <c r="AW84" s="2" t="e">
        <f t="shared" si="84"/>
        <v>#DIV/0!</v>
      </c>
      <c r="AY84" s="2" t="e">
        <f t="shared" si="58"/>
        <v>#DIV/0!</v>
      </c>
      <c r="AZ84" s="2" t="e">
        <f t="shared" si="59"/>
        <v>#DIV/0!</v>
      </c>
      <c r="BD84" s="8" t="e">
        <f t="shared" si="85"/>
        <v>#DIV/0!</v>
      </c>
      <c r="BE84" s="2" t="e">
        <f t="shared" si="86"/>
        <v>#DIV/0!</v>
      </c>
      <c r="BG84" s="2" t="e">
        <f t="shared" si="60"/>
        <v>#DIV/0!</v>
      </c>
      <c r="BH84" s="2" t="e">
        <f t="shared" si="61"/>
        <v>#DIV/0!</v>
      </c>
      <c r="BL84" s="8" t="e">
        <f t="shared" si="87"/>
        <v>#DIV/0!</v>
      </c>
      <c r="BM84" s="2" t="e">
        <f t="shared" si="88"/>
        <v>#DIV/0!</v>
      </c>
      <c r="BO84" s="2" t="e">
        <f t="shared" si="62"/>
        <v>#DIV/0!</v>
      </c>
      <c r="BP84" s="2" t="e">
        <f t="shared" si="63"/>
        <v>#DIV/0!</v>
      </c>
    </row>
    <row r="85" spans="1:68" x14ac:dyDescent="0.2">
      <c r="A85" s="2">
        <f t="shared" si="50"/>
        <v>3.7500000000000022</v>
      </c>
      <c r="B85" s="2">
        <f t="shared" si="51"/>
        <v>2.3517745856009055E-2</v>
      </c>
      <c r="C85" s="2">
        <f t="shared" si="64"/>
        <v>2.3517745856009055E-2</v>
      </c>
      <c r="D85" s="8">
        <f t="shared" si="65"/>
        <v>2.3517745856009055E-2</v>
      </c>
      <c r="E85" s="2">
        <f t="shared" si="66"/>
        <v>2.3517745856009055E-2</v>
      </c>
      <c r="H85" s="8" t="e">
        <f t="shared" si="67"/>
        <v>#DIV/0!</v>
      </c>
      <c r="I85" s="2" t="e">
        <f t="shared" si="68"/>
        <v>#DIV/0!</v>
      </c>
      <c r="L85" s="8">
        <f t="shared" si="69"/>
        <v>9.3124733826422279E-2</v>
      </c>
      <c r="M85" s="2">
        <f t="shared" si="70"/>
        <v>9.3124733826422279E-2</v>
      </c>
      <c r="P85" s="8">
        <f t="shared" si="71"/>
        <v>0.21052631578947367</v>
      </c>
      <c r="Q85" s="2">
        <f t="shared" si="72"/>
        <v>0.21052631578947367</v>
      </c>
      <c r="T85" s="8">
        <f t="shared" si="73"/>
        <v>2.3517745856009076E-2</v>
      </c>
      <c r="U85" s="2">
        <f t="shared" si="74"/>
        <v>2.3517745856009076E-2</v>
      </c>
      <c r="X85" s="8">
        <f t="shared" si="75"/>
        <v>9.3124733826422279E-2</v>
      </c>
      <c r="Y85" s="2">
        <f t="shared" si="76"/>
        <v>9.3124733826422279E-2</v>
      </c>
      <c r="AD85" s="8" t="e">
        <f t="shared" si="77"/>
        <v>#DIV/0!</v>
      </c>
      <c r="AE85" s="2" t="e">
        <f t="shared" si="78"/>
        <v>#DIV/0!</v>
      </c>
      <c r="AG85" s="2" t="e">
        <f t="shared" si="52"/>
        <v>#DIV/0!</v>
      </c>
      <c r="AH85" s="2" t="e">
        <f t="shared" si="53"/>
        <v>#DIV/0!</v>
      </c>
      <c r="AJ85" s="8" t="e">
        <f t="shared" si="79"/>
        <v>#DIV/0!</v>
      </c>
      <c r="AK85" s="2" t="e">
        <f t="shared" si="80"/>
        <v>#DIV/0!</v>
      </c>
      <c r="AM85" s="2" t="e">
        <f t="shared" si="54"/>
        <v>#DIV/0!</v>
      </c>
      <c r="AN85" s="2" t="e">
        <f t="shared" si="55"/>
        <v>#DIV/0!</v>
      </c>
      <c r="AP85" s="8" t="e">
        <f t="shared" si="81"/>
        <v>#DIV/0!</v>
      </c>
      <c r="AQ85" s="2" t="e">
        <f t="shared" si="82"/>
        <v>#DIV/0!</v>
      </c>
      <c r="AS85" s="2" t="e">
        <f t="shared" si="56"/>
        <v>#DIV/0!</v>
      </c>
      <c r="AT85" s="16" t="e">
        <f t="shared" si="57"/>
        <v>#DIV/0!</v>
      </c>
      <c r="AV85" s="8" t="e">
        <f t="shared" si="83"/>
        <v>#DIV/0!</v>
      </c>
      <c r="AW85" s="2" t="e">
        <f t="shared" si="84"/>
        <v>#DIV/0!</v>
      </c>
      <c r="AY85" s="2" t="e">
        <f t="shared" si="58"/>
        <v>#DIV/0!</v>
      </c>
      <c r="AZ85" s="2" t="e">
        <f t="shared" si="59"/>
        <v>#DIV/0!</v>
      </c>
      <c r="BD85" s="8" t="e">
        <f t="shared" si="85"/>
        <v>#DIV/0!</v>
      </c>
      <c r="BE85" s="2" t="e">
        <f t="shared" si="86"/>
        <v>#DIV/0!</v>
      </c>
      <c r="BG85" s="2" t="e">
        <f t="shared" si="60"/>
        <v>#DIV/0!</v>
      </c>
      <c r="BH85" s="2" t="e">
        <f t="shared" si="61"/>
        <v>#DIV/0!</v>
      </c>
      <c r="BL85" s="8" t="e">
        <f t="shared" si="87"/>
        <v>#DIV/0!</v>
      </c>
      <c r="BM85" s="2" t="e">
        <f t="shared" si="88"/>
        <v>#DIV/0!</v>
      </c>
      <c r="BO85" s="2" t="e">
        <f t="shared" si="62"/>
        <v>#DIV/0!</v>
      </c>
      <c r="BP85" s="2" t="e">
        <f t="shared" si="63"/>
        <v>#DIV/0!</v>
      </c>
    </row>
    <row r="86" spans="1:68" x14ac:dyDescent="0.2">
      <c r="A86" s="2">
        <f t="shared" si="50"/>
        <v>3.8333333333333357</v>
      </c>
      <c r="B86" s="2">
        <f t="shared" si="51"/>
        <v>2.1637370719493041E-2</v>
      </c>
      <c r="C86" s="2">
        <f t="shared" si="64"/>
        <v>2.1637370719493041E-2</v>
      </c>
      <c r="D86" s="8">
        <f t="shared" si="65"/>
        <v>2.1637370719493041E-2</v>
      </c>
      <c r="E86" s="2">
        <f t="shared" si="66"/>
        <v>2.1637370719493041E-2</v>
      </c>
      <c r="H86" s="8" t="e">
        <f t="shared" si="67"/>
        <v>#DIV/0!</v>
      </c>
      <c r="I86" s="2" t="e">
        <f t="shared" si="68"/>
        <v>#DIV/0!</v>
      </c>
      <c r="L86" s="8">
        <f t="shared" si="69"/>
        <v>8.9517088522474531E-2</v>
      </c>
      <c r="M86" s="2">
        <f t="shared" si="70"/>
        <v>8.9517088522474531E-2</v>
      </c>
      <c r="P86" s="8">
        <f t="shared" si="71"/>
        <v>0.20689655172413779</v>
      </c>
      <c r="Q86" s="2">
        <f t="shared" si="72"/>
        <v>0.20689655172413779</v>
      </c>
      <c r="T86" s="8">
        <f t="shared" si="73"/>
        <v>2.163737071949301E-2</v>
      </c>
      <c r="U86" s="2">
        <f t="shared" si="74"/>
        <v>2.163737071949301E-2</v>
      </c>
      <c r="X86" s="8">
        <f t="shared" si="75"/>
        <v>8.9517088522474531E-2</v>
      </c>
      <c r="Y86" s="2">
        <f t="shared" si="76"/>
        <v>8.9517088522474531E-2</v>
      </c>
      <c r="AD86" s="8" t="e">
        <f t="shared" si="77"/>
        <v>#DIV/0!</v>
      </c>
      <c r="AE86" s="2" t="e">
        <f t="shared" si="78"/>
        <v>#DIV/0!</v>
      </c>
      <c r="AG86" s="2" t="e">
        <f t="shared" si="52"/>
        <v>#DIV/0!</v>
      </c>
      <c r="AH86" s="2" t="e">
        <f t="shared" si="53"/>
        <v>#DIV/0!</v>
      </c>
      <c r="AJ86" s="8" t="e">
        <f t="shared" si="79"/>
        <v>#DIV/0!</v>
      </c>
      <c r="AK86" s="2" t="e">
        <f t="shared" si="80"/>
        <v>#DIV/0!</v>
      </c>
      <c r="AM86" s="2" t="e">
        <f t="shared" si="54"/>
        <v>#DIV/0!</v>
      </c>
      <c r="AN86" s="2" t="e">
        <f t="shared" si="55"/>
        <v>#DIV/0!</v>
      </c>
      <c r="AP86" s="8" t="e">
        <f t="shared" si="81"/>
        <v>#DIV/0!</v>
      </c>
      <c r="AQ86" s="2" t="e">
        <f t="shared" si="82"/>
        <v>#DIV/0!</v>
      </c>
      <c r="AS86" s="2" t="e">
        <f t="shared" si="56"/>
        <v>#DIV/0!</v>
      </c>
      <c r="AT86" s="16" t="e">
        <f t="shared" si="57"/>
        <v>#DIV/0!</v>
      </c>
      <c r="AV86" s="8" t="e">
        <f t="shared" si="83"/>
        <v>#DIV/0!</v>
      </c>
      <c r="AW86" s="2" t="e">
        <f t="shared" si="84"/>
        <v>#DIV/0!</v>
      </c>
      <c r="AY86" s="2" t="e">
        <f t="shared" si="58"/>
        <v>#DIV/0!</v>
      </c>
      <c r="AZ86" s="2" t="e">
        <f t="shared" si="59"/>
        <v>#DIV/0!</v>
      </c>
      <c r="BD86" s="8" t="e">
        <f t="shared" si="85"/>
        <v>#DIV/0!</v>
      </c>
      <c r="BE86" s="2" t="e">
        <f t="shared" si="86"/>
        <v>#DIV/0!</v>
      </c>
      <c r="BG86" s="2" t="e">
        <f t="shared" si="60"/>
        <v>#DIV/0!</v>
      </c>
      <c r="BH86" s="2" t="e">
        <f t="shared" si="61"/>
        <v>#DIV/0!</v>
      </c>
      <c r="BL86" s="8" t="e">
        <f t="shared" si="87"/>
        <v>#DIV/0!</v>
      </c>
      <c r="BM86" s="2" t="e">
        <f t="shared" si="88"/>
        <v>#DIV/0!</v>
      </c>
      <c r="BO86" s="2" t="e">
        <f t="shared" si="62"/>
        <v>#DIV/0!</v>
      </c>
      <c r="BP86" s="2" t="e">
        <f t="shared" si="63"/>
        <v>#DIV/0!</v>
      </c>
    </row>
    <row r="87" spans="1:68" x14ac:dyDescent="0.2">
      <c r="A87" s="2">
        <f t="shared" si="50"/>
        <v>3.9166666666666692</v>
      </c>
      <c r="B87" s="2">
        <f t="shared" si="51"/>
        <v>1.990734207773363E-2</v>
      </c>
      <c r="C87" s="2">
        <f t="shared" si="64"/>
        <v>1.990734207773363E-2</v>
      </c>
      <c r="D87" s="8">
        <f t="shared" si="65"/>
        <v>1.990734207773363E-2</v>
      </c>
      <c r="E87" s="2">
        <f t="shared" si="66"/>
        <v>1.990734207773363E-2</v>
      </c>
      <c r="H87" s="8" t="e">
        <f t="shared" si="67"/>
        <v>#DIV/0!</v>
      </c>
      <c r="I87" s="2" t="e">
        <f t="shared" si="68"/>
        <v>#DIV/0!</v>
      </c>
      <c r="L87" s="8">
        <f t="shared" si="69"/>
        <v>8.6088665509933771E-2</v>
      </c>
      <c r="M87" s="2">
        <f t="shared" si="70"/>
        <v>8.6088665509933771E-2</v>
      </c>
      <c r="P87" s="8">
        <f t="shared" si="71"/>
        <v>0.20338983050847448</v>
      </c>
      <c r="Q87" s="2">
        <f t="shared" si="72"/>
        <v>0.20338983050847448</v>
      </c>
      <c r="T87" s="8">
        <f t="shared" si="73"/>
        <v>1.9907342077733592E-2</v>
      </c>
      <c r="U87" s="2">
        <f t="shared" si="74"/>
        <v>1.9907342077733592E-2</v>
      </c>
      <c r="X87" s="8">
        <f t="shared" si="75"/>
        <v>8.6088665509933771E-2</v>
      </c>
      <c r="Y87" s="2">
        <f t="shared" si="76"/>
        <v>8.6088665509933771E-2</v>
      </c>
      <c r="AD87" s="8" t="e">
        <f t="shared" si="77"/>
        <v>#DIV/0!</v>
      </c>
      <c r="AE87" s="2" t="e">
        <f t="shared" si="78"/>
        <v>#DIV/0!</v>
      </c>
      <c r="AG87" s="2" t="e">
        <f t="shared" si="52"/>
        <v>#DIV/0!</v>
      </c>
      <c r="AH87" s="2" t="e">
        <f t="shared" si="53"/>
        <v>#DIV/0!</v>
      </c>
      <c r="AJ87" s="8" t="e">
        <f t="shared" si="79"/>
        <v>#DIV/0!</v>
      </c>
      <c r="AK87" s="2" t="e">
        <f t="shared" si="80"/>
        <v>#DIV/0!</v>
      </c>
      <c r="AM87" s="2" t="e">
        <f t="shared" si="54"/>
        <v>#DIV/0!</v>
      </c>
      <c r="AN87" s="2" t="e">
        <f t="shared" si="55"/>
        <v>#DIV/0!</v>
      </c>
      <c r="AP87" s="8" t="e">
        <f t="shared" si="81"/>
        <v>#DIV/0!</v>
      </c>
      <c r="AQ87" s="2" t="e">
        <f t="shared" si="82"/>
        <v>#DIV/0!</v>
      </c>
      <c r="AS87" s="2" t="e">
        <f t="shared" si="56"/>
        <v>#DIV/0!</v>
      </c>
      <c r="AT87" s="16" t="e">
        <f t="shared" si="57"/>
        <v>#DIV/0!</v>
      </c>
      <c r="AV87" s="8" t="e">
        <f t="shared" si="83"/>
        <v>#DIV/0!</v>
      </c>
      <c r="AW87" s="2" t="e">
        <f t="shared" si="84"/>
        <v>#DIV/0!</v>
      </c>
      <c r="AY87" s="2" t="e">
        <f t="shared" si="58"/>
        <v>#DIV/0!</v>
      </c>
      <c r="AZ87" s="2" t="e">
        <f t="shared" si="59"/>
        <v>#DIV/0!</v>
      </c>
      <c r="BD87" s="8" t="e">
        <f t="shared" si="85"/>
        <v>#DIV/0!</v>
      </c>
      <c r="BE87" s="2" t="e">
        <f t="shared" si="86"/>
        <v>#DIV/0!</v>
      </c>
      <c r="BG87" s="2" t="e">
        <f t="shared" si="60"/>
        <v>#DIV/0!</v>
      </c>
      <c r="BH87" s="2" t="e">
        <f t="shared" si="61"/>
        <v>#DIV/0!</v>
      </c>
      <c r="BL87" s="8" t="e">
        <f t="shared" si="87"/>
        <v>#DIV/0!</v>
      </c>
      <c r="BM87" s="2" t="e">
        <f t="shared" si="88"/>
        <v>#DIV/0!</v>
      </c>
      <c r="BO87" s="2" t="e">
        <f t="shared" si="62"/>
        <v>#DIV/0!</v>
      </c>
      <c r="BP87" s="2" t="e">
        <f t="shared" si="63"/>
        <v>#DIV/0!</v>
      </c>
    </row>
    <row r="88" spans="1:68" x14ac:dyDescent="0.2">
      <c r="A88" s="2">
        <f t="shared" si="50"/>
        <v>4.0000000000000027</v>
      </c>
      <c r="B88" s="2">
        <f t="shared" si="51"/>
        <v>1.831563888873413E-2</v>
      </c>
      <c r="C88" s="2">
        <f t="shared" si="64"/>
        <v>1.831563888873413E-2</v>
      </c>
      <c r="D88" s="8">
        <f t="shared" si="65"/>
        <v>1.831563888873413E-2</v>
      </c>
      <c r="E88" s="2">
        <f t="shared" si="66"/>
        <v>1.831563888873413E-2</v>
      </c>
      <c r="H88" s="8" t="e">
        <f t="shared" si="67"/>
        <v>#DIV/0!</v>
      </c>
      <c r="I88" s="2" t="e">
        <f t="shared" si="68"/>
        <v>#DIV/0!</v>
      </c>
      <c r="L88" s="8">
        <f t="shared" si="69"/>
        <v>8.2828519001698409E-2</v>
      </c>
      <c r="M88" s="2">
        <f t="shared" si="70"/>
        <v>8.2828519001698409E-2</v>
      </c>
      <c r="P88" s="8">
        <f t="shared" si="71"/>
        <v>0.19999999999999984</v>
      </c>
      <c r="Q88" s="2">
        <f t="shared" si="72"/>
        <v>0.19999999999999984</v>
      </c>
      <c r="T88" s="8">
        <f t="shared" si="73"/>
        <v>1.8315638888734109E-2</v>
      </c>
      <c r="U88" s="2">
        <f t="shared" si="74"/>
        <v>1.8315638888734109E-2</v>
      </c>
      <c r="X88" s="8">
        <f t="shared" si="75"/>
        <v>8.2828519001698409E-2</v>
      </c>
      <c r="Y88" s="2">
        <f t="shared" si="76"/>
        <v>8.2828519001698409E-2</v>
      </c>
      <c r="AD88" s="8" t="e">
        <f t="shared" si="77"/>
        <v>#DIV/0!</v>
      </c>
      <c r="AE88" s="2" t="e">
        <f t="shared" si="78"/>
        <v>#DIV/0!</v>
      </c>
      <c r="AG88" s="2" t="e">
        <f t="shared" si="52"/>
        <v>#DIV/0!</v>
      </c>
      <c r="AH88" s="2" t="e">
        <f t="shared" si="53"/>
        <v>#DIV/0!</v>
      </c>
      <c r="AJ88" s="8" t="e">
        <f t="shared" si="79"/>
        <v>#DIV/0!</v>
      </c>
      <c r="AK88" s="2" t="e">
        <f t="shared" si="80"/>
        <v>#DIV/0!</v>
      </c>
      <c r="AM88" s="2" t="e">
        <f t="shared" si="54"/>
        <v>#DIV/0!</v>
      </c>
      <c r="AN88" s="2" t="e">
        <f t="shared" si="55"/>
        <v>#DIV/0!</v>
      </c>
      <c r="AP88" s="8" t="e">
        <f t="shared" si="81"/>
        <v>#DIV/0!</v>
      </c>
      <c r="AQ88" s="2" t="e">
        <f t="shared" si="82"/>
        <v>#DIV/0!</v>
      </c>
      <c r="AS88" s="2" t="e">
        <f t="shared" si="56"/>
        <v>#DIV/0!</v>
      </c>
      <c r="AT88" s="16" t="e">
        <f t="shared" si="57"/>
        <v>#DIV/0!</v>
      </c>
      <c r="AV88" s="8" t="e">
        <f t="shared" si="83"/>
        <v>#DIV/0!</v>
      </c>
      <c r="AW88" s="2" t="e">
        <f t="shared" si="84"/>
        <v>#DIV/0!</v>
      </c>
      <c r="AY88" s="2" t="e">
        <f t="shared" si="58"/>
        <v>#DIV/0!</v>
      </c>
      <c r="AZ88" s="2" t="e">
        <f t="shared" si="59"/>
        <v>#DIV/0!</v>
      </c>
      <c r="BD88" s="8" t="e">
        <f t="shared" si="85"/>
        <v>#DIV/0!</v>
      </c>
      <c r="BE88" s="2" t="e">
        <f t="shared" si="86"/>
        <v>#DIV/0!</v>
      </c>
      <c r="BG88" s="2" t="e">
        <f t="shared" si="60"/>
        <v>#DIV/0!</v>
      </c>
      <c r="BH88" s="2" t="e">
        <f t="shared" si="61"/>
        <v>#DIV/0!</v>
      </c>
      <c r="BL88" s="8" t="e">
        <f t="shared" si="87"/>
        <v>#DIV/0!</v>
      </c>
      <c r="BM88" s="2" t="e">
        <f t="shared" si="88"/>
        <v>#DIV/0!</v>
      </c>
      <c r="BO88" s="2" t="e">
        <f t="shared" si="62"/>
        <v>#DIV/0!</v>
      </c>
      <c r="BP88" s="2" t="e">
        <f t="shared" si="63"/>
        <v>#DIV/0!</v>
      </c>
    </row>
    <row r="89" spans="1:68" x14ac:dyDescent="0.2">
      <c r="A89" s="2">
        <f t="shared" si="50"/>
        <v>4.0833333333333357</v>
      </c>
      <c r="B89" s="2">
        <f t="shared" si="51"/>
        <v>1.6851201259947466E-2</v>
      </c>
      <c r="C89" s="2">
        <f t="shared" si="64"/>
        <v>1.6851201259947466E-2</v>
      </c>
      <c r="D89" s="8">
        <f t="shared" si="65"/>
        <v>1.6851201259947466E-2</v>
      </c>
      <c r="E89" s="2">
        <f t="shared" si="66"/>
        <v>1.6851201259947466E-2</v>
      </c>
      <c r="H89" s="8" t="e">
        <f t="shared" si="67"/>
        <v>#DIV/0!</v>
      </c>
      <c r="I89" s="2" t="e">
        <f t="shared" si="68"/>
        <v>#DIV/0!</v>
      </c>
      <c r="L89" s="8">
        <f t="shared" si="69"/>
        <v>7.9726497982045785E-2</v>
      </c>
      <c r="M89" s="2">
        <f t="shared" si="70"/>
        <v>7.9726497982045785E-2</v>
      </c>
      <c r="P89" s="8">
        <f t="shared" si="71"/>
        <v>0.19672131147540972</v>
      </c>
      <c r="Q89" s="2">
        <f t="shared" si="72"/>
        <v>0.19672131147540972</v>
      </c>
      <c r="T89" s="8">
        <f t="shared" si="73"/>
        <v>1.6851201259947435E-2</v>
      </c>
      <c r="U89" s="2">
        <f t="shared" si="74"/>
        <v>1.6851201259947435E-2</v>
      </c>
      <c r="X89" s="8">
        <f t="shared" si="75"/>
        <v>7.9726497982045785E-2</v>
      </c>
      <c r="Y89" s="2">
        <f t="shared" si="76"/>
        <v>7.9726497982045785E-2</v>
      </c>
      <c r="AD89" s="8" t="e">
        <f t="shared" si="77"/>
        <v>#DIV/0!</v>
      </c>
      <c r="AE89" s="2" t="e">
        <f t="shared" si="78"/>
        <v>#DIV/0!</v>
      </c>
      <c r="AG89" s="2" t="e">
        <f t="shared" si="52"/>
        <v>#DIV/0!</v>
      </c>
      <c r="AH89" s="2" t="e">
        <f t="shared" si="53"/>
        <v>#DIV/0!</v>
      </c>
      <c r="AJ89" s="8" t="e">
        <f t="shared" si="79"/>
        <v>#DIV/0!</v>
      </c>
      <c r="AK89" s="2" t="e">
        <f t="shared" si="80"/>
        <v>#DIV/0!</v>
      </c>
      <c r="AM89" s="2" t="e">
        <f t="shared" si="54"/>
        <v>#DIV/0!</v>
      </c>
      <c r="AN89" s="2" t="e">
        <f t="shared" si="55"/>
        <v>#DIV/0!</v>
      </c>
      <c r="AP89" s="8" t="e">
        <f t="shared" si="81"/>
        <v>#DIV/0!</v>
      </c>
      <c r="AQ89" s="2" t="e">
        <f t="shared" si="82"/>
        <v>#DIV/0!</v>
      </c>
      <c r="AS89" s="2" t="e">
        <f t="shared" si="56"/>
        <v>#DIV/0!</v>
      </c>
      <c r="AT89" s="16" t="e">
        <f t="shared" si="57"/>
        <v>#DIV/0!</v>
      </c>
      <c r="AV89" s="8" t="e">
        <f t="shared" si="83"/>
        <v>#DIV/0!</v>
      </c>
      <c r="AW89" s="2" t="e">
        <f t="shared" si="84"/>
        <v>#DIV/0!</v>
      </c>
      <c r="AY89" s="2" t="e">
        <f t="shared" si="58"/>
        <v>#DIV/0!</v>
      </c>
      <c r="AZ89" s="2" t="e">
        <f t="shared" si="59"/>
        <v>#DIV/0!</v>
      </c>
      <c r="BD89" s="8" t="e">
        <f t="shared" si="85"/>
        <v>#DIV/0!</v>
      </c>
      <c r="BE89" s="2" t="e">
        <f t="shared" si="86"/>
        <v>#DIV/0!</v>
      </c>
      <c r="BG89" s="2" t="e">
        <f t="shared" si="60"/>
        <v>#DIV/0!</v>
      </c>
      <c r="BH89" s="2" t="e">
        <f t="shared" si="61"/>
        <v>#DIV/0!</v>
      </c>
      <c r="BL89" s="8" t="e">
        <f t="shared" si="87"/>
        <v>#DIV/0!</v>
      </c>
      <c r="BM89" s="2" t="e">
        <f t="shared" si="88"/>
        <v>#DIV/0!</v>
      </c>
      <c r="BO89" s="2" t="e">
        <f t="shared" si="62"/>
        <v>#DIV/0!</v>
      </c>
      <c r="BP89" s="2" t="e">
        <f t="shared" si="63"/>
        <v>#DIV/0!</v>
      </c>
    </row>
    <row r="90" spans="1:68" x14ac:dyDescent="0.2">
      <c r="A90" s="2">
        <f t="shared" si="50"/>
        <v>4.1666666666666687</v>
      </c>
      <c r="B90" s="2">
        <f t="shared" si="51"/>
        <v>1.5503853599009286E-2</v>
      </c>
      <c r="C90" s="2">
        <f t="shared" si="64"/>
        <v>1.5503853599009286E-2</v>
      </c>
      <c r="D90" s="8">
        <f t="shared" si="65"/>
        <v>1.5503853599009286E-2</v>
      </c>
      <c r="E90" s="2">
        <f t="shared" si="66"/>
        <v>1.5503853599009286E-2</v>
      </c>
      <c r="H90" s="8" t="e">
        <f t="shared" si="67"/>
        <v>#DIV/0!</v>
      </c>
      <c r="I90" s="2" t="e">
        <f t="shared" si="68"/>
        <v>#DIV/0!</v>
      </c>
      <c r="L90" s="8">
        <f t="shared" si="69"/>
        <v>7.677317943158557E-2</v>
      </c>
      <c r="M90" s="2">
        <f t="shared" si="70"/>
        <v>7.677317943158557E-2</v>
      </c>
      <c r="P90" s="8">
        <f t="shared" si="71"/>
        <v>0.19354838709677402</v>
      </c>
      <c r="Q90" s="2">
        <f t="shared" si="72"/>
        <v>0.19354838709677402</v>
      </c>
      <c r="T90" s="8">
        <f t="shared" si="73"/>
        <v>1.5503853599009298E-2</v>
      </c>
      <c r="U90" s="2">
        <f t="shared" si="74"/>
        <v>1.5503853599009298E-2</v>
      </c>
      <c r="X90" s="8">
        <f t="shared" si="75"/>
        <v>7.677317943158557E-2</v>
      </c>
      <c r="Y90" s="2">
        <f t="shared" si="76"/>
        <v>7.677317943158557E-2</v>
      </c>
      <c r="AD90" s="8" t="e">
        <f t="shared" si="77"/>
        <v>#DIV/0!</v>
      </c>
      <c r="AE90" s="2" t="e">
        <f t="shared" si="78"/>
        <v>#DIV/0!</v>
      </c>
      <c r="AG90" s="2" t="e">
        <f t="shared" si="52"/>
        <v>#DIV/0!</v>
      </c>
      <c r="AH90" s="2" t="e">
        <f t="shared" si="53"/>
        <v>#DIV/0!</v>
      </c>
      <c r="AJ90" s="8" t="e">
        <f t="shared" si="79"/>
        <v>#DIV/0!</v>
      </c>
      <c r="AK90" s="2" t="e">
        <f t="shared" si="80"/>
        <v>#DIV/0!</v>
      </c>
      <c r="AM90" s="2" t="e">
        <f t="shared" si="54"/>
        <v>#DIV/0!</v>
      </c>
      <c r="AN90" s="2" t="e">
        <f t="shared" si="55"/>
        <v>#DIV/0!</v>
      </c>
      <c r="AP90" s="8" t="e">
        <f t="shared" si="81"/>
        <v>#DIV/0!</v>
      </c>
      <c r="AQ90" s="2" t="e">
        <f t="shared" si="82"/>
        <v>#DIV/0!</v>
      </c>
      <c r="AS90" s="2" t="e">
        <f t="shared" si="56"/>
        <v>#DIV/0!</v>
      </c>
      <c r="AT90" s="16" t="e">
        <f t="shared" si="57"/>
        <v>#DIV/0!</v>
      </c>
      <c r="AV90" s="8" t="e">
        <f t="shared" si="83"/>
        <v>#DIV/0!</v>
      </c>
      <c r="AW90" s="2" t="e">
        <f t="shared" si="84"/>
        <v>#DIV/0!</v>
      </c>
      <c r="AY90" s="2" t="e">
        <f t="shared" si="58"/>
        <v>#DIV/0!</v>
      </c>
      <c r="AZ90" s="2" t="e">
        <f t="shared" si="59"/>
        <v>#DIV/0!</v>
      </c>
      <c r="BD90" s="8" t="e">
        <f t="shared" si="85"/>
        <v>#DIV/0!</v>
      </c>
      <c r="BE90" s="2" t="e">
        <f t="shared" si="86"/>
        <v>#DIV/0!</v>
      </c>
      <c r="BG90" s="2" t="e">
        <f t="shared" si="60"/>
        <v>#DIV/0!</v>
      </c>
      <c r="BH90" s="2" t="e">
        <f t="shared" si="61"/>
        <v>#DIV/0!</v>
      </c>
      <c r="BL90" s="8" t="e">
        <f t="shared" si="87"/>
        <v>#DIV/0!</v>
      </c>
      <c r="BM90" s="2" t="e">
        <f t="shared" si="88"/>
        <v>#DIV/0!</v>
      </c>
      <c r="BO90" s="2" t="e">
        <f t="shared" si="62"/>
        <v>#DIV/0!</v>
      </c>
      <c r="BP90" s="2" t="e">
        <f t="shared" si="63"/>
        <v>#DIV/0!</v>
      </c>
    </row>
    <row r="91" spans="1:68" x14ac:dyDescent="0.2">
      <c r="A91" s="2">
        <f t="shared" si="50"/>
        <v>4.2500000000000018</v>
      </c>
      <c r="B91" s="2">
        <f t="shared" si="51"/>
        <v>1.4264233908999229E-2</v>
      </c>
      <c r="C91" s="2">
        <f t="shared" si="64"/>
        <v>1.4264233908999229E-2</v>
      </c>
      <c r="D91" s="8">
        <f t="shared" si="65"/>
        <v>1.4264233908999229E-2</v>
      </c>
      <c r="E91" s="2">
        <f t="shared" si="66"/>
        <v>1.4264233908999229E-2</v>
      </c>
      <c r="H91" s="8" t="e">
        <f t="shared" si="67"/>
        <v>#DIV/0!</v>
      </c>
      <c r="I91" s="2" t="e">
        <f t="shared" si="68"/>
        <v>#DIV/0!</v>
      </c>
      <c r="L91" s="8">
        <f t="shared" si="69"/>
        <v>7.3959807899369845E-2</v>
      </c>
      <c r="M91" s="2">
        <f t="shared" si="70"/>
        <v>7.3959807899369845E-2</v>
      </c>
      <c r="P91" s="8">
        <f t="shared" si="71"/>
        <v>0.19047619047619035</v>
      </c>
      <c r="Q91" s="2">
        <f t="shared" si="72"/>
        <v>0.19047619047619035</v>
      </c>
      <c r="T91" s="8">
        <f t="shared" si="73"/>
        <v>1.4264233908999224E-2</v>
      </c>
      <c r="U91" s="2">
        <f t="shared" si="74"/>
        <v>1.4264233908999224E-2</v>
      </c>
      <c r="X91" s="8">
        <f t="shared" si="75"/>
        <v>7.3959807899369845E-2</v>
      </c>
      <c r="Y91" s="2">
        <f t="shared" si="76"/>
        <v>7.3959807899369845E-2</v>
      </c>
      <c r="AD91" s="8" t="e">
        <f t="shared" si="77"/>
        <v>#DIV/0!</v>
      </c>
      <c r="AE91" s="2" t="e">
        <f t="shared" si="78"/>
        <v>#DIV/0!</v>
      </c>
      <c r="AG91" s="2" t="e">
        <f t="shared" si="52"/>
        <v>#DIV/0!</v>
      </c>
      <c r="AH91" s="2" t="e">
        <f t="shared" si="53"/>
        <v>#DIV/0!</v>
      </c>
      <c r="AJ91" s="8" t="e">
        <f t="shared" si="79"/>
        <v>#DIV/0!</v>
      </c>
      <c r="AK91" s="2" t="e">
        <f t="shared" si="80"/>
        <v>#DIV/0!</v>
      </c>
      <c r="AM91" s="2" t="e">
        <f t="shared" si="54"/>
        <v>#DIV/0!</v>
      </c>
      <c r="AN91" s="2" t="e">
        <f t="shared" si="55"/>
        <v>#DIV/0!</v>
      </c>
      <c r="AP91" s="8" t="e">
        <f t="shared" si="81"/>
        <v>#DIV/0!</v>
      </c>
      <c r="AQ91" s="2" t="e">
        <f t="shared" si="82"/>
        <v>#DIV/0!</v>
      </c>
      <c r="AS91" s="2" t="e">
        <f t="shared" si="56"/>
        <v>#DIV/0!</v>
      </c>
      <c r="AT91" s="16" t="e">
        <f t="shared" si="57"/>
        <v>#DIV/0!</v>
      </c>
      <c r="AV91" s="8" t="e">
        <f t="shared" si="83"/>
        <v>#DIV/0!</v>
      </c>
      <c r="AW91" s="2" t="e">
        <f t="shared" si="84"/>
        <v>#DIV/0!</v>
      </c>
      <c r="AY91" s="2" t="e">
        <f t="shared" si="58"/>
        <v>#DIV/0!</v>
      </c>
      <c r="AZ91" s="2" t="e">
        <f t="shared" si="59"/>
        <v>#DIV/0!</v>
      </c>
      <c r="BD91" s="8" t="e">
        <f t="shared" si="85"/>
        <v>#DIV/0!</v>
      </c>
      <c r="BE91" s="2" t="e">
        <f t="shared" si="86"/>
        <v>#DIV/0!</v>
      </c>
      <c r="BG91" s="2" t="e">
        <f t="shared" si="60"/>
        <v>#DIV/0!</v>
      </c>
      <c r="BH91" s="2" t="e">
        <f t="shared" si="61"/>
        <v>#DIV/0!</v>
      </c>
      <c r="BL91" s="8" t="e">
        <f t="shared" si="87"/>
        <v>#DIV/0!</v>
      </c>
      <c r="BM91" s="2" t="e">
        <f t="shared" si="88"/>
        <v>#DIV/0!</v>
      </c>
      <c r="BO91" s="2" t="e">
        <f t="shared" si="62"/>
        <v>#DIV/0!</v>
      </c>
      <c r="BP91" s="2" t="e">
        <f t="shared" si="63"/>
        <v>#DIV/0!</v>
      </c>
    </row>
    <row r="92" spans="1:68" x14ac:dyDescent="0.2">
      <c r="A92" s="2">
        <f t="shared" si="50"/>
        <v>4.3333333333333348</v>
      </c>
      <c r="B92" s="2">
        <f t="shared" si="51"/>
        <v>1.3123728736940943E-2</v>
      </c>
      <c r="C92" s="2">
        <f t="shared" si="64"/>
        <v>1.3123728736940943E-2</v>
      </c>
      <c r="D92" s="8">
        <f t="shared" si="65"/>
        <v>1.3123728736940943E-2</v>
      </c>
      <c r="E92" s="2">
        <f t="shared" si="66"/>
        <v>1.3123728736940943E-2</v>
      </c>
      <c r="H92" s="8" t="e">
        <f t="shared" si="67"/>
        <v>#DIV/0!</v>
      </c>
      <c r="I92" s="2" t="e">
        <f t="shared" si="68"/>
        <v>#DIV/0!</v>
      </c>
      <c r="L92" s="8">
        <f t="shared" si="69"/>
        <v>7.1278240752786548E-2</v>
      </c>
      <c r="M92" s="2">
        <f t="shared" si="70"/>
        <v>7.1278240752786548E-2</v>
      </c>
      <c r="P92" s="8">
        <f t="shared" si="71"/>
        <v>0.18749999999999989</v>
      </c>
      <c r="Q92" s="2">
        <f t="shared" si="72"/>
        <v>0.18749999999999989</v>
      </c>
      <c r="T92" s="8">
        <f t="shared" si="73"/>
        <v>1.3123728736940898E-2</v>
      </c>
      <c r="U92" s="2">
        <f t="shared" si="74"/>
        <v>1.3123728736940898E-2</v>
      </c>
      <c r="X92" s="8">
        <f t="shared" si="75"/>
        <v>7.1278240752786548E-2</v>
      </c>
      <c r="Y92" s="2">
        <f t="shared" si="76"/>
        <v>7.1278240752786548E-2</v>
      </c>
      <c r="AD92" s="8" t="e">
        <f t="shared" si="77"/>
        <v>#DIV/0!</v>
      </c>
      <c r="AE92" s="2" t="e">
        <f t="shared" si="78"/>
        <v>#DIV/0!</v>
      </c>
      <c r="AG92" s="2" t="e">
        <f t="shared" si="52"/>
        <v>#DIV/0!</v>
      </c>
      <c r="AH92" s="2" t="e">
        <f t="shared" si="53"/>
        <v>#DIV/0!</v>
      </c>
      <c r="AJ92" s="8" t="e">
        <f t="shared" si="79"/>
        <v>#DIV/0!</v>
      </c>
      <c r="AK92" s="2" t="e">
        <f t="shared" si="80"/>
        <v>#DIV/0!</v>
      </c>
      <c r="AM92" s="2" t="e">
        <f t="shared" si="54"/>
        <v>#DIV/0!</v>
      </c>
      <c r="AN92" s="2" t="e">
        <f t="shared" si="55"/>
        <v>#DIV/0!</v>
      </c>
      <c r="AP92" s="8" t="e">
        <f t="shared" si="81"/>
        <v>#DIV/0!</v>
      </c>
      <c r="AQ92" s="2" t="e">
        <f t="shared" si="82"/>
        <v>#DIV/0!</v>
      </c>
      <c r="AS92" s="2" t="e">
        <f t="shared" si="56"/>
        <v>#DIV/0!</v>
      </c>
      <c r="AT92" s="16" t="e">
        <f t="shared" si="57"/>
        <v>#DIV/0!</v>
      </c>
      <c r="AV92" s="8" t="e">
        <f t="shared" si="83"/>
        <v>#DIV/0!</v>
      </c>
      <c r="AW92" s="2" t="e">
        <f t="shared" si="84"/>
        <v>#DIV/0!</v>
      </c>
      <c r="AY92" s="2" t="e">
        <f t="shared" si="58"/>
        <v>#DIV/0!</v>
      </c>
      <c r="AZ92" s="2" t="e">
        <f t="shared" si="59"/>
        <v>#DIV/0!</v>
      </c>
      <c r="BD92" s="8" t="e">
        <f t="shared" si="85"/>
        <v>#DIV/0!</v>
      </c>
      <c r="BE92" s="2" t="e">
        <f t="shared" si="86"/>
        <v>#DIV/0!</v>
      </c>
      <c r="BG92" s="2" t="e">
        <f t="shared" si="60"/>
        <v>#DIV/0!</v>
      </c>
      <c r="BH92" s="2" t="e">
        <f t="shared" si="61"/>
        <v>#DIV/0!</v>
      </c>
      <c r="BL92" s="8" t="e">
        <f t="shared" si="87"/>
        <v>#DIV/0!</v>
      </c>
      <c r="BM92" s="2" t="e">
        <f t="shared" si="88"/>
        <v>#DIV/0!</v>
      </c>
      <c r="BO92" s="2" t="e">
        <f t="shared" si="62"/>
        <v>#DIV/0!</v>
      </c>
      <c r="BP92" s="2" t="e">
        <f t="shared" si="63"/>
        <v>#DIV/0!</v>
      </c>
    </row>
    <row r="93" spans="1:68" x14ac:dyDescent="0.2">
      <c r="A93" s="2">
        <f t="shared" si="50"/>
        <v>4.4166666666666679</v>
      </c>
      <c r="B93" s="2">
        <f t="shared" si="51"/>
        <v>1.2074413323532861E-2</v>
      </c>
      <c r="C93" s="2">
        <f t="shared" si="64"/>
        <v>1.2074413323532861E-2</v>
      </c>
      <c r="D93" s="8">
        <f t="shared" si="65"/>
        <v>1.2074413323532861E-2</v>
      </c>
      <c r="E93" s="2">
        <f t="shared" si="66"/>
        <v>1.2074413323532861E-2</v>
      </c>
      <c r="H93" s="8" t="e">
        <f t="shared" si="67"/>
        <v>#DIV/0!</v>
      </c>
      <c r="I93" s="2" t="e">
        <f t="shared" si="68"/>
        <v>#DIV/0!</v>
      </c>
      <c r="L93" s="8">
        <f t="shared" si="69"/>
        <v>6.8720898512798168E-2</v>
      </c>
      <c r="M93" s="2">
        <f t="shared" si="70"/>
        <v>6.8720898512798168E-2</v>
      </c>
      <c r="P93" s="8">
        <f t="shared" si="71"/>
        <v>0.18461538461538463</v>
      </c>
      <c r="Q93" s="2">
        <f t="shared" si="72"/>
        <v>0.18461538461538463</v>
      </c>
      <c r="T93" s="8">
        <f t="shared" si="73"/>
        <v>1.2074413323532873E-2</v>
      </c>
      <c r="U93" s="2">
        <f t="shared" si="74"/>
        <v>1.2074413323532873E-2</v>
      </c>
      <c r="X93" s="8">
        <f t="shared" si="75"/>
        <v>6.8720898512798168E-2</v>
      </c>
      <c r="Y93" s="2">
        <f t="shared" si="76"/>
        <v>6.8720898512798168E-2</v>
      </c>
      <c r="AD93" s="8" t="e">
        <f t="shared" si="77"/>
        <v>#DIV/0!</v>
      </c>
      <c r="AE93" s="2" t="e">
        <f t="shared" si="78"/>
        <v>#DIV/0!</v>
      </c>
      <c r="AG93" s="2" t="e">
        <f t="shared" si="52"/>
        <v>#DIV/0!</v>
      </c>
      <c r="AH93" s="2" t="e">
        <f t="shared" si="53"/>
        <v>#DIV/0!</v>
      </c>
      <c r="AJ93" s="8" t="e">
        <f t="shared" si="79"/>
        <v>#DIV/0!</v>
      </c>
      <c r="AK93" s="2" t="e">
        <f t="shared" si="80"/>
        <v>#DIV/0!</v>
      </c>
      <c r="AM93" s="2" t="e">
        <f t="shared" si="54"/>
        <v>#DIV/0!</v>
      </c>
      <c r="AN93" s="2" t="e">
        <f t="shared" si="55"/>
        <v>#DIV/0!</v>
      </c>
      <c r="AP93" s="8" t="e">
        <f t="shared" si="81"/>
        <v>#DIV/0!</v>
      </c>
      <c r="AQ93" s="2" t="e">
        <f t="shared" si="82"/>
        <v>#DIV/0!</v>
      </c>
      <c r="AS93" s="2" t="e">
        <f t="shared" si="56"/>
        <v>#DIV/0!</v>
      </c>
      <c r="AT93" s="16" t="e">
        <f t="shared" si="57"/>
        <v>#DIV/0!</v>
      </c>
      <c r="AV93" s="8" t="e">
        <f t="shared" si="83"/>
        <v>#DIV/0!</v>
      </c>
      <c r="AW93" s="2" t="e">
        <f t="shared" si="84"/>
        <v>#DIV/0!</v>
      </c>
      <c r="AY93" s="2" t="e">
        <f t="shared" si="58"/>
        <v>#DIV/0!</v>
      </c>
      <c r="AZ93" s="2" t="e">
        <f t="shared" si="59"/>
        <v>#DIV/0!</v>
      </c>
      <c r="BD93" s="8" t="e">
        <f t="shared" si="85"/>
        <v>#DIV/0!</v>
      </c>
      <c r="BE93" s="2" t="e">
        <f t="shared" si="86"/>
        <v>#DIV/0!</v>
      </c>
      <c r="BG93" s="2" t="e">
        <f t="shared" si="60"/>
        <v>#DIV/0!</v>
      </c>
      <c r="BH93" s="2" t="e">
        <f t="shared" si="61"/>
        <v>#DIV/0!</v>
      </c>
      <c r="BL93" s="8" t="e">
        <f t="shared" si="87"/>
        <v>#DIV/0!</v>
      </c>
      <c r="BM93" s="2" t="e">
        <f t="shared" si="88"/>
        <v>#DIV/0!</v>
      </c>
      <c r="BO93" s="2" t="e">
        <f t="shared" si="62"/>
        <v>#DIV/0!</v>
      </c>
      <c r="BP93" s="2" t="e">
        <f t="shared" si="63"/>
        <v>#DIV/0!</v>
      </c>
    </row>
    <row r="94" spans="1:68" x14ac:dyDescent="0.2">
      <c r="A94" s="2">
        <f t="shared" si="50"/>
        <v>4.5000000000000009</v>
      </c>
      <c r="B94" s="2">
        <f t="shared" si="51"/>
        <v>1.1108996538242297E-2</v>
      </c>
      <c r="C94" s="2">
        <f t="shared" si="64"/>
        <v>1.1108996538242297E-2</v>
      </c>
      <c r="D94" s="8">
        <f t="shared" si="65"/>
        <v>1.1108996538242297E-2</v>
      </c>
      <c r="E94" s="2">
        <f t="shared" si="66"/>
        <v>1.1108996538242297E-2</v>
      </c>
      <c r="H94" s="8" t="e">
        <f t="shared" si="67"/>
        <v>#DIV/0!</v>
      </c>
      <c r="I94" s="2" t="e">
        <f t="shared" si="68"/>
        <v>#DIV/0!</v>
      </c>
      <c r="L94" s="8">
        <f t="shared" si="69"/>
        <v>6.6280719749549299E-2</v>
      </c>
      <c r="M94" s="2">
        <f t="shared" si="70"/>
        <v>6.6280719749549299E-2</v>
      </c>
      <c r="P94" s="8">
        <f t="shared" si="71"/>
        <v>0.18181818181818177</v>
      </c>
      <c r="Q94" s="2">
        <f t="shared" si="72"/>
        <v>0.18181818181818177</v>
      </c>
      <c r="T94" s="8">
        <f t="shared" si="73"/>
        <v>1.1108996538242266E-2</v>
      </c>
      <c r="U94" s="2">
        <f t="shared" si="74"/>
        <v>1.1108996538242266E-2</v>
      </c>
      <c r="X94" s="8">
        <f t="shared" si="75"/>
        <v>6.6280719749549299E-2</v>
      </c>
      <c r="Y94" s="2">
        <f t="shared" si="76"/>
        <v>6.6280719749549299E-2</v>
      </c>
      <c r="AD94" s="8" t="e">
        <f t="shared" si="77"/>
        <v>#DIV/0!</v>
      </c>
      <c r="AE94" s="2" t="e">
        <f t="shared" si="78"/>
        <v>#DIV/0!</v>
      </c>
      <c r="AG94" s="2" t="e">
        <f t="shared" si="52"/>
        <v>#DIV/0!</v>
      </c>
      <c r="AH94" s="2" t="e">
        <f t="shared" si="53"/>
        <v>#DIV/0!</v>
      </c>
      <c r="AJ94" s="8" t="e">
        <f t="shared" si="79"/>
        <v>#DIV/0!</v>
      </c>
      <c r="AK94" s="2" t="e">
        <f t="shared" si="80"/>
        <v>#DIV/0!</v>
      </c>
      <c r="AM94" s="2" t="e">
        <f t="shared" si="54"/>
        <v>#DIV/0!</v>
      </c>
      <c r="AN94" s="2" t="e">
        <f t="shared" si="55"/>
        <v>#DIV/0!</v>
      </c>
      <c r="AP94" s="8" t="e">
        <f t="shared" si="81"/>
        <v>#DIV/0!</v>
      </c>
      <c r="AQ94" s="2" t="e">
        <f t="shared" si="82"/>
        <v>#DIV/0!</v>
      </c>
      <c r="AS94" s="2" t="e">
        <f t="shared" si="56"/>
        <v>#DIV/0!</v>
      </c>
      <c r="AT94" s="16" t="e">
        <f t="shared" si="57"/>
        <v>#DIV/0!</v>
      </c>
      <c r="AV94" s="8" t="e">
        <f t="shared" si="83"/>
        <v>#DIV/0!</v>
      </c>
      <c r="AW94" s="2" t="e">
        <f t="shared" si="84"/>
        <v>#DIV/0!</v>
      </c>
      <c r="AY94" s="2" t="e">
        <f t="shared" si="58"/>
        <v>#DIV/0!</v>
      </c>
      <c r="AZ94" s="2" t="e">
        <f t="shared" si="59"/>
        <v>#DIV/0!</v>
      </c>
      <c r="BD94" s="8" t="e">
        <f t="shared" si="85"/>
        <v>#DIV/0!</v>
      </c>
      <c r="BE94" s="2" t="e">
        <f t="shared" si="86"/>
        <v>#DIV/0!</v>
      </c>
      <c r="BG94" s="2" t="e">
        <f t="shared" si="60"/>
        <v>#DIV/0!</v>
      </c>
      <c r="BH94" s="2" t="e">
        <f t="shared" si="61"/>
        <v>#DIV/0!</v>
      </c>
      <c r="BL94" s="8" t="e">
        <f t="shared" si="87"/>
        <v>#DIV/0!</v>
      </c>
      <c r="BM94" s="2" t="e">
        <f t="shared" si="88"/>
        <v>#DIV/0!</v>
      </c>
      <c r="BO94" s="2" t="e">
        <f t="shared" si="62"/>
        <v>#DIV/0!</v>
      </c>
      <c r="BP94" s="2" t="e">
        <f t="shared" si="63"/>
        <v>#DIV/0!</v>
      </c>
    </row>
    <row r="95" spans="1:68" x14ac:dyDescent="0.2">
      <c r="A95" s="2">
        <f t="shared" si="50"/>
        <v>4.5833333333333339</v>
      </c>
      <c r="B95" s="2">
        <f t="shared" si="51"/>
        <v>1.0220770217146315E-2</v>
      </c>
      <c r="C95" s="2">
        <f t="shared" si="64"/>
        <v>1.0220770217146315E-2</v>
      </c>
      <c r="D95" s="8">
        <f t="shared" si="65"/>
        <v>1.0220770217146315E-2</v>
      </c>
      <c r="E95" s="2">
        <f t="shared" si="66"/>
        <v>1.0220770217146315E-2</v>
      </c>
      <c r="H95" s="8" t="e">
        <f t="shared" si="67"/>
        <v>#DIV/0!</v>
      </c>
      <c r="I95" s="2" t="e">
        <f t="shared" si="68"/>
        <v>#DIV/0!</v>
      </c>
      <c r="L95" s="8">
        <f t="shared" si="69"/>
        <v>6.3951120072597178E-2</v>
      </c>
      <c r="M95" s="2">
        <f t="shared" si="70"/>
        <v>6.3951120072597178E-2</v>
      </c>
      <c r="P95" s="8">
        <f t="shared" si="71"/>
        <v>0.17910447761194037</v>
      </c>
      <c r="Q95" s="2">
        <f t="shared" si="72"/>
        <v>0.17910447761194037</v>
      </c>
      <c r="T95" s="8">
        <f t="shared" si="73"/>
        <v>1.0220770217146291E-2</v>
      </c>
      <c r="U95" s="2">
        <f t="shared" si="74"/>
        <v>1.0220770217146291E-2</v>
      </c>
      <c r="X95" s="8">
        <f t="shared" si="75"/>
        <v>6.3951120072597178E-2</v>
      </c>
      <c r="Y95" s="2">
        <f t="shared" si="76"/>
        <v>6.3951120072597178E-2</v>
      </c>
      <c r="AD95" s="8" t="e">
        <f t="shared" si="77"/>
        <v>#DIV/0!</v>
      </c>
      <c r="AE95" s="2" t="e">
        <f t="shared" si="78"/>
        <v>#DIV/0!</v>
      </c>
      <c r="AG95" s="2" t="e">
        <f t="shared" si="52"/>
        <v>#DIV/0!</v>
      </c>
      <c r="AH95" s="2" t="e">
        <f t="shared" si="53"/>
        <v>#DIV/0!</v>
      </c>
      <c r="AJ95" s="8" t="e">
        <f t="shared" si="79"/>
        <v>#DIV/0!</v>
      </c>
      <c r="AK95" s="2" t="e">
        <f t="shared" si="80"/>
        <v>#DIV/0!</v>
      </c>
      <c r="AM95" s="2" t="e">
        <f t="shared" si="54"/>
        <v>#DIV/0!</v>
      </c>
      <c r="AN95" s="2" t="e">
        <f t="shared" si="55"/>
        <v>#DIV/0!</v>
      </c>
      <c r="AP95" s="8" t="e">
        <f t="shared" si="81"/>
        <v>#DIV/0!</v>
      </c>
      <c r="AQ95" s="2" t="e">
        <f t="shared" si="82"/>
        <v>#DIV/0!</v>
      </c>
      <c r="AS95" s="2" t="e">
        <f t="shared" si="56"/>
        <v>#DIV/0!</v>
      </c>
      <c r="AT95" s="16" t="e">
        <f t="shared" si="57"/>
        <v>#DIV/0!</v>
      </c>
      <c r="AV95" s="8" t="e">
        <f t="shared" si="83"/>
        <v>#DIV/0!</v>
      </c>
      <c r="AW95" s="2" t="e">
        <f t="shared" si="84"/>
        <v>#DIV/0!</v>
      </c>
      <c r="AY95" s="2" t="e">
        <f t="shared" si="58"/>
        <v>#DIV/0!</v>
      </c>
      <c r="AZ95" s="2" t="e">
        <f t="shared" si="59"/>
        <v>#DIV/0!</v>
      </c>
      <c r="BD95" s="8" t="e">
        <f t="shared" si="85"/>
        <v>#DIV/0!</v>
      </c>
      <c r="BE95" s="2" t="e">
        <f t="shared" si="86"/>
        <v>#DIV/0!</v>
      </c>
      <c r="BG95" s="2" t="e">
        <f t="shared" si="60"/>
        <v>#DIV/0!</v>
      </c>
      <c r="BH95" s="2" t="e">
        <f t="shared" si="61"/>
        <v>#DIV/0!</v>
      </c>
      <c r="BL95" s="8" t="e">
        <f t="shared" si="87"/>
        <v>#DIV/0!</v>
      </c>
      <c r="BM95" s="2" t="e">
        <f t="shared" si="88"/>
        <v>#DIV/0!</v>
      </c>
      <c r="BO95" s="2" t="e">
        <f t="shared" si="62"/>
        <v>#DIV/0!</v>
      </c>
      <c r="BP95" s="2" t="e">
        <f t="shared" si="63"/>
        <v>#DIV/0!</v>
      </c>
    </row>
    <row r="96" spans="1:68" x14ac:dyDescent="0.2">
      <c r="A96" s="2">
        <f t="shared" si="50"/>
        <v>4.666666666666667</v>
      </c>
      <c r="B96" s="2">
        <f t="shared" si="51"/>
        <v>9.4035625514952061E-3</v>
      </c>
      <c r="C96" s="2">
        <f t="shared" si="64"/>
        <v>9.4035625514952061E-3</v>
      </c>
      <c r="D96" s="8">
        <f t="shared" si="65"/>
        <v>9.4035625514952061E-3</v>
      </c>
      <c r="E96" s="2">
        <f t="shared" si="66"/>
        <v>9.4035625514952061E-3</v>
      </c>
      <c r="H96" s="8" t="e">
        <f t="shared" si="67"/>
        <v>#DIV/0!</v>
      </c>
      <c r="I96" s="2" t="e">
        <f t="shared" si="68"/>
        <v>#DIV/0!</v>
      </c>
      <c r="L96" s="8">
        <f t="shared" si="69"/>
        <v>6.1725954802054339E-2</v>
      </c>
      <c r="M96" s="2">
        <f t="shared" si="70"/>
        <v>6.1725954802054339E-2</v>
      </c>
      <c r="P96" s="8">
        <f t="shared" si="71"/>
        <v>0.17647058823529405</v>
      </c>
      <c r="Q96" s="2">
        <f t="shared" si="72"/>
        <v>0.17647058823529405</v>
      </c>
      <c r="T96" s="8">
        <f t="shared" si="73"/>
        <v>9.4035625514952148E-3</v>
      </c>
      <c r="U96" s="2">
        <f t="shared" si="74"/>
        <v>9.4035625514952148E-3</v>
      </c>
      <c r="X96" s="8">
        <f t="shared" si="75"/>
        <v>6.1725954802054339E-2</v>
      </c>
      <c r="Y96" s="2">
        <f t="shared" si="76"/>
        <v>6.1725954802054339E-2</v>
      </c>
      <c r="AD96" s="8" t="e">
        <f t="shared" si="77"/>
        <v>#DIV/0!</v>
      </c>
      <c r="AE96" s="2" t="e">
        <f t="shared" si="78"/>
        <v>#DIV/0!</v>
      </c>
      <c r="AG96" s="2" t="e">
        <f t="shared" si="52"/>
        <v>#DIV/0!</v>
      </c>
      <c r="AH96" s="2" t="e">
        <f t="shared" si="53"/>
        <v>#DIV/0!</v>
      </c>
      <c r="AJ96" s="8" t="e">
        <f t="shared" si="79"/>
        <v>#DIV/0!</v>
      </c>
      <c r="AK96" s="2" t="e">
        <f t="shared" si="80"/>
        <v>#DIV/0!</v>
      </c>
      <c r="AM96" s="2" t="e">
        <f t="shared" si="54"/>
        <v>#DIV/0!</v>
      </c>
      <c r="AN96" s="2" t="e">
        <f t="shared" si="55"/>
        <v>#DIV/0!</v>
      </c>
      <c r="AP96" s="8" t="e">
        <f t="shared" si="81"/>
        <v>#DIV/0!</v>
      </c>
      <c r="AQ96" s="2" t="e">
        <f t="shared" si="82"/>
        <v>#DIV/0!</v>
      </c>
      <c r="AS96" s="2" t="e">
        <f t="shared" si="56"/>
        <v>#DIV/0!</v>
      </c>
      <c r="AT96" s="16" t="e">
        <f t="shared" si="57"/>
        <v>#DIV/0!</v>
      </c>
      <c r="AV96" s="8" t="e">
        <f t="shared" si="83"/>
        <v>#DIV/0!</v>
      </c>
      <c r="AW96" s="2" t="e">
        <f t="shared" si="84"/>
        <v>#DIV/0!</v>
      </c>
      <c r="AY96" s="2" t="e">
        <f t="shared" si="58"/>
        <v>#DIV/0!</v>
      </c>
      <c r="AZ96" s="2" t="e">
        <f t="shared" si="59"/>
        <v>#DIV/0!</v>
      </c>
      <c r="BD96" s="8" t="e">
        <f t="shared" si="85"/>
        <v>#DIV/0!</v>
      </c>
      <c r="BE96" s="2" t="e">
        <f t="shared" si="86"/>
        <v>#DIV/0!</v>
      </c>
      <c r="BG96" s="2" t="e">
        <f t="shared" si="60"/>
        <v>#DIV/0!</v>
      </c>
      <c r="BH96" s="2" t="e">
        <f t="shared" si="61"/>
        <v>#DIV/0!</v>
      </c>
      <c r="BL96" s="8" t="e">
        <f t="shared" si="87"/>
        <v>#DIV/0!</v>
      </c>
      <c r="BM96" s="2" t="e">
        <f t="shared" si="88"/>
        <v>#DIV/0!</v>
      </c>
      <c r="BO96" s="2" t="e">
        <f t="shared" si="62"/>
        <v>#DIV/0!</v>
      </c>
      <c r="BP96" s="2" t="e">
        <f t="shared" si="63"/>
        <v>#DIV/0!</v>
      </c>
    </row>
    <row r="97" spans="1:68" x14ac:dyDescent="0.2">
      <c r="A97" s="2">
        <f t="shared" si="50"/>
        <v>4.75</v>
      </c>
      <c r="B97" s="2">
        <f t="shared" si="51"/>
        <v>8.6516952031206341E-3</v>
      </c>
      <c r="C97" s="2">
        <f t="shared" si="64"/>
        <v>8.6516952031206341E-3</v>
      </c>
      <c r="D97" s="8">
        <f t="shared" si="65"/>
        <v>8.6516952031206341E-3</v>
      </c>
      <c r="E97" s="2">
        <f t="shared" si="66"/>
        <v>8.6516952031206341E-3</v>
      </c>
      <c r="H97" s="8" t="e">
        <f t="shared" si="67"/>
        <v>#DIV/0!</v>
      </c>
      <c r="I97" s="2" t="e">
        <f t="shared" si="68"/>
        <v>#DIV/0!</v>
      </c>
      <c r="L97" s="8">
        <f t="shared" si="69"/>
        <v>5.9599484952713833E-2</v>
      </c>
      <c r="M97" s="2">
        <f t="shared" si="70"/>
        <v>5.9599484952713833E-2</v>
      </c>
      <c r="P97" s="8">
        <f t="shared" si="71"/>
        <v>0.17391304347826086</v>
      </c>
      <c r="Q97" s="2">
        <f t="shared" si="72"/>
        <v>0.17391304347826086</v>
      </c>
      <c r="T97" s="8">
        <f t="shared" si="73"/>
        <v>8.6516952031205907E-3</v>
      </c>
      <c r="U97" s="2">
        <f t="shared" si="74"/>
        <v>8.6516952031205907E-3</v>
      </c>
      <c r="X97" s="8">
        <f t="shared" si="75"/>
        <v>5.9599484952713833E-2</v>
      </c>
      <c r="Y97" s="2">
        <f t="shared" si="76"/>
        <v>5.9599484952713833E-2</v>
      </c>
      <c r="AD97" s="8" t="e">
        <f t="shared" si="77"/>
        <v>#DIV/0!</v>
      </c>
      <c r="AE97" s="2" t="e">
        <f t="shared" si="78"/>
        <v>#DIV/0!</v>
      </c>
      <c r="AG97" s="2" t="e">
        <f t="shared" si="52"/>
        <v>#DIV/0!</v>
      </c>
      <c r="AH97" s="2" t="e">
        <f t="shared" si="53"/>
        <v>#DIV/0!</v>
      </c>
      <c r="AJ97" s="8" t="e">
        <f t="shared" si="79"/>
        <v>#DIV/0!</v>
      </c>
      <c r="AK97" s="2" t="e">
        <f t="shared" si="80"/>
        <v>#DIV/0!</v>
      </c>
      <c r="AM97" s="2" t="e">
        <f t="shared" si="54"/>
        <v>#DIV/0!</v>
      </c>
      <c r="AN97" s="2" t="e">
        <f t="shared" si="55"/>
        <v>#DIV/0!</v>
      </c>
      <c r="AP97" s="8" t="e">
        <f t="shared" si="81"/>
        <v>#DIV/0!</v>
      </c>
      <c r="AQ97" s="2" t="e">
        <f t="shared" si="82"/>
        <v>#DIV/0!</v>
      </c>
      <c r="AS97" s="2" t="e">
        <f t="shared" si="56"/>
        <v>#DIV/0!</v>
      </c>
      <c r="AT97" s="16" t="e">
        <f t="shared" si="57"/>
        <v>#DIV/0!</v>
      </c>
      <c r="AV97" s="8" t="e">
        <f t="shared" si="83"/>
        <v>#DIV/0!</v>
      </c>
      <c r="AW97" s="2" t="e">
        <f t="shared" si="84"/>
        <v>#DIV/0!</v>
      </c>
      <c r="AY97" s="2" t="e">
        <f t="shared" si="58"/>
        <v>#DIV/0!</v>
      </c>
      <c r="AZ97" s="2" t="e">
        <f t="shared" si="59"/>
        <v>#DIV/0!</v>
      </c>
      <c r="BD97" s="8" t="e">
        <f t="shared" si="85"/>
        <v>#DIV/0!</v>
      </c>
      <c r="BE97" s="2" t="e">
        <f t="shared" si="86"/>
        <v>#DIV/0!</v>
      </c>
      <c r="BG97" s="2" t="e">
        <f t="shared" si="60"/>
        <v>#DIV/0!</v>
      </c>
      <c r="BH97" s="2" t="e">
        <f t="shared" si="61"/>
        <v>#DIV/0!</v>
      </c>
      <c r="BL97" s="8" t="e">
        <f t="shared" si="87"/>
        <v>#DIV/0!</v>
      </c>
      <c r="BM97" s="2" t="e">
        <f t="shared" si="88"/>
        <v>#DIV/0!</v>
      </c>
      <c r="BO97" s="2" t="e">
        <f t="shared" si="62"/>
        <v>#DIV/0!</v>
      </c>
      <c r="BP97" s="2" t="e">
        <f t="shared" si="63"/>
        <v>#DIV/0!</v>
      </c>
    </row>
    <row r="98" spans="1:68" x14ac:dyDescent="0.2">
      <c r="A98" s="2">
        <f t="shared" si="50"/>
        <v>4.833333333333333</v>
      </c>
      <c r="B98" s="2">
        <f t="shared" si="51"/>
        <v>7.9599438487064494E-3</v>
      </c>
      <c r="C98" s="2">
        <f t="shared" si="64"/>
        <v>7.9599438487064494E-3</v>
      </c>
      <c r="D98" s="8">
        <f t="shared" si="65"/>
        <v>7.9599438487064494E-3</v>
      </c>
      <c r="E98" s="2">
        <f t="shared" si="66"/>
        <v>7.9599438487064494E-3</v>
      </c>
      <c r="H98" s="8" t="e">
        <f t="shared" si="67"/>
        <v>#DIV/0!</v>
      </c>
      <c r="I98" s="2" t="e">
        <f t="shared" si="68"/>
        <v>#DIV/0!</v>
      </c>
      <c r="L98" s="8">
        <f t="shared" si="69"/>
        <v>5.7566346203538954E-2</v>
      </c>
      <c r="M98" s="2">
        <f t="shared" si="70"/>
        <v>5.7566346203538954E-2</v>
      </c>
      <c r="P98" s="8">
        <f t="shared" si="71"/>
        <v>0.17142857142857137</v>
      </c>
      <c r="Q98" s="2">
        <f t="shared" si="72"/>
        <v>0.17142857142857137</v>
      </c>
      <c r="T98" s="8">
        <f t="shared" si="73"/>
        <v>7.9599438487064633E-3</v>
      </c>
      <c r="U98" s="2">
        <f t="shared" si="74"/>
        <v>7.9599438487064633E-3</v>
      </c>
      <c r="X98" s="8">
        <f t="shared" si="75"/>
        <v>5.7566346203538954E-2</v>
      </c>
      <c r="Y98" s="2">
        <f t="shared" si="76"/>
        <v>5.7566346203538954E-2</v>
      </c>
      <c r="AD98" s="8" t="e">
        <f t="shared" si="77"/>
        <v>#DIV/0!</v>
      </c>
      <c r="AE98" s="2" t="e">
        <f t="shared" si="78"/>
        <v>#DIV/0!</v>
      </c>
      <c r="AG98" s="2" t="e">
        <f t="shared" si="52"/>
        <v>#DIV/0!</v>
      </c>
      <c r="AH98" s="2" t="e">
        <f t="shared" si="53"/>
        <v>#DIV/0!</v>
      </c>
      <c r="AJ98" s="8" t="e">
        <f t="shared" si="79"/>
        <v>#DIV/0!</v>
      </c>
      <c r="AK98" s="2" t="e">
        <f t="shared" si="80"/>
        <v>#DIV/0!</v>
      </c>
      <c r="AM98" s="2" t="e">
        <f t="shared" si="54"/>
        <v>#DIV/0!</v>
      </c>
      <c r="AN98" s="2" t="e">
        <f t="shared" si="55"/>
        <v>#DIV/0!</v>
      </c>
      <c r="AP98" s="8" t="e">
        <f t="shared" si="81"/>
        <v>#DIV/0!</v>
      </c>
      <c r="AQ98" s="2" t="e">
        <f t="shared" si="82"/>
        <v>#DIV/0!</v>
      </c>
      <c r="AS98" s="2" t="e">
        <f t="shared" si="56"/>
        <v>#DIV/0!</v>
      </c>
      <c r="AT98" s="16" t="e">
        <f t="shared" si="57"/>
        <v>#DIV/0!</v>
      </c>
      <c r="AV98" s="8" t="e">
        <f t="shared" si="83"/>
        <v>#DIV/0!</v>
      </c>
      <c r="AW98" s="2" t="e">
        <f t="shared" si="84"/>
        <v>#DIV/0!</v>
      </c>
      <c r="AY98" s="2" t="e">
        <f t="shared" si="58"/>
        <v>#DIV/0!</v>
      </c>
      <c r="AZ98" s="2" t="e">
        <f t="shared" si="59"/>
        <v>#DIV/0!</v>
      </c>
      <c r="BD98" s="8" t="e">
        <f t="shared" si="85"/>
        <v>#DIV/0!</v>
      </c>
      <c r="BE98" s="2" t="e">
        <f t="shared" si="86"/>
        <v>#DIV/0!</v>
      </c>
      <c r="BG98" s="2" t="e">
        <f t="shared" si="60"/>
        <v>#DIV/0!</v>
      </c>
      <c r="BH98" s="2" t="e">
        <f t="shared" si="61"/>
        <v>#DIV/0!</v>
      </c>
      <c r="BL98" s="8" t="e">
        <f t="shared" si="87"/>
        <v>#DIV/0!</v>
      </c>
      <c r="BM98" s="2" t="e">
        <f t="shared" si="88"/>
        <v>#DIV/0!</v>
      </c>
      <c r="BO98" s="2" t="e">
        <f t="shared" si="62"/>
        <v>#DIV/0!</v>
      </c>
      <c r="BP98" s="2" t="e">
        <f t="shared" si="63"/>
        <v>#DIV/0!</v>
      </c>
    </row>
    <row r="99" spans="1:68" x14ac:dyDescent="0.2">
      <c r="A99" s="2">
        <f t="shared" si="50"/>
        <v>4.9166666666666661</v>
      </c>
      <c r="B99" s="2">
        <f t="shared" si="51"/>
        <v>7.3235018787654108E-3</v>
      </c>
      <c r="C99" s="2">
        <f t="shared" si="64"/>
        <v>7.3235018787654108E-3</v>
      </c>
      <c r="D99" s="8">
        <f t="shared" si="65"/>
        <v>7.3235018787654108E-3</v>
      </c>
      <c r="E99" s="2">
        <f t="shared" si="66"/>
        <v>7.3235018787654108E-3</v>
      </c>
      <c r="H99" s="8" t="e">
        <f t="shared" si="67"/>
        <v>#DIV/0!</v>
      </c>
      <c r="I99" s="2" t="e">
        <f t="shared" si="68"/>
        <v>#DIV/0!</v>
      </c>
      <c r="L99" s="8">
        <f t="shared" si="69"/>
        <v>5.5621520560444115E-2</v>
      </c>
      <c r="M99" s="2">
        <f t="shared" si="70"/>
        <v>5.5621520560444115E-2</v>
      </c>
      <c r="P99" s="8">
        <f t="shared" si="71"/>
        <v>0.16901408450704214</v>
      </c>
      <c r="Q99" s="2">
        <f t="shared" si="72"/>
        <v>0.16901408450704214</v>
      </c>
      <c r="T99" s="8">
        <f t="shared" si="73"/>
        <v>7.3235018787654038E-3</v>
      </c>
      <c r="U99" s="2">
        <f t="shared" si="74"/>
        <v>7.3235018787654038E-3</v>
      </c>
      <c r="X99" s="8">
        <f t="shared" si="75"/>
        <v>5.5621520560444115E-2</v>
      </c>
      <c r="Y99" s="2">
        <f t="shared" si="76"/>
        <v>5.5621520560444115E-2</v>
      </c>
      <c r="AD99" s="8" t="e">
        <f t="shared" si="77"/>
        <v>#DIV/0!</v>
      </c>
      <c r="AE99" s="2" t="e">
        <f t="shared" si="78"/>
        <v>#DIV/0!</v>
      </c>
      <c r="AG99" s="2" t="e">
        <f t="shared" si="52"/>
        <v>#DIV/0!</v>
      </c>
      <c r="AH99" s="2" t="e">
        <f t="shared" si="53"/>
        <v>#DIV/0!</v>
      </c>
      <c r="AJ99" s="8" t="e">
        <f t="shared" si="79"/>
        <v>#DIV/0!</v>
      </c>
      <c r="AK99" s="2" t="e">
        <f t="shared" si="80"/>
        <v>#DIV/0!</v>
      </c>
      <c r="AM99" s="2" t="e">
        <f t="shared" si="54"/>
        <v>#DIV/0!</v>
      </c>
      <c r="AN99" s="2" t="e">
        <f t="shared" si="55"/>
        <v>#DIV/0!</v>
      </c>
      <c r="AP99" s="8" t="e">
        <f t="shared" si="81"/>
        <v>#DIV/0!</v>
      </c>
      <c r="AQ99" s="2" t="e">
        <f t="shared" si="82"/>
        <v>#DIV/0!</v>
      </c>
      <c r="AS99" s="2" t="e">
        <f t="shared" si="56"/>
        <v>#DIV/0!</v>
      </c>
      <c r="AT99" s="16" t="e">
        <f t="shared" si="57"/>
        <v>#DIV/0!</v>
      </c>
      <c r="AV99" s="8" t="e">
        <f t="shared" si="83"/>
        <v>#DIV/0!</v>
      </c>
      <c r="AW99" s="2" t="e">
        <f t="shared" si="84"/>
        <v>#DIV/0!</v>
      </c>
      <c r="AY99" s="2" t="e">
        <f t="shared" si="58"/>
        <v>#DIV/0!</v>
      </c>
      <c r="AZ99" s="2" t="e">
        <f t="shared" si="59"/>
        <v>#DIV/0!</v>
      </c>
      <c r="BD99" s="8" t="e">
        <f t="shared" si="85"/>
        <v>#DIV/0!</v>
      </c>
      <c r="BE99" s="2" t="e">
        <f t="shared" si="86"/>
        <v>#DIV/0!</v>
      </c>
      <c r="BG99" s="2" t="e">
        <f t="shared" si="60"/>
        <v>#DIV/0!</v>
      </c>
      <c r="BH99" s="2" t="e">
        <f t="shared" si="61"/>
        <v>#DIV/0!</v>
      </c>
      <c r="BL99" s="8" t="e">
        <f t="shared" si="87"/>
        <v>#DIV/0!</v>
      </c>
      <c r="BM99" s="2" t="e">
        <f t="shared" si="88"/>
        <v>#DIV/0!</v>
      </c>
      <c r="BO99" s="2" t="e">
        <f t="shared" si="62"/>
        <v>#DIV/0!</v>
      </c>
      <c r="BP99" s="2" t="e">
        <f t="shared" si="63"/>
        <v>#DIV/0!</v>
      </c>
    </row>
    <row r="100" spans="1:68" x14ac:dyDescent="0.2">
      <c r="A100" s="2">
        <f t="shared" si="50"/>
        <v>4.9999999999999991</v>
      </c>
      <c r="B100" s="2">
        <f t="shared" si="51"/>
        <v>6.7379469990854731E-3</v>
      </c>
      <c r="C100" s="2">
        <f t="shared" si="64"/>
        <v>6.7379469990854731E-3</v>
      </c>
      <c r="D100" s="8">
        <f t="shared" si="65"/>
        <v>6.7379469990854731E-3</v>
      </c>
      <c r="E100" s="2">
        <f t="shared" si="66"/>
        <v>6.7379469990854731E-3</v>
      </c>
      <c r="H100" s="8" t="e">
        <f t="shared" si="67"/>
        <v>#DIV/0!</v>
      </c>
      <c r="I100" s="2" t="e">
        <f t="shared" si="68"/>
        <v>#DIV/0!</v>
      </c>
      <c r="L100" s="8">
        <f t="shared" si="69"/>
        <v>5.3760310451663185E-2</v>
      </c>
      <c r="M100" s="2">
        <f t="shared" si="70"/>
        <v>5.3760310451663185E-2</v>
      </c>
      <c r="P100" s="8">
        <f t="shared" si="71"/>
        <v>0.16666666666666663</v>
      </c>
      <c r="Q100" s="2">
        <f t="shared" si="72"/>
        <v>0.16666666666666663</v>
      </c>
      <c r="T100" s="8">
        <f t="shared" si="73"/>
        <v>6.7379469990854757E-3</v>
      </c>
      <c r="U100" s="2">
        <f t="shared" si="74"/>
        <v>6.7379469990854757E-3</v>
      </c>
      <c r="X100" s="8">
        <f t="shared" si="75"/>
        <v>5.3760310451663185E-2</v>
      </c>
      <c r="Y100" s="2">
        <f t="shared" si="76"/>
        <v>5.3760310451663185E-2</v>
      </c>
      <c r="AD100" s="8" t="e">
        <f t="shared" si="77"/>
        <v>#DIV/0!</v>
      </c>
      <c r="AE100" s="2" t="e">
        <f t="shared" si="78"/>
        <v>#DIV/0!</v>
      </c>
      <c r="AG100" s="2" t="e">
        <f t="shared" si="52"/>
        <v>#DIV/0!</v>
      </c>
      <c r="AH100" s="2" t="e">
        <f t="shared" si="53"/>
        <v>#DIV/0!</v>
      </c>
      <c r="AJ100" s="8" t="e">
        <f t="shared" si="79"/>
        <v>#DIV/0!</v>
      </c>
      <c r="AK100" s="2" t="e">
        <f t="shared" si="80"/>
        <v>#DIV/0!</v>
      </c>
      <c r="AM100" s="2" t="e">
        <f t="shared" si="54"/>
        <v>#DIV/0!</v>
      </c>
      <c r="AN100" s="2" t="e">
        <f t="shared" si="55"/>
        <v>#DIV/0!</v>
      </c>
      <c r="AP100" s="8" t="e">
        <f t="shared" si="81"/>
        <v>#DIV/0!</v>
      </c>
      <c r="AQ100" s="2" t="e">
        <f t="shared" si="82"/>
        <v>#DIV/0!</v>
      </c>
      <c r="AS100" s="2" t="e">
        <f t="shared" si="56"/>
        <v>#DIV/0!</v>
      </c>
      <c r="AT100" s="16" t="e">
        <f t="shared" si="57"/>
        <v>#DIV/0!</v>
      </c>
      <c r="AV100" s="8" t="e">
        <f t="shared" si="83"/>
        <v>#DIV/0!</v>
      </c>
      <c r="AW100" s="2" t="e">
        <f t="shared" si="84"/>
        <v>#DIV/0!</v>
      </c>
      <c r="AY100" s="2" t="e">
        <f t="shared" si="58"/>
        <v>#DIV/0!</v>
      </c>
      <c r="AZ100" s="2" t="e">
        <f t="shared" si="59"/>
        <v>#DIV/0!</v>
      </c>
      <c r="BD100" s="8" t="e">
        <f t="shared" si="85"/>
        <v>#DIV/0!</v>
      </c>
      <c r="BE100" s="2" t="e">
        <f t="shared" si="86"/>
        <v>#DIV/0!</v>
      </c>
      <c r="BG100" s="2" t="e">
        <f t="shared" si="60"/>
        <v>#DIV/0!</v>
      </c>
      <c r="BH100" s="2" t="e">
        <f t="shared" si="61"/>
        <v>#DIV/0!</v>
      </c>
      <c r="BL100" s="8" t="e">
        <f t="shared" si="87"/>
        <v>#DIV/0!</v>
      </c>
      <c r="BM100" s="2" t="e">
        <f t="shared" si="88"/>
        <v>#DIV/0!</v>
      </c>
      <c r="BO100" s="2" t="e">
        <f t="shared" si="62"/>
        <v>#DIV/0!</v>
      </c>
      <c r="BP100" s="2" t="e">
        <f t="shared" si="63"/>
        <v>#DIV/0!</v>
      </c>
    </row>
    <row r="101" spans="1:68" x14ac:dyDescent="0.2">
      <c r="A101" s="2">
        <f t="shared" si="50"/>
        <v>5.0833333333333321</v>
      </c>
      <c r="B101" s="2">
        <f t="shared" si="51"/>
        <v>6.199210502577001E-3</v>
      </c>
      <c r="C101" s="2">
        <f t="shared" si="64"/>
        <v>6.199210502577001E-3</v>
      </c>
      <c r="D101" s="8">
        <f t="shared" si="65"/>
        <v>6.199210502577001E-3</v>
      </c>
      <c r="E101" s="2">
        <f t="shared" si="66"/>
        <v>6.199210502577001E-3</v>
      </c>
      <c r="H101" s="8" t="e">
        <f t="shared" si="67"/>
        <v>#DIV/0!</v>
      </c>
      <c r="I101" s="2" t="e">
        <f t="shared" si="68"/>
        <v>#DIV/0!</v>
      </c>
      <c r="L101" s="8">
        <f t="shared" si="69"/>
        <v>5.1978315022725319E-2</v>
      </c>
      <c r="M101" s="2">
        <f t="shared" si="70"/>
        <v>5.1978315022725319E-2</v>
      </c>
      <c r="P101" s="8">
        <f t="shared" si="71"/>
        <v>0.16438356164383561</v>
      </c>
      <c r="Q101" s="2">
        <f t="shared" si="72"/>
        <v>0.16438356164383561</v>
      </c>
      <c r="T101" s="8">
        <f t="shared" si="73"/>
        <v>6.1992105025769906E-3</v>
      </c>
      <c r="U101" s="2">
        <f t="shared" si="74"/>
        <v>6.1992105025769906E-3</v>
      </c>
      <c r="X101" s="8">
        <f t="shared" si="75"/>
        <v>5.1978315022725319E-2</v>
      </c>
      <c r="Y101" s="2">
        <f t="shared" si="76"/>
        <v>5.1978315022725319E-2</v>
      </c>
      <c r="AD101" s="8" t="e">
        <f t="shared" si="77"/>
        <v>#DIV/0!</v>
      </c>
      <c r="AE101" s="2" t="e">
        <f t="shared" si="78"/>
        <v>#DIV/0!</v>
      </c>
      <c r="AG101" s="2" t="e">
        <f t="shared" si="52"/>
        <v>#DIV/0!</v>
      </c>
      <c r="AH101" s="2" t="e">
        <f t="shared" si="53"/>
        <v>#DIV/0!</v>
      </c>
      <c r="AJ101" s="8" t="e">
        <f t="shared" si="79"/>
        <v>#DIV/0!</v>
      </c>
      <c r="AK101" s="2" t="e">
        <f t="shared" si="80"/>
        <v>#DIV/0!</v>
      </c>
      <c r="AM101" s="2" t="e">
        <f t="shared" si="54"/>
        <v>#DIV/0!</v>
      </c>
      <c r="AN101" s="2" t="e">
        <f t="shared" si="55"/>
        <v>#DIV/0!</v>
      </c>
      <c r="AP101" s="8" t="e">
        <f t="shared" si="81"/>
        <v>#DIV/0!</v>
      </c>
      <c r="AQ101" s="2" t="e">
        <f t="shared" si="82"/>
        <v>#DIV/0!</v>
      </c>
      <c r="AS101" s="2" t="e">
        <f t="shared" si="56"/>
        <v>#DIV/0!</v>
      </c>
      <c r="AT101" s="16" t="e">
        <f t="shared" si="57"/>
        <v>#DIV/0!</v>
      </c>
      <c r="AV101" s="8" t="e">
        <f t="shared" si="83"/>
        <v>#DIV/0!</v>
      </c>
      <c r="AW101" s="2" t="e">
        <f t="shared" si="84"/>
        <v>#DIV/0!</v>
      </c>
      <c r="AY101" s="2" t="e">
        <f t="shared" si="58"/>
        <v>#DIV/0!</v>
      </c>
      <c r="AZ101" s="2" t="e">
        <f t="shared" si="59"/>
        <v>#DIV/0!</v>
      </c>
      <c r="BD101" s="8" t="e">
        <f t="shared" si="85"/>
        <v>#DIV/0!</v>
      </c>
      <c r="BE101" s="2" t="e">
        <f t="shared" si="86"/>
        <v>#DIV/0!</v>
      </c>
      <c r="BG101" s="2" t="e">
        <f t="shared" si="60"/>
        <v>#DIV/0!</v>
      </c>
      <c r="BH101" s="2" t="e">
        <f t="shared" si="61"/>
        <v>#DIV/0!</v>
      </c>
      <c r="BL101" s="8" t="e">
        <f t="shared" si="87"/>
        <v>#DIV/0!</v>
      </c>
      <c r="BM101" s="2" t="e">
        <f t="shared" si="88"/>
        <v>#DIV/0!</v>
      </c>
      <c r="BO101" s="2" t="e">
        <f t="shared" si="62"/>
        <v>#DIV/0!</v>
      </c>
      <c r="BP101" s="2" t="e">
        <f t="shared" si="63"/>
        <v>#DIV/0!</v>
      </c>
    </row>
    <row r="102" spans="1:68" x14ac:dyDescent="0.2">
      <c r="A102" s="2">
        <f t="shared" si="50"/>
        <v>5.1666666666666652</v>
      </c>
      <c r="B102" s="2">
        <f t="shared" si="51"/>
        <v>5.7035489980074112E-3</v>
      </c>
      <c r="C102" s="2">
        <f t="shared" si="64"/>
        <v>5.7035489980074112E-3</v>
      </c>
      <c r="D102" s="8">
        <f t="shared" si="65"/>
        <v>5.7035489980074112E-3</v>
      </c>
      <c r="E102" s="2">
        <f t="shared" si="66"/>
        <v>5.7035489980074112E-3</v>
      </c>
      <c r="H102" s="8" t="e">
        <f t="shared" si="67"/>
        <v>#DIV/0!</v>
      </c>
      <c r="I102" s="2" t="e">
        <f t="shared" si="68"/>
        <v>#DIV/0!</v>
      </c>
      <c r="L102" s="8">
        <f t="shared" si="69"/>
        <v>5.0271408422590702E-2</v>
      </c>
      <c r="M102" s="2">
        <f t="shared" si="70"/>
        <v>5.0271408422590702E-2</v>
      </c>
      <c r="P102" s="8">
        <f t="shared" si="71"/>
        <v>0.16216216216216217</v>
      </c>
      <c r="Q102" s="2">
        <f t="shared" si="72"/>
        <v>0.16216216216216217</v>
      </c>
      <c r="T102" s="8">
        <f t="shared" si="73"/>
        <v>5.7035489980074017E-3</v>
      </c>
      <c r="U102" s="2">
        <f t="shared" si="74"/>
        <v>5.7035489980074017E-3</v>
      </c>
      <c r="X102" s="8">
        <f t="shared" si="75"/>
        <v>5.0271408422590702E-2</v>
      </c>
      <c r="Y102" s="2">
        <f t="shared" si="76"/>
        <v>5.0271408422590702E-2</v>
      </c>
      <c r="AD102" s="8" t="e">
        <f t="shared" si="77"/>
        <v>#DIV/0!</v>
      </c>
      <c r="AE102" s="2" t="e">
        <f t="shared" si="78"/>
        <v>#DIV/0!</v>
      </c>
      <c r="AG102" s="2" t="e">
        <f t="shared" si="52"/>
        <v>#DIV/0!</v>
      </c>
      <c r="AH102" s="2" t="e">
        <f t="shared" si="53"/>
        <v>#DIV/0!</v>
      </c>
      <c r="AJ102" s="8" t="e">
        <f t="shared" si="79"/>
        <v>#DIV/0!</v>
      </c>
      <c r="AK102" s="2" t="e">
        <f t="shared" si="80"/>
        <v>#DIV/0!</v>
      </c>
      <c r="AM102" s="2" t="e">
        <f t="shared" si="54"/>
        <v>#DIV/0!</v>
      </c>
      <c r="AN102" s="2" t="e">
        <f t="shared" si="55"/>
        <v>#DIV/0!</v>
      </c>
      <c r="AP102" s="8" t="e">
        <f t="shared" si="81"/>
        <v>#DIV/0!</v>
      </c>
      <c r="AQ102" s="2" t="e">
        <f t="shared" si="82"/>
        <v>#DIV/0!</v>
      </c>
      <c r="AS102" s="2" t="e">
        <f t="shared" si="56"/>
        <v>#DIV/0!</v>
      </c>
      <c r="AT102" s="16" t="e">
        <f t="shared" si="57"/>
        <v>#DIV/0!</v>
      </c>
      <c r="AV102" s="8" t="e">
        <f t="shared" si="83"/>
        <v>#DIV/0!</v>
      </c>
      <c r="AW102" s="2" t="e">
        <f t="shared" si="84"/>
        <v>#DIV/0!</v>
      </c>
      <c r="AY102" s="2" t="e">
        <f t="shared" si="58"/>
        <v>#DIV/0!</v>
      </c>
      <c r="AZ102" s="2" t="e">
        <f t="shared" si="59"/>
        <v>#DIV/0!</v>
      </c>
      <c r="BD102" s="8" t="e">
        <f t="shared" si="85"/>
        <v>#DIV/0!</v>
      </c>
      <c r="BE102" s="2" t="e">
        <f t="shared" si="86"/>
        <v>#DIV/0!</v>
      </c>
      <c r="BG102" s="2" t="e">
        <f t="shared" si="60"/>
        <v>#DIV/0!</v>
      </c>
      <c r="BH102" s="2" t="e">
        <f t="shared" si="61"/>
        <v>#DIV/0!</v>
      </c>
      <c r="BL102" s="8" t="e">
        <f t="shared" si="87"/>
        <v>#DIV/0!</v>
      </c>
      <c r="BM102" s="2" t="e">
        <f t="shared" si="88"/>
        <v>#DIV/0!</v>
      </c>
      <c r="BO102" s="2" t="e">
        <f t="shared" si="62"/>
        <v>#DIV/0!</v>
      </c>
      <c r="BP102" s="2" t="e">
        <f t="shared" si="63"/>
        <v>#DIV/0!</v>
      </c>
    </row>
    <row r="103" spans="1:68" x14ac:dyDescent="0.2">
      <c r="A103" s="2">
        <f t="shared" si="50"/>
        <v>5.2499999999999982</v>
      </c>
      <c r="B103" s="2">
        <f t="shared" si="51"/>
        <v>5.2475183991813933E-3</v>
      </c>
      <c r="C103" s="2">
        <f t="shared" si="64"/>
        <v>5.2475183991813933E-3</v>
      </c>
      <c r="D103" s="8">
        <f t="shared" si="65"/>
        <v>5.2475183991813933E-3</v>
      </c>
      <c r="E103" s="2">
        <f t="shared" si="66"/>
        <v>5.2475183991813933E-3</v>
      </c>
      <c r="H103" s="8" t="e">
        <f t="shared" si="67"/>
        <v>#DIV/0!</v>
      </c>
      <c r="I103" s="2" t="e">
        <f t="shared" si="68"/>
        <v>#DIV/0!</v>
      </c>
      <c r="L103" s="8">
        <f t="shared" si="69"/>
        <v>4.8635719894219109E-2</v>
      </c>
      <c r="M103" s="2">
        <f t="shared" si="70"/>
        <v>4.8635719894219109E-2</v>
      </c>
      <c r="P103" s="8">
        <f t="shared" si="71"/>
        <v>0.16000000000000003</v>
      </c>
      <c r="Q103" s="2">
        <f t="shared" si="72"/>
        <v>0.16000000000000003</v>
      </c>
      <c r="T103" s="8">
        <f t="shared" si="73"/>
        <v>5.2475183991813612E-3</v>
      </c>
      <c r="U103" s="2">
        <f t="shared" si="74"/>
        <v>5.2475183991813612E-3</v>
      </c>
      <c r="X103" s="8">
        <f t="shared" si="75"/>
        <v>4.8635719894219109E-2</v>
      </c>
      <c r="Y103" s="2">
        <f t="shared" si="76"/>
        <v>4.8635719894219109E-2</v>
      </c>
      <c r="AD103" s="8" t="e">
        <f t="shared" si="77"/>
        <v>#DIV/0!</v>
      </c>
      <c r="AE103" s="2" t="e">
        <f t="shared" si="78"/>
        <v>#DIV/0!</v>
      </c>
      <c r="AG103" s="2" t="e">
        <f t="shared" si="52"/>
        <v>#DIV/0!</v>
      </c>
      <c r="AH103" s="2" t="e">
        <f t="shared" si="53"/>
        <v>#DIV/0!</v>
      </c>
      <c r="AJ103" s="8" t="e">
        <f t="shared" si="79"/>
        <v>#DIV/0!</v>
      </c>
      <c r="AK103" s="2" t="e">
        <f t="shared" si="80"/>
        <v>#DIV/0!</v>
      </c>
      <c r="AM103" s="2" t="e">
        <f t="shared" si="54"/>
        <v>#DIV/0!</v>
      </c>
      <c r="AN103" s="2" t="e">
        <f t="shared" si="55"/>
        <v>#DIV/0!</v>
      </c>
      <c r="AP103" s="8" t="e">
        <f t="shared" si="81"/>
        <v>#DIV/0!</v>
      </c>
      <c r="AQ103" s="2" t="e">
        <f t="shared" si="82"/>
        <v>#DIV/0!</v>
      </c>
      <c r="AS103" s="2" t="e">
        <f t="shared" si="56"/>
        <v>#DIV/0!</v>
      </c>
      <c r="AT103" s="16" t="e">
        <f t="shared" si="57"/>
        <v>#DIV/0!</v>
      </c>
      <c r="AV103" s="8" t="e">
        <f t="shared" si="83"/>
        <v>#DIV/0!</v>
      </c>
      <c r="AW103" s="2" t="e">
        <f t="shared" si="84"/>
        <v>#DIV/0!</v>
      </c>
      <c r="AY103" s="2" t="e">
        <f t="shared" si="58"/>
        <v>#DIV/0!</v>
      </c>
      <c r="AZ103" s="2" t="e">
        <f t="shared" si="59"/>
        <v>#DIV/0!</v>
      </c>
      <c r="BD103" s="8" t="e">
        <f t="shared" si="85"/>
        <v>#DIV/0!</v>
      </c>
      <c r="BE103" s="2" t="e">
        <f t="shared" si="86"/>
        <v>#DIV/0!</v>
      </c>
      <c r="BG103" s="2" t="e">
        <f t="shared" si="60"/>
        <v>#DIV/0!</v>
      </c>
      <c r="BH103" s="2" t="e">
        <f t="shared" si="61"/>
        <v>#DIV/0!</v>
      </c>
      <c r="BL103" s="8" t="e">
        <f t="shared" si="87"/>
        <v>#DIV/0!</v>
      </c>
      <c r="BM103" s="2" t="e">
        <f t="shared" si="88"/>
        <v>#DIV/0!</v>
      </c>
      <c r="BO103" s="2" t="e">
        <f t="shared" si="62"/>
        <v>#DIV/0!</v>
      </c>
      <c r="BP103" s="2" t="e">
        <f t="shared" si="63"/>
        <v>#DIV/0!</v>
      </c>
    </row>
    <row r="104" spans="1:68" x14ac:dyDescent="0.2">
      <c r="A104" s="2">
        <f t="shared" si="50"/>
        <v>5.3333333333333313</v>
      </c>
      <c r="B104" s="2">
        <f t="shared" si="51"/>
        <v>4.8279499938314501E-3</v>
      </c>
      <c r="C104" s="2">
        <f t="shared" si="64"/>
        <v>4.8279499938314501E-3</v>
      </c>
      <c r="D104" s="8">
        <f t="shared" si="65"/>
        <v>4.8279499938314501E-3</v>
      </c>
      <c r="E104" s="2">
        <f t="shared" si="66"/>
        <v>4.8279499938314501E-3</v>
      </c>
      <c r="H104" s="8" t="e">
        <f t="shared" si="67"/>
        <v>#DIV/0!</v>
      </c>
      <c r="I104" s="2" t="e">
        <f t="shared" si="68"/>
        <v>#DIV/0!</v>
      </c>
      <c r="L104" s="8">
        <f t="shared" si="69"/>
        <v>4.7067615502118132E-2</v>
      </c>
      <c r="M104" s="2">
        <f t="shared" si="70"/>
        <v>4.7067615502118132E-2</v>
      </c>
      <c r="P104" s="8">
        <f t="shared" si="71"/>
        <v>0.15789473684210531</v>
      </c>
      <c r="Q104" s="2">
        <f t="shared" si="72"/>
        <v>0.15789473684210531</v>
      </c>
      <c r="T104" s="8">
        <f t="shared" si="73"/>
        <v>4.8279499938314041E-3</v>
      </c>
      <c r="U104" s="2">
        <f t="shared" si="74"/>
        <v>4.8279499938314041E-3</v>
      </c>
      <c r="X104" s="8">
        <f t="shared" si="75"/>
        <v>4.7067615502118132E-2</v>
      </c>
      <c r="Y104" s="2">
        <f t="shared" si="76"/>
        <v>4.7067615502118132E-2</v>
      </c>
      <c r="AD104" s="8" t="e">
        <f t="shared" si="77"/>
        <v>#DIV/0!</v>
      </c>
      <c r="AE104" s="2" t="e">
        <f t="shared" si="78"/>
        <v>#DIV/0!</v>
      </c>
      <c r="AG104" s="2" t="e">
        <f t="shared" si="52"/>
        <v>#DIV/0!</v>
      </c>
      <c r="AH104" s="2" t="e">
        <f t="shared" si="53"/>
        <v>#DIV/0!</v>
      </c>
      <c r="AJ104" s="8" t="e">
        <f t="shared" si="79"/>
        <v>#DIV/0!</v>
      </c>
      <c r="AK104" s="2" t="e">
        <f t="shared" si="80"/>
        <v>#DIV/0!</v>
      </c>
      <c r="AM104" s="2" t="e">
        <f t="shared" si="54"/>
        <v>#DIV/0!</v>
      </c>
      <c r="AN104" s="2" t="e">
        <f t="shared" si="55"/>
        <v>#DIV/0!</v>
      </c>
      <c r="AP104" s="8" t="e">
        <f t="shared" si="81"/>
        <v>#DIV/0!</v>
      </c>
      <c r="AQ104" s="2" t="e">
        <f t="shared" si="82"/>
        <v>#DIV/0!</v>
      </c>
      <c r="AS104" s="2" t="e">
        <f t="shared" si="56"/>
        <v>#DIV/0!</v>
      </c>
      <c r="AT104" s="16" t="e">
        <f t="shared" si="57"/>
        <v>#DIV/0!</v>
      </c>
      <c r="AV104" s="8" t="e">
        <f t="shared" si="83"/>
        <v>#DIV/0!</v>
      </c>
      <c r="AW104" s="2" t="e">
        <f t="shared" si="84"/>
        <v>#DIV/0!</v>
      </c>
      <c r="AY104" s="2" t="e">
        <f t="shared" si="58"/>
        <v>#DIV/0!</v>
      </c>
      <c r="AZ104" s="2" t="e">
        <f t="shared" si="59"/>
        <v>#DIV/0!</v>
      </c>
      <c r="BD104" s="8" t="e">
        <f t="shared" si="85"/>
        <v>#DIV/0!</v>
      </c>
      <c r="BE104" s="2" t="e">
        <f t="shared" si="86"/>
        <v>#DIV/0!</v>
      </c>
      <c r="BG104" s="2" t="e">
        <f t="shared" si="60"/>
        <v>#DIV/0!</v>
      </c>
      <c r="BH104" s="2" t="e">
        <f t="shared" si="61"/>
        <v>#DIV/0!</v>
      </c>
      <c r="BL104" s="8" t="e">
        <f t="shared" si="87"/>
        <v>#DIV/0!</v>
      </c>
      <c r="BM104" s="2" t="e">
        <f t="shared" si="88"/>
        <v>#DIV/0!</v>
      </c>
      <c r="BO104" s="2" t="e">
        <f t="shared" si="62"/>
        <v>#DIV/0!</v>
      </c>
      <c r="BP104" s="2" t="e">
        <f t="shared" si="63"/>
        <v>#DIV/0!</v>
      </c>
    </row>
    <row r="105" spans="1:68" x14ac:dyDescent="0.2">
      <c r="A105" s="2">
        <f t="shared" si="50"/>
        <v>5.4166666666666643</v>
      </c>
      <c r="B105" s="2">
        <f t="shared" si="51"/>
        <v>4.441928425934303E-3</v>
      </c>
      <c r="C105" s="2">
        <f t="shared" ref="C105:C136" si="89">EXP(-$A105*$B$35*C$35)</f>
        <v>4.441928425934303E-3</v>
      </c>
      <c r="D105" s="8">
        <f t="shared" ref="D105:D136" si="90">EXP(-(($A105*$E$35)^$D$35))</f>
        <v>4.441928425934303E-3</v>
      </c>
      <c r="E105" s="2">
        <f t="shared" ref="E105:E136" si="91">EXP(-(($A105*$E$35*F$35)^$G$35))</f>
        <v>4.441928425934303E-3</v>
      </c>
      <c r="H105" s="8" t="e">
        <f t="shared" ref="H105:H136" si="92">EXP(-(($I$35)/$H$35)*(EXP($H$35*$A105)-1))</f>
        <v>#DIV/0!</v>
      </c>
      <c r="I105" s="2" t="e">
        <f t="shared" ref="I105:I136" si="93">EXP(-(($I$35*J$35)/$K$35)*(EXP($K$35*$A105)-1))</f>
        <v>#DIV/0!</v>
      </c>
      <c r="L105" s="8">
        <f t="shared" ref="L105:L136" si="94">1-_xlfn.NORM.S.DIST((LN($A105)-$L$35)/$M$35,TRUE)</f>
        <v>4.5563681346523777E-2</v>
      </c>
      <c r="M105" s="2">
        <f t="shared" ref="M105:M136" si="95">1-_xlfn.NORM.S.DIST((LN($A105)-$L$35-N$35)/$O$35,TRUE)</f>
        <v>4.5563681346523777E-2</v>
      </c>
      <c r="P105" s="8">
        <f t="shared" ref="P105:P136" si="96">1-(1/(1+($A105/($Q$35))^(-$P$35)))</f>
        <v>0.1558441558441559</v>
      </c>
      <c r="Q105" s="2">
        <f t="shared" ref="Q105:Q136" si="97">1-(1/(1+($A105/($Q$35*R$35))^(-$S$35)))</f>
        <v>0.1558441558441559</v>
      </c>
      <c r="T105" s="8">
        <f t="shared" ref="T105:T136" si="98">1-(_xlfn.GAMMA.DIST($U$35*$A105,$T$35,1,TRUE)*EXP(GAMMALN($T$35)))/EXP(GAMMALN($T$35))</f>
        <v>4.4419284259342717E-3</v>
      </c>
      <c r="U105" s="2">
        <f t="shared" ref="U105:U136" si="99">1-(_xlfn.GAMMA.DIST($U$35*V$35*$A105,$W$35,1,TRUE)*EXP(GAMMALN($W$35)))/EXP(GAMMALN($W$35))</f>
        <v>4.4419284259342717E-3</v>
      </c>
      <c r="X105" s="8">
        <f t="shared" ref="X105:X136" si="100">IF(ABS($Z$35)&lt;0.05,
        1-_xlfn.NORM.S.DIST((LN($A105)-$X$35)/$Y$35,TRUE),
        IF(0=1-
            IF($Z$35&gt;0,
                    _xlfn.GAMMA.DIST(EXP($Z$35*((LN($A105)-$X$35)/$Y$35))*($Z$35^(-2)),($Z$35^(-2)),1, TRUE),
                    1-_xlfn.GAMMA.DIST(EXP($Z$35*((LN($A105)-$X$35)/$Y$35))*($Z$35^(-2)),($Z$35^(-2)),1, TRUE)),
            0,
            EXP(LN(1-
                IF($Z$35&gt;0,
                    _xlfn.GAMMA.DIST(EXP($Z$35*((LN($A105)-$X$35)/$Y$35))*($Z$35^(-2)),($Z$35^(-2)),1, TRUE),
                    1-_xlfn.GAMMA.DIST(EXP($Z$35*((LN($A105)-$X$35)/$Y$35))*($Z$35^(-2)),($Z$35^(-2)),1, TRUE))))))</f>
        <v>4.5563681346523777E-2</v>
      </c>
      <c r="Y105" s="2">
        <f t="shared" ref="Y105:Y136" si="101">IF(ABS($AC$35)&lt;0.05,
        1-_xlfn.NORM.S.DIST((LN($A105)-($X$35+AA$35))/$AB$35,TRUE),
        IF(0=1-
            IF($AC$35&gt;0,
                    _xlfn.GAMMA.DIST(EXP($AC$35*((LN($A105)-($X$35+AA$35))/$AB$35))*($AC$35^(-2)),($AC$35^(-2)),1, TRUE),
                    1-_xlfn.GAMMA.DIST(EXP($AC$35*((LN($A105)-($X$35+AA$35))/$AB$35))*($AC$35^(-2)),($AC$35^(-2)),1, TRUE)),
            0,
            EXP(LN(1-
                IF($AC$35&gt;0,
                    _xlfn.GAMMA.DIST(EXP($AC$35*((LN($A105)-($X$35+AA$35))/$AB$35))*($AC$35^(-2)),($AC$35^(-2)),1, TRUE),
                    1-_xlfn.GAMMA.DIST(EXP($AC$35*((LN($A105)-($X$35+AA$35))/$AB$35))*($AC$35^(-2)),($AC$35^(-2)),1, TRUE))))))</f>
        <v>4.5563681346523777E-2</v>
      </c>
      <c r="AD105" s="8" t="e">
        <f t="shared" ref="AD105:AD136" si="102">AD$35+
AE$35*LN($A105)+
AF$35*(MAX(LN($A105)-AE$9,0)^3-AF$37*MAX(LN($A105)-AD$9,0)^3-(1-AF$37)*MAX(LN($A105)-AF$9,0)^3)</f>
        <v>#DIV/0!</v>
      </c>
      <c r="AE105" s="2" t="e">
        <f t="shared" ref="AE105:AE136" si="103">AD$35+
AH$35*LN($A105)+
AI$35*(MAX(LN($A105)-AE$9,0)^3-AF$37*MAX(LN($A105)-AD$9,0)^3-(1-AF$37)*MAX(LN($A105)-AF$9,0)^3)</f>
        <v>#DIV/0!</v>
      </c>
      <c r="AG105" s="2" t="e">
        <f t="shared" si="52"/>
        <v>#DIV/0!</v>
      </c>
      <c r="AH105" s="2" t="e">
        <f t="shared" si="53"/>
        <v>#DIV/0!</v>
      </c>
      <c r="AJ105" s="8" t="e">
        <f t="shared" ref="AJ105:AJ136" si="104">AJ$35+
AK$35*LN($A105)+
AL$35*(MAX(LN($A105)-AK$9,0)^3-AL$37*MAX(LN($A105)-AJ$9,0)^3-(1-AL$37)*MAX(LN($A105)-AL$9,0)^3)</f>
        <v>#DIV/0!</v>
      </c>
      <c r="AK105" s="2" t="e">
        <f t="shared" ref="AK105:AK136" si="105">AJ$35+
AN$35*LN($A105)+
AO$35*(MAX(LN($A105)-AK$9,0)^3-AL$37*MAX(LN($A105)-AJ$9,0)^3-(1-AL$37)*MAX(LN($A105)-AL$9,0)^3)</f>
        <v>#DIV/0!</v>
      </c>
      <c r="AM105" s="2" t="e">
        <f t="shared" si="54"/>
        <v>#DIV/0!</v>
      </c>
      <c r="AN105" s="2" t="e">
        <f t="shared" si="55"/>
        <v>#DIV/0!</v>
      </c>
      <c r="AP105" s="8" t="e">
        <f t="shared" ref="AP105:AP136" si="106">AP$35+
AQ$35*LN($A105)+
AR$35*(MAX(LN($A105)-AQ$9,0)^3-AR$37*MAX(LN($A105)-AP$9,0)^3-(1-AR$37)*MAX(LN($A105)-AR$9,0)^3)</f>
        <v>#DIV/0!</v>
      </c>
      <c r="AQ105" s="2" t="e">
        <f t="shared" ref="AQ105:AQ136" si="107">AP$35+
AT$35*LN($A105)+
AU$35*(MAX(LN($A105)-AQ$9,0)^3-AR$37*MAX(LN($A105)-AP$9,0)^3-(1-AR$37)*MAX(LN($A105)-AR$9,0)^3)</f>
        <v>#DIV/0!</v>
      </c>
      <c r="AS105" s="2" t="e">
        <f t="shared" si="56"/>
        <v>#DIV/0!</v>
      </c>
      <c r="AT105" s="16" t="e">
        <f t="shared" si="57"/>
        <v>#DIV/0!</v>
      </c>
      <c r="AV105" s="8" t="e">
        <f t="shared" ref="AV105:AV136" si="108">AV$35+
AW$35*LN($A105)+
AX$35*(MAX(LN($A105)-AW$9,0)^3-AX$37*MAX(LN($A105)-AV$9,0)^3-(1-AX$37)*MAX(LN($A105)-AY$9,0)^3)+
AY$35*(MAX(LN($A105)-AX$9,0)^3-AY$37*MAX(LN($A105)-AV$9,0)^3-(1-AY$37)*MAX(LN($A105)-AY$9,0)^3)</f>
        <v>#DIV/0!</v>
      </c>
      <c r="AW105" s="2" t="e">
        <f t="shared" ref="AW105:AW136" si="109">AV$35+
BA$35*LN($A105)+
BB$35*(MAX(LN($A105)-AW$9,0)^3-AX$37*MAX(LN($A105)-AV$9,0)^3-(1-AX$37)*MAX(LN($A105)-AY$9,0)^3)+
BC$35*(MAX(LN($A105)-AX$9,0)^3-AY$37*MAX(LN($A105)-AV$9,0)^3-(1-AY$37)*MAX(LN($A105)-AY$9,0)^3)</f>
        <v>#DIV/0!</v>
      </c>
      <c r="AY105" s="2" t="e">
        <f t="shared" si="58"/>
        <v>#DIV/0!</v>
      </c>
      <c r="AZ105" s="2" t="e">
        <f t="shared" si="59"/>
        <v>#DIV/0!</v>
      </c>
      <c r="BD105" s="8" t="e">
        <f t="shared" ref="BD105:BD136" si="110">BD$35+
BE$35*LN($A105)+
BF$35*(MAX(LN($A105)-BE$9,0)^3-BF$37*MAX(LN($A105)-BD$9,0)^3-(1-BF$37)*MAX(LN($A105)-BG$9,0)^3)+
BG$35*(MAX(LN($A105)-BF$9,0)^3-BG$37*MAX(LN($A105)-BD$9,0)^3-(1-BG$37)*MAX(LN($A105)-BG$9,0)^3)</f>
        <v>#DIV/0!</v>
      </c>
      <c r="BE105" s="2" t="e">
        <f t="shared" ref="BE105:BE136" si="111">BD$35+
BI$35*LN($A105)+
BJ$35*(MAX(LN($A105)-BE$9,0)^3-BF$37*MAX(LN($A105)-BD$9,0)^3-(1-BF$37)*MAX(LN($A105)-BG$9,0)^3)+
BK$35*(MAX(LN($A105)-BF$9,0)^3-BG$37*MAX(LN($A105)-BD$9,0)^3-(1-BG$37)*MAX(LN($A105)-BG$9,0)^3)</f>
        <v>#DIV/0!</v>
      </c>
      <c r="BG105" s="2" t="e">
        <f t="shared" si="60"/>
        <v>#DIV/0!</v>
      </c>
      <c r="BH105" s="2" t="e">
        <f t="shared" si="61"/>
        <v>#DIV/0!</v>
      </c>
      <c r="BL105" s="8" t="e">
        <f t="shared" ref="BL105:BL136" si="112">BL$35+
BM$35*LN($A105)+
BN$35*(MAX(LN($A105)-BM$9,0)^3-BN$37*MAX(LN($A105)-BL$9,0)^3-(1-BN$37)*MAX(LN($A105)-BO$9,0)^3)+
BO$35*(MAX(LN($A105)-BN$9,0)^3-BO$37*MAX(LN($A105)-BL$9,0)^3-(1-BO$37)*MAX(LN($A105)-BO$9,0)^3)</f>
        <v>#DIV/0!</v>
      </c>
      <c r="BM105" s="2" t="e">
        <f t="shared" ref="BM105:BM136" si="113">BL$35+
BQ$35*LN($A105)+
BR$35*(MAX(LN($A105)-BM$9,0)^3-BN$37*MAX(LN($A105)-BL$9,0)^3-(1-BN$37)*MAX(LN($A105)-BO$9,0)^3)+
BS$35*(MAX(LN($A105)-BN$9,0)^3-BO$37*MAX(LN($A105)-BL$9,0)^3-(1-BO$37)*MAX(LN($A105)-BO$9,0)^3)</f>
        <v>#DIV/0!</v>
      </c>
      <c r="BO105" s="2" t="e">
        <f t="shared" si="62"/>
        <v>#DIV/0!</v>
      </c>
      <c r="BP105" s="2" t="e">
        <f t="shared" si="63"/>
        <v>#DIV/0!</v>
      </c>
    </row>
    <row r="106" spans="1:68" x14ac:dyDescent="0.2">
      <c r="A106" s="2">
        <f t="shared" ref="A106:A160" si="114">A105+$A$39</f>
        <v>5.4999999999999973</v>
      </c>
      <c r="B106" s="2">
        <f t="shared" ref="B106:B160" si="115">EXP(-$A106*$B$35)</f>
        <v>4.0867714384640779E-3</v>
      </c>
      <c r="C106" s="2">
        <f t="shared" si="89"/>
        <v>4.0867714384640779E-3</v>
      </c>
      <c r="D106" s="8">
        <f t="shared" si="90"/>
        <v>4.0867714384640779E-3</v>
      </c>
      <c r="E106" s="2">
        <f t="shared" si="91"/>
        <v>4.0867714384640779E-3</v>
      </c>
      <c r="H106" s="8" t="e">
        <f t="shared" si="92"/>
        <v>#DIV/0!</v>
      </c>
      <c r="I106" s="2" t="e">
        <f t="shared" si="93"/>
        <v>#DIV/0!</v>
      </c>
      <c r="L106" s="8">
        <f t="shared" si="94"/>
        <v>4.4120708129076203E-2</v>
      </c>
      <c r="M106" s="2">
        <f t="shared" si="95"/>
        <v>4.4120708129076203E-2</v>
      </c>
      <c r="P106" s="8">
        <f t="shared" si="96"/>
        <v>0.15384615384615385</v>
      </c>
      <c r="Q106" s="2">
        <f t="shared" si="97"/>
        <v>0.15384615384615385</v>
      </c>
      <c r="T106" s="8">
        <f t="shared" si="98"/>
        <v>4.0867714384640319E-3</v>
      </c>
      <c r="U106" s="2">
        <f t="shared" si="99"/>
        <v>4.0867714384640319E-3</v>
      </c>
      <c r="X106" s="8">
        <f t="shared" si="100"/>
        <v>4.4120708129076203E-2</v>
      </c>
      <c r="Y106" s="2">
        <f t="shared" si="101"/>
        <v>4.4120708129076203E-2</v>
      </c>
      <c r="AD106" s="8" t="e">
        <f t="shared" si="102"/>
        <v>#DIV/0!</v>
      </c>
      <c r="AE106" s="2" t="e">
        <f t="shared" si="103"/>
        <v>#DIV/0!</v>
      </c>
      <c r="AG106" s="2" t="e">
        <f t="shared" ref="AG106:AG160" si="116">EXP(-EXP($AD106))</f>
        <v>#DIV/0!</v>
      </c>
      <c r="AH106" s="2" t="e">
        <f t="shared" ref="AH106:AH160" si="117">EXP(-EXP($AE106+AG$35))</f>
        <v>#DIV/0!</v>
      </c>
      <c r="AJ106" s="8" t="e">
        <f t="shared" si="104"/>
        <v>#DIV/0!</v>
      </c>
      <c r="AK106" s="2" t="e">
        <f t="shared" si="105"/>
        <v>#DIV/0!</v>
      </c>
      <c r="AM106" s="2" t="e">
        <f t="shared" ref="AM106:AM160" si="118">1-(EXP($AJ106)/(1 + EXP($AJ106)))</f>
        <v>#DIV/0!</v>
      </c>
      <c r="AN106" s="2" t="e">
        <f t="shared" ref="AN106:AN160" si="119">1-(EXP($AK106+AM$35)/(1 + EXP($AK106+AM$35)))</f>
        <v>#DIV/0!</v>
      </c>
      <c r="AP106" s="8" t="e">
        <f t="shared" si="106"/>
        <v>#DIV/0!</v>
      </c>
      <c r="AQ106" s="2" t="e">
        <f t="shared" si="107"/>
        <v>#DIV/0!</v>
      </c>
      <c r="AS106" s="2" t="e">
        <f t="shared" ref="AS106:AS160" si="120">1-NORMSDIST($AP106)</f>
        <v>#DIV/0!</v>
      </c>
      <c r="AT106" s="16" t="e">
        <f t="shared" ref="AT106:AT160" si="121">1-NORMSDIST($AQ106+AS$35)</f>
        <v>#DIV/0!</v>
      </c>
      <c r="AV106" s="8" t="e">
        <f t="shared" si="108"/>
        <v>#DIV/0!</v>
      </c>
      <c r="AW106" s="2" t="e">
        <f t="shared" si="109"/>
        <v>#DIV/0!</v>
      </c>
      <c r="AY106" s="2" t="e">
        <f t="shared" ref="AY106:AY160" si="122">EXP(-EXP($AV106))</f>
        <v>#DIV/0!</v>
      </c>
      <c r="AZ106" s="2" t="e">
        <f t="shared" ref="AZ106:AZ160" si="123">EXP(-EXP($AW106+AZ$35))</f>
        <v>#DIV/0!</v>
      </c>
      <c r="BD106" s="8" t="e">
        <f t="shared" si="110"/>
        <v>#DIV/0!</v>
      </c>
      <c r="BE106" s="2" t="e">
        <f t="shared" si="111"/>
        <v>#DIV/0!</v>
      </c>
      <c r="BG106" s="2" t="e">
        <f t="shared" ref="BG106:BG160" si="124">1-(EXP($BD106)/(1 + EXP($BD106)))</f>
        <v>#DIV/0!</v>
      </c>
      <c r="BH106" s="2" t="e">
        <f t="shared" ref="BH106:BH160" si="125">1-(EXP($BE106+BH$35)/(1 + EXP($BE106+BH$35)))</f>
        <v>#DIV/0!</v>
      </c>
      <c r="BL106" s="8" t="e">
        <f t="shared" si="112"/>
        <v>#DIV/0!</v>
      </c>
      <c r="BM106" s="2" t="e">
        <f t="shared" si="113"/>
        <v>#DIV/0!</v>
      </c>
      <c r="BO106" s="2" t="e">
        <f t="shared" ref="BO106:BO160" si="126">1-NORMSDIST($BL106)</f>
        <v>#DIV/0!</v>
      </c>
      <c r="BP106" s="2" t="e">
        <f t="shared" ref="BP106:BP160" si="127">1-NORMSDIST($BM106+BP$35)</f>
        <v>#DIV/0!</v>
      </c>
    </row>
    <row r="107" spans="1:68" x14ac:dyDescent="0.2">
      <c r="A107" s="2">
        <f t="shared" si="114"/>
        <v>5.5833333333333304</v>
      </c>
      <c r="B107" s="2">
        <f t="shared" si="115"/>
        <v>3.7600112358255212E-3</v>
      </c>
      <c r="C107" s="2">
        <f t="shared" si="89"/>
        <v>3.7600112358255212E-3</v>
      </c>
      <c r="D107" s="8">
        <f t="shared" si="90"/>
        <v>3.7600112358255212E-3</v>
      </c>
      <c r="E107" s="2">
        <f t="shared" si="91"/>
        <v>3.7600112358255212E-3</v>
      </c>
      <c r="H107" s="8" t="e">
        <f t="shared" si="92"/>
        <v>#DIV/0!</v>
      </c>
      <c r="I107" s="2" t="e">
        <f t="shared" si="93"/>
        <v>#DIV/0!</v>
      </c>
      <c r="L107" s="8">
        <f t="shared" si="94"/>
        <v>4.2735676948384538E-2</v>
      </c>
      <c r="M107" s="2">
        <f t="shared" si="95"/>
        <v>4.2735676948384538E-2</v>
      </c>
      <c r="P107" s="8">
        <f t="shared" si="96"/>
        <v>0.15189873417721522</v>
      </c>
      <c r="Q107" s="2">
        <f t="shared" si="97"/>
        <v>0.15189873417721522</v>
      </c>
      <c r="T107" s="8">
        <f t="shared" si="98"/>
        <v>3.7600112358254778E-3</v>
      </c>
      <c r="U107" s="2">
        <f t="shared" si="99"/>
        <v>3.7600112358254778E-3</v>
      </c>
      <c r="X107" s="8">
        <f t="shared" si="100"/>
        <v>4.2735676948384538E-2</v>
      </c>
      <c r="Y107" s="2">
        <f t="shared" si="101"/>
        <v>4.2735676948384538E-2</v>
      </c>
      <c r="AD107" s="8" t="e">
        <f t="shared" si="102"/>
        <v>#DIV/0!</v>
      </c>
      <c r="AE107" s="2" t="e">
        <f t="shared" si="103"/>
        <v>#DIV/0!</v>
      </c>
      <c r="AG107" s="2" t="e">
        <f t="shared" si="116"/>
        <v>#DIV/0!</v>
      </c>
      <c r="AH107" s="2" t="e">
        <f t="shared" si="117"/>
        <v>#DIV/0!</v>
      </c>
      <c r="AJ107" s="8" t="e">
        <f t="shared" si="104"/>
        <v>#DIV/0!</v>
      </c>
      <c r="AK107" s="2" t="e">
        <f t="shared" si="105"/>
        <v>#DIV/0!</v>
      </c>
      <c r="AM107" s="2" t="e">
        <f t="shared" si="118"/>
        <v>#DIV/0!</v>
      </c>
      <c r="AN107" s="2" t="e">
        <f t="shared" si="119"/>
        <v>#DIV/0!</v>
      </c>
      <c r="AP107" s="8" t="e">
        <f t="shared" si="106"/>
        <v>#DIV/0!</v>
      </c>
      <c r="AQ107" s="2" t="e">
        <f t="shared" si="107"/>
        <v>#DIV/0!</v>
      </c>
      <c r="AS107" s="2" t="e">
        <f t="shared" si="120"/>
        <v>#DIV/0!</v>
      </c>
      <c r="AT107" s="16" t="e">
        <f t="shared" si="121"/>
        <v>#DIV/0!</v>
      </c>
      <c r="AV107" s="8" t="e">
        <f t="shared" si="108"/>
        <v>#DIV/0!</v>
      </c>
      <c r="AW107" s="2" t="e">
        <f t="shared" si="109"/>
        <v>#DIV/0!</v>
      </c>
      <c r="AY107" s="2" t="e">
        <f t="shared" si="122"/>
        <v>#DIV/0!</v>
      </c>
      <c r="AZ107" s="2" t="e">
        <f t="shared" si="123"/>
        <v>#DIV/0!</v>
      </c>
      <c r="BD107" s="8" t="e">
        <f t="shared" si="110"/>
        <v>#DIV/0!</v>
      </c>
      <c r="BE107" s="2" t="e">
        <f t="shared" si="111"/>
        <v>#DIV/0!</v>
      </c>
      <c r="BG107" s="2" t="e">
        <f t="shared" si="124"/>
        <v>#DIV/0!</v>
      </c>
      <c r="BH107" s="2" t="e">
        <f t="shared" si="125"/>
        <v>#DIV/0!</v>
      </c>
      <c r="BL107" s="8" t="e">
        <f t="shared" si="112"/>
        <v>#DIV/0!</v>
      </c>
      <c r="BM107" s="2" t="e">
        <f t="shared" si="113"/>
        <v>#DIV/0!</v>
      </c>
      <c r="BO107" s="2" t="e">
        <f t="shared" si="126"/>
        <v>#DIV/0!</v>
      </c>
      <c r="BP107" s="2" t="e">
        <f t="shared" si="127"/>
        <v>#DIV/0!</v>
      </c>
    </row>
    <row r="108" spans="1:68" x14ac:dyDescent="0.2">
      <c r="A108" s="2">
        <f t="shared" si="114"/>
        <v>5.6666666666666634</v>
      </c>
      <c r="B108" s="2">
        <f t="shared" si="115"/>
        <v>3.4593773364647706E-3</v>
      </c>
      <c r="C108" s="2">
        <f t="shared" si="89"/>
        <v>3.4593773364647706E-3</v>
      </c>
      <c r="D108" s="8">
        <f t="shared" si="90"/>
        <v>3.4593773364647706E-3</v>
      </c>
      <c r="E108" s="2">
        <f t="shared" si="91"/>
        <v>3.4593773364647706E-3</v>
      </c>
      <c r="H108" s="8" t="e">
        <f t="shared" si="92"/>
        <v>#DIV/0!</v>
      </c>
      <c r="I108" s="2" t="e">
        <f t="shared" si="93"/>
        <v>#DIV/0!</v>
      </c>
      <c r="L108" s="8">
        <f t="shared" si="94"/>
        <v>4.1405746215938177E-2</v>
      </c>
      <c r="M108" s="2">
        <f t="shared" si="95"/>
        <v>4.1405746215938177E-2</v>
      </c>
      <c r="P108" s="8">
        <f t="shared" si="96"/>
        <v>0.15000000000000002</v>
      </c>
      <c r="Q108" s="2">
        <f t="shared" si="97"/>
        <v>0.15000000000000002</v>
      </c>
      <c r="T108" s="8">
        <f t="shared" si="98"/>
        <v>3.4593773364647307E-3</v>
      </c>
      <c r="U108" s="2">
        <f t="shared" si="99"/>
        <v>3.4593773364647307E-3</v>
      </c>
      <c r="X108" s="8">
        <f t="shared" si="100"/>
        <v>4.1405746215938177E-2</v>
      </c>
      <c r="Y108" s="2">
        <f t="shared" si="101"/>
        <v>4.1405746215938177E-2</v>
      </c>
      <c r="AD108" s="8" t="e">
        <f t="shared" si="102"/>
        <v>#DIV/0!</v>
      </c>
      <c r="AE108" s="2" t="e">
        <f t="shared" si="103"/>
        <v>#DIV/0!</v>
      </c>
      <c r="AG108" s="2" t="e">
        <f t="shared" si="116"/>
        <v>#DIV/0!</v>
      </c>
      <c r="AH108" s="2" t="e">
        <f t="shared" si="117"/>
        <v>#DIV/0!</v>
      </c>
      <c r="AJ108" s="8" t="e">
        <f t="shared" si="104"/>
        <v>#DIV/0!</v>
      </c>
      <c r="AK108" s="2" t="e">
        <f t="shared" si="105"/>
        <v>#DIV/0!</v>
      </c>
      <c r="AM108" s="2" t="e">
        <f t="shared" si="118"/>
        <v>#DIV/0!</v>
      </c>
      <c r="AN108" s="2" t="e">
        <f t="shared" si="119"/>
        <v>#DIV/0!</v>
      </c>
      <c r="AP108" s="8" t="e">
        <f t="shared" si="106"/>
        <v>#DIV/0!</v>
      </c>
      <c r="AQ108" s="2" t="e">
        <f t="shared" si="107"/>
        <v>#DIV/0!</v>
      </c>
      <c r="AS108" s="2" t="e">
        <f t="shared" si="120"/>
        <v>#DIV/0!</v>
      </c>
      <c r="AT108" s="16" t="e">
        <f t="shared" si="121"/>
        <v>#DIV/0!</v>
      </c>
      <c r="AV108" s="8" t="e">
        <f t="shared" si="108"/>
        <v>#DIV/0!</v>
      </c>
      <c r="AW108" s="2" t="e">
        <f t="shared" si="109"/>
        <v>#DIV/0!</v>
      </c>
      <c r="AY108" s="2" t="e">
        <f t="shared" si="122"/>
        <v>#DIV/0!</v>
      </c>
      <c r="AZ108" s="2" t="e">
        <f t="shared" si="123"/>
        <v>#DIV/0!</v>
      </c>
      <c r="BD108" s="8" t="e">
        <f t="shared" si="110"/>
        <v>#DIV/0!</v>
      </c>
      <c r="BE108" s="2" t="e">
        <f t="shared" si="111"/>
        <v>#DIV/0!</v>
      </c>
      <c r="BG108" s="2" t="e">
        <f t="shared" si="124"/>
        <v>#DIV/0!</v>
      </c>
      <c r="BH108" s="2" t="e">
        <f t="shared" si="125"/>
        <v>#DIV/0!</v>
      </c>
      <c r="BL108" s="8" t="e">
        <f t="shared" si="112"/>
        <v>#DIV/0!</v>
      </c>
      <c r="BM108" s="2" t="e">
        <f t="shared" si="113"/>
        <v>#DIV/0!</v>
      </c>
      <c r="BO108" s="2" t="e">
        <f t="shared" si="126"/>
        <v>#DIV/0!</v>
      </c>
      <c r="BP108" s="2" t="e">
        <f t="shared" si="127"/>
        <v>#DIV/0!</v>
      </c>
    </row>
    <row r="109" spans="1:68" x14ac:dyDescent="0.2">
      <c r="A109" s="2">
        <f t="shared" si="114"/>
        <v>5.7499999999999964</v>
      </c>
      <c r="B109" s="2">
        <f t="shared" si="115"/>
        <v>3.1827807965096782E-3</v>
      </c>
      <c r="C109" s="2">
        <f t="shared" si="89"/>
        <v>3.1827807965096782E-3</v>
      </c>
      <c r="D109" s="8">
        <f t="shared" si="90"/>
        <v>3.1827807965096782E-3</v>
      </c>
      <c r="E109" s="2">
        <f t="shared" si="91"/>
        <v>3.1827807965096782E-3</v>
      </c>
      <c r="H109" s="8" t="e">
        <f t="shared" si="92"/>
        <v>#DIV/0!</v>
      </c>
      <c r="I109" s="2" t="e">
        <f t="shared" si="93"/>
        <v>#DIV/0!</v>
      </c>
      <c r="L109" s="8">
        <f t="shared" si="94"/>
        <v>4.012823959357692E-2</v>
      </c>
      <c r="M109" s="2">
        <f t="shared" si="95"/>
        <v>4.012823959357692E-2</v>
      </c>
      <c r="P109" s="8">
        <f t="shared" si="96"/>
        <v>0.14814814814814825</v>
      </c>
      <c r="Q109" s="2">
        <f t="shared" si="97"/>
        <v>0.14814814814814825</v>
      </c>
      <c r="T109" s="8">
        <f t="shared" si="98"/>
        <v>3.1827807965096877E-3</v>
      </c>
      <c r="U109" s="2">
        <f t="shared" si="99"/>
        <v>3.1827807965096877E-3</v>
      </c>
      <c r="X109" s="8">
        <f t="shared" si="100"/>
        <v>4.012823959357692E-2</v>
      </c>
      <c r="Y109" s="2">
        <f t="shared" si="101"/>
        <v>4.012823959357692E-2</v>
      </c>
      <c r="AD109" s="8" t="e">
        <f t="shared" si="102"/>
        <v>#DIV/0!</v>
      </c>
      <c r="AE109" s="2" t="e">
        <f t="shared" si="103"/>
        <v>#DIV/0!</v>
      </c>
      <c r="AG109" s="2" t="e">
        <f t="shared" si="116"/>
        <v>#DIV/0!</v>
      </c>
      <c r="AH109" s="2" t="e">
        <f t="shared" si="117"/>
        <v>#DIV/0!</v>
      </c>
      <c r="AJ109" s="8" t="e">
        <f t="shared" si="104"/>
        <v>#DIV/0!</v>
      </c>
      <c r="AK109" s="2" t="e">
        <f t="shared" si="105"/>
        <v>#DIV/0!</v>
      </c>
      <c r="AM109" s="2" t="e">
        <f t="shared" si="118"/>
        <v>#DIV/0!</v>
      </c>
      <c r="AN109" s="2" t="e">
        <f t="shared" si="119"/>
        <v>#DIV/0!</v>
      </c>
      <c r="AP109" s="8" t="e">
        <f t="shared" si="106"/>
        <v>#DIV/0!</v>
      </c>
      <c r="AQ109" s="2" t="e">
        <f t="shared" si="107"/>
        <v>#DIV/0!</v>
      </c>
      <c r="AS109" s="2" t="e">
        <f t="shared" si="120"/>
        <v>#DIV/0!</v>
      </c>
      <c r="AT109" s="16" t="e">
        <f t="shared" si="121"/>
        <v>#DIV/0!</v>
      </c>
      <c r="AV109" s="8" t="e">
        <f t="shared" si="108"/>
        <v>#DIV/0!</v>
      </c>
      <c r="AW109" s="2" t="e">
        <f t="shared" si="109"/>
        <v>#DIV/0!</v>
      </c>
      <c r="AY109" s="2" t="e">
        <f t="shared" si="122"/>
        <v>#DIV/0!</v>
      </c>
      <c r="AZ109" s="2" t="e">
        <f t="shared" si="123"/>
        <v>#DIV/0!</v>
      </c>
      <c r="BD109" s="8" t="e">
        <f t="shared" si="110"/>
        <v>#DIV/0!</v>
      </c>
      <c r="BE109" s="2" t="e">
        <f t="shared" si="111"/>
        <v>#DIV/0!</v>
      </c>
      <c r="BG109" s="2" t="e">
        <f t="shared" si="124"/>
        <v>#DIV/0!</v>
      </c>
      <c r="BH109" s="2" t="e">
        <f t="shared" si="125"/>
        <v>#DIV/0!</v>
      </c>
      <c r="BL109" s="8" t="e">
        <f t="shared" si="112"/>
        <v>#DIV/0!</v>
      </c>
      <c r="BM109" s="2" t="e">
        <f t="shared" si="113"/>
        <v>#DIV/0!</v>
      </c>
      <c r="BO109" s="2" t="e">
        <f t="shared" si="126"/>
        <v>#DIV/0!</v>
      </c>
      <c r="BP109" s="2" t="e">
        <f t="shared" si="127"/>
        <v>#DIV/0!</v>
      </c>
    </row>
    <row r="110" spans="1:68" x14ac:dyDescent="0.2">
      <c r="A110" s="2">
        <f t="shared" si="114"/>
        <v>5.8333333333333295</v>
      </c>
      <c r="B110" s="2">
        <f t="shared" si="115"/>
        <v>2.9282996948181992E-3</v>
      </c>
      <c r="C110" s="2">
        <f t="shared" si="89"/>
        <v>2.9282996948181992E-3</v>
      </c>
      <c r="D110" s="8">
        <f t="shared" si="90"/>
        <v>2.9282996948181992E-3</v>
      </c>
      <c r="E110" s="2">
        <f t="shared" si="91"/>
        <v>2.9282996948181992E-3</v>
      </c>
      <c r="H110" s="8" t="e">
        <f t="shared" si="92"/>
        <v>#DIV/0!</v>
      </c>
      <c r="I110" s="2" t="e">
        <f t="shared" si="93"/>
        <v>#DIV/0!</v>
      </c>
      <c r="L110" s="8">
        <f t="shared" si="94"/>
        <v>3.8900634863338279E-2</v>
      </c>
      <c r="M110" s="2">
        <f t="shared" si="95"/>
        <v>3.8900634863338279E-2</v>
      </c>
      <c r="P110" s="8">
        <f t="shared" si="96"/>
        <v>0.14634146341463417</v>
      </c>
      <c r="Q110" s="2">
        <f t="shared" si="97"/>
        <v>0.14634146341463417</v>
      </c>
      <c r="T110" s="8">
        <f t="shared" si="98"/>
        <v>2.9282996948182261E-3</v>
      </c>
      <c r="U110" s="2">
        <f t="shared" si="99"/>
        <v>2.9282996948182261E-3</v>
      </c>
      <c r="X110" s="8">
        <f t="shared" si="100"/>
        <v>3.8900634863338279E-2</v>
      </c>
      <c r="Y110" s="2">
        <f t="shared" si="101"/>
        <v>3.8900634863338279E-2</v>
      </c>
      <c r="AD110" s="8" t="e">
        <f t="shared" si="102"/>
        <v>#DIV/0!</v>
      </c>
      <c r="AE110" s="2" t="e">
        <f t="shared" si="103"/>
        <v>#DIV/0!</v>
      </c>
      <c r="AG110" s="2" t="e">
        <f t="shared" si="116"/>
        <v>#DIV/0!</v>
      </c>
      <c r="AH110" s="2" t="e">
        <f t="shared" si="117"/>
        <v>#DIV/0!</v>
      </c>
      <c r="AJ110" s="8" t="e">
        <f t="shared" si="104"/>
        <v>#DIV/0!</v>
      </c>
      <c r="AK110" s="2" t="e">
        <f t="shared" si="105"/>
        <v>#DIV/0!</v>
      </c>
      <c r="AM110" s="2" t="e">
        <f t="shared" si="118"/>
        <v>#DIV/0!</v>
      </c>
      <c r="AN110" s="2" t="e">
        <f t="shared" si="119"/>
        <v>#DIV/0!</v>
      </c>
      <c r="AP110" s="8" t="e">
        <f t="shared" si="106"/>
        <v>#DIV/0!</v>
      </c>
      <c r="AQ110" s="2" t="e">
        <f t="shared" si="107"/>
        <v>#DIV/0!</v>
      </c>
      <c r="AS110" s="2" t="e">
        <f t="shared" si="120"/>
        <v>#DIV/0!</v>
      </c>
      <c r="AT110" s="16" t="e">
        <f t="shared" si="121"/>
        <v>#DIV/0!</v>
      </c>
      <c r="AV110" s="8" t="e">
        <f t="shared" si="108"/>
        <v>#DIV/0!</v>
      </c>
      <c r="AW110" s="2" t="e">
        <f t="shared" si="109"/>
        <v>#DIV/0!</v>
      </c>
      <c r="AY110" s="2" t="e">
        <f t="shared" si="122"/>
        <v>#DIV/0!</v>
      </c>
      <c r="AZ110" s="2" t="e">
        <f t="shared" si="123"/>
        <v>#DIV/0!</v>
      </c>
      <c r="BD110" s="8" t="e">
        <f t="shared" si="110"/>
        <v>#DIV/0!</v>
      </c>
      <c r="BE110" s="2" t="e">
        <f t="shared" si="111"/>
        <v>#DIV/0!</v>
      </c>
      <c r="BG110" s="2" t="e">
        <f t="shared" si="124"/>
        <v>#DIV/0!</v>
      </c>
      <c r="BH110" s="2" t="e">
        <f t="shared" si="125"/>
        <v>#DIV/0!</v>
      </c>
      <c r="BL110" s="8" t="e">
        <f t="shared" si="112"/>
        <v>#DIV/0!</v>
      </c>
      <c r="BM110" s="2" t="e">
        <f t="shared" si="113"/>
        <v>#DIV/0!</v>
      </c>
      <c r="BO110" s="2" t="e">
        <f t="shared" si="126"/>
        <v>#DIV/0!</v>
      </c>
      <c r="BP110" s="2" t="e">
        <f t="shared" si="127"/>
        <v>#DIV/0!</v>
      </c>
    </row>
    <row r="111" spans="1:68" x14ac:dyDescent="0.2">
      <c r="A111" s="2">
        <f t="shared" si="114"/>
        <v>5.9166666666666625</v>
      </c>
      <c r="B111" s="2">
        <f t="shared" si="115"/>
        <v>2.6941657785782367E-3</v>
      </c>
      <c r="C111" s="2">
        <f t="shared" si="89"/>
        <v>2.6941657785782367E-3</v>
      </c>
      <c r="D111" s="8">
        <f t="shared" si="90"/>
        <v>2.6941657785782367E-3</v>
      </c>
      <c r="E111" s="2">
        <f t="shared" si="91"/>
        <v>2.6941657785782367E-3</v>
      </c>
      <c r="H111" s="8" t="e">
        <f t="shared" si="92"/>
        <v>#DIV/0!</v>
      </c>
      <c r="I111" s="2" t="e">
        <f t="shared" si="93"/>
        <v>#DIV/0!</v>
      </c>
      <c r="L111" s="8">
        <f t="shared" si="94"/>
        <v>3.7720553649090549E-2</v>
      </c>
      <c r="M111" s="2">
        <f t="shared" si="95"/>
        <v>3.7720553649090549E-2</v>
      </c>
      <c r="P111" s="8">
        <f t="shared" si="96"/>
        <v>0.14457831325301218</v>
      </c>
      <c r="Q111" s="2">
        <f t="shared" si="97"/>
        <v>0.14457831325301218</v>
      </c>
      <c r="T111" s="8">
        <f t="shared" si="98"/>
        <v>2.6941657785782835E-3</v>
      </c>
      <c r="U111" s="2">
        <f t="shared" si="99"/>
        <v>2.6941657785782835E-3</v>
      </c>
      <c r="X111" s="8">
        <f t="shared" si="100"/>
        <v>3.7720553649090549E-2</v>
      </c>
      <c r="Y111" s="2">
        <f t="shared" si="101"/>
        <v>3.7720553649090549E-2</v>
      </c>
      <c r="AD111" s="8" t="e">
        <f t="shared" si="102"/>
        <v>#DIV/0!</v>
      </c>
      <c r="AE111" s="2" t="e">
        <f t="shared" si="103"/>
        <v>#DIV/0!</v>
      </c>
      <c r="AG111" s="2" t="e">
        <f t="shared" si="116"/>
        <v>#DIV/0!</v>
      </c>
      <c r="AH111" s="2" t="e">
        <f t="shared" si="117"/>
        <v>#DIV/0!</v>
      </c>
      <c r="AJ111" s="8" t="e">
        <f t="shared" si="104"/>
        <v>#DIV/0!</v>
      </c>
      <c r="AK111" s="2" t="e">
        <f t="shared" si="105"/>
        <v>#DIV/0!</v>
      </c>
      <c r="AM111" s="2" t="e">
        <f t="shared" si="118"/>
        <v>#DIV/0!</v>
      </c>
      <c r="AN111" s="2" t="e">
        <f t="shared" si="119"/>
        <v>#DIV/0!</v>
      </c>
      <c r="AP111" s="8" t="e">
        <f t="shared" si="106"/>
        <v>#DIV/0!</v>
      </c>
      <c r="AQ111" s="2" t="e">
        <f t="shared" si="107"/>
        <v>#DIV/0!</v>
      </c>
      <c r="AS111" s="2" t="e">
        <f t="shared" si="120"/>
        <v>#DIV/0!</v>
      </c>
      <c r="AT111" s="16" t="e">
        <f t="shared" si="121"/>
        <v>#DIV/0!</v>
      </c>
      <c r="AV111" s="8" t="e">
        <f t="shared" si="108"/>
        <v>#DIV/0!</v>
      </c>
      <c r="AW111" s="2" t="e">
        <f t="shared" si="109"/>
        <v>#DIV/0!</v>
      </c>
      <c r="AY111" s="2" t="e">
        <f t="shared" si="122"/>
        <v>#DIV/0!</v>
      </c>
      <c r="AZ111" s="2" t="e">
        <f t="shared" si="123"/>
        <v>#DIV/0!</v>
      </c>
      <c r="BD111" s="8" t="e">
        <f t="shared" si="110"/>
        <v>#DIV/0!</v>
      </c>
      <c r="BE111" s="2" t="e">
        <f t="shared" si="111"/>
        <v>#DIV/0!</v>
      </c>
      <c r="BG111" s="2" t="e">
        <f t="shared" si="124"/>
        <v>#DIV/0!</v>
      </c>
      <c r="BH111" s="2" t="e">
        <f t="shared" si="125"/>
        <v>#DIV/0!</v>
      </c>
      <c r="BL111" s="8" t="e">
        <f t="shared" si="112"/>
        <v>#DIV/0!</v>
      </c>
      <c r="BM111" s="2" t="e">
        <f t="shared" si="113"/>
        <v>#DIV/0!</v>
      </c>
      <c r="BO111" s="2" t="e">
        <f t="shared" si="126"/>
        <v>#DIV/0!</v>
      </c>
      <c r="BP111" s="2" t="e">
        <f t="shared" si="127"/>
        <v>#DIV/0!</v>
      </c>
    </row>
    <row r="112" spans="1:68" x14ac:dyDescent="0.2">
      <c r="A112" s="2">
        <f t="shared" si="114"/>
        <v>5.9999999999999956</v>
      </c>
      <c r="B112" s="2">
        <f t="shared" si="115"/>
        <v>2.4787521766663693E-3</v>
      </c>
      <c r="C112" s="2">
        <f t="shared" si="89"/>
        <v>2.4787521766663693E-3</v>
      </c>
      <c r="D112" s="8">
        <f t="shared" si="90"/>
        <v>2.4787521766663693E-3</v>
      </c>
      <c r="E112" s="2">
        <f t="shared" si="91"/>
        <v>2.4787521766663693E-3</v>
      </c>
      <c r="H112" s="8" t="e">
        <f t="shared" si="92"/>
        <v>#DIV/0!</v>
      </c>
      <c r="I112" s="2" t="e">
        <f t="shared" si="93"/>
        <v>#DIV/0!</v>
      </c>
      <c r="L112" s="8">
        <f t="shared" si="94"/>
        <v>3.6585751917042941E-2</v>
      </c>
      <c r="M112" s="2">
        <f t="shared" si="95"/>
        <v>3.6585751917042941E-2</v>
      </c>
      <c r="P112" s="8">
        <f t="shared" si="96"/>
        <v>0.1428571428571429</v>
      </c>
      <c r="Q112" s="2">
        <f t="shared" si="97"/>
        <v>0.1428571428571429</v>
      </c>
      <c r="T112" s="8">
        <f t="shared" si="98"/>
        <v>2.4787521766663767E-3</v>
      </c>
      <c r="U112" s="2">
        <f t="shared" si="99"/>
        <v>2.4787521766663767E-3</v>
      </c>
      <c r="X112" s="8">
        <f t="shared" si="100"/>
        <v>3.6585751917042941E-2</v>
      </c>
      <c r="Y112" s="2">
        <f t="shared" si="101"/>
        <v>3.6585751917042941E-2</v>
      </c>
      <c r="AD112" s="8" t="e">
        <f t="shared" si="102"/>
        <v>#DIV/0!</v>
      </c>
      <c r="AE112" s="2" t="e">
        <f t="shared" si="103"/>
        <v>#DIV/0!</v>
      </c>
      <c r="AG112" s="2" t="e">
        <f t="shared" si="116"/>
        <v>#DIV/0!</v>
      </c>
      <c r="AH112" s="2" t="e">
        <f t="shared" si="117"/>
        <v>#DIV/0!</v>
      </c>
      <c r="AJ112" s="8" t="e">
        <f t="shared" si="104"/>
        <v>#DIV/0!</v>
      </c>
      <c r="AK112" s="2" t="e">
        <f t="shared" si="105"/>
        <v>#DIV/0!</v>
      </c>
      <c r="AM112" s="2" t="e">
        <f t="shared" si="118"/>
        <v>#DIV/0!</v>
      </c>
      <c r="AN112" s="2" t="e">
        <f t="shared" si="119"/>
        <v>#DIV/0!</v>
      </c>
      <c r="AP112" s="8" t="e">
        <f t="shared" si="106"/>
        <v>#DIV/0!</v>
      </c>
      <c r="AQ112" s="2" t="e">
        <f t="shared" si="107"/>
        <v>#DIV/0!</v>
      </c>
      <c r="AS112" s="2" t="e">
        <f t="shared" si="120"/>
        <v>#DIV/0!</v>
      </c>
      <c r="AT112" s="16" t="e">
        <f t="shared" si="121"/>
        <v>#DIV/0!</v>
      </c>
      <c r="AV112" s="8" t="e">
        <f t="shared" si="108"/>
        <v>#DIV/0!</v>
      </c>
      <c r="AW112" s="2" t="e">
        <f t="shared" si="109"/>
        <v>#DIV/0!</v>
      </c>
      <c r="AY112" s="2" t="e">
        <f t="shared" si="122"/>
        <v>#DIV/0!</v>
      </c>
      <c r="AZ112" s="2" t="e">
        <f t="shared" si="123"/>
        <v>#DIV/0!</v>
      </c>
      <c r="BD112" s="8" t="e">
        <f t="shared" si="110"/>
        <v>#DIV/0!</v>
      </c>
      <c r="BE112" s="2" t="e">
        <f t="shared" si="111"/>
        <v>#DIV/0!</v>
      </c>
      <c r="BG112" s="2" t="e">
        <f t="shared" si="124"/>
        <v>#DIV/0!</v>
      </c>
      <c r="BH112" s="2" t="e">
        <f t="shared" si="125"/>
        <v>#DIV/0!</v>
      </c>
      <c r="BL112" s="8" t="e">
        <f t="shared" si="112"/>
        <v>#DIV/0!</v>
      </c>
      <c r="BM112" s="2" t="e">
        <f t="shared" si="113"/>
        <v>#DIV/0!</v>
      </c>
      <c r="BO112" s="2" t="e">
        <f t="shared" si="126"/>
        <v>#DIV/0!</v>
      </c>
      <c r="BP112" s="2" t="e">
        <f t="shared" si="127"/>
        <v>#DIV/0!</v>
      </c>
    </row>
    <row r="113" spans="1:68" x14ac:dyDescent="0.2">
      <c r="A113" s="2">
        <f t="shared" si="114"/>
        <v>6.0833333333333286</v>
      </c>
      <c r="B113" s="2">
        <f t="shared" si="115"/>
        <v>2.2805620953921715E-3</v>
      </c>
      <c r="C113" s="2">
        <f t="shared" si="89"/>
        <v>2.2805620953921715E-3</v>
      </c>
      <c r="D113" s="8">
        <f t="shared" si="90"/>
        <v>2.2805620953921715E-3</v>
      </c>
      <c r="E113" s="2">
        <f t="shared" si="91"/>
        <v>2.2805620953921715E-3</v>
      </c>
      <c r="H113" s="8" t="e">
        <f t="shared" si="92"/>
        <v>#DIV/0!</v>
      </c>
      <c r="I113" s="2" t="e">
        <f t="shared" si="93"/>
        <v>#DIV/0!</v>
      </c>
      <c r="L113" s="8">
        <f t="shared" si="94"/>
        <v>3.5494111189116828E-2</v>
      </c>
      <c r="M113" s="2">
        <f t="shared" si="95"/>
        <v>3.5494111189116828E-2</v>
      </c>
      <c r="P113" s="8">
        <f t="shared" si="96"/>
        <v>0.14117647058823546</v>
      </c>
      <c r="Q113" s="2">
        <f t="shared" si="97"/>
        <v>0.14117647058823546</v>
      </c>
      <c r="T113" s="8">
        <f t="shared" si="98"/>
        <v>2.2805620953921801E-3</v>
      </c>
      <c r="U113" s="2">
        <f t="shared" si="99"/>
        <v>2.2805620953921801E-3</v>
      </c>
      <c r="X113" s="8">
        <f t="shared" si="100"/>
        <v>3.5494111189116828E-2</v>
      </c>
      <c r="Y113" s="2">
        <f t="shared" si="101"/>
        <v>3.5494111189116828E-2</v>
      </c>
      <c r="AD113" s="8" t="e">
        <f t="shared" si="102"/>
        <v>#DIV/0!</v>
      </c>
      <c r="AE113" s="2" t="e">
        <f t="shared" si="103"/>
        <v>#DIV/0!</v>
      </c>
      <c r="AG113" s="2" t="e">
        <f t="shared" si="116"/>
        <v>#DIV/0!</v>
      </c>
      <c r="AH113" s="2" t="e">
        <f t="shared" si="117"/>
        <v>#DIV/0!</v>
      </c>
      <c r="AJ113" s="8" t="e">
        <f t="shared" si="104"/>
        <v>#DIV/0!</v>
      </c>
      <c r="AK113" s="2" t="e">
        <f t="shared" si="105"/>
        <v>#DIV/0!</v>
      </c>
      <c r="AM113" s="2" t="e">
        <f t="shared" si="118"/>
        <v>#DIV/0!</v>
      </c>
      <c r="AN113" s="2" t="e">
        <f t="shared" si="119"/>
        <v>#DIV/0!</v>
      </c>
      <c r="AP113" s="8" t="e">
        <f t="shared" si="106"/>
        <v>#DIV/0!</v>
      </c>
      <c r="AQ113" s="2" t="e">
        <f t="shared" si="107"/>
        <v>#DIV/0!</v>
      </c>
      <c r="AS113" s="2" t="e">
        <f t="shared" si="120"/>
        <v>#DIV/0!</v>
      </c>
      <c r="AT113" s="16" t="e">
        <f t="shared" si="121"/>
        <v>#DIV/0!</v>
      </c>
      <c r="AV113" s="8" t="e">
        <f t="shared" si="108"/>
        <v>#DIV/0!</v>
      </c>
      <c r="AW113" s="2" t="e">
        <f t="shared" si="109"/>
        <v>#DIV/0!</v>
      </c>
      <c r="AY113" s="2" t="e">
        <f t="shared" si="122"/>
        <v>#DIV/0!</v>
      </c>
      <c r="AZ113" s="2" t="e">
        <f t="shared" si="123"/>
        <v>#DIV/0!</v>
      </c>
      <c r="BD113" s="8" t="e">
        <f t="shared" si="110"/>
        <v>#DIV/0!</v>
      </c>
      <c r="BE113" s="2" t="e">
        <f t="shared" si="111"/>
        <v>#DIV/0!</v>
      </c>
      <c r="BG113" s="2" t="e">
        <f t="shared" si="124"/>
        <v>#DIV/0!</v>
      </c>
      <c r="BH113" s="2" t="e">
        <f t="shared" si="125"/>
        <v>#DIV/0!</v>
      </c>
      <c r="BL113" s="8" t="e">
        <f t="shared" si="112"/>
        <v>#DIV/0!</v>
      </c>
      <c r="BM113" s="2" t="e">
        <f t="shared" si="113"/>
        <v>#DIV/0!</v>
      </c>
      <c r="BO113" s="2" t="e">
        <f t="shared" si="126"/>
        <v>#DIV/0!</v>
      </c>
      <c r="BP113" s="2" t="e">
        <f t="shared" si="127"/>
        <v>#DIV/0!</v>
      </c>
    </row>
    <row r="114" spans="1:68" x14ac:dyDescent="0.2">
      <c r="A114" s="2">
        <f t="shared" si="114"/>
        <v>6.1666666666666616</v>
      </c>
      <c r="B114" s="2">
        <f t="shared" si="115"/>
        <v>2.0982184180809139E-3</v>
      </c>
      <c r="C114" s="2">
        <f t="shared" si="89"/>
        <v>2.0982184180809139E-3</v>
      </c>
      <c r="D114" s="8">
        <f t="shared" si="90"/>
        <v>2.0982184180809139E-3</v>
      </c>
      <c r="E114" s="2">
        <f t="shared" si="91"/>
        <v>2.0982184180809139E-3</v>
      </c>
      <c r="H114" s="8" t="e">
        <f t="shared" si="92"/>
        <v>#DIV/0!</v>
      </c>
      <c r="I114" s="2" t="e">
        <f t="shared" si="93"/>
        <v>#DIV/0!</v>
      </c>
      <c r="L114" s="8">
        <f t="shared" si="94"/>
        <v>3.4443630409332404E-2</v>
      </c>
      <c r="M114" s="2">
        <f t="shared" si="95"/>
        <v>3.4443630409332404E-2</v>
      </c>
      <c r="P114" s="8">
        <f t="shared" si="96"/>
        <v>0.13953488372093037</v>
      </c>
      <c r="Q114" s="2">
        <f t="shared" si="97"/>
        <v>0.13953488372093037</v>
      </c>
      <c r="T114" s="8">
        <f t="shared" si="98"/>
        <v>2.0982184180808883E-3</v>
      </c>
      <c r="U114" s="2">
        <f t="shared" si="99"/>
        <v>2.0982184180808883E-3</v>
      </c>
      <c r="X114" s="8">
        <f t="shared" si="100"/>
        <v>3.4443630409332404E-2</v>
      </c>
      <c r="Y114" s="2">
        <f t="shared" si="101"/>
        <v>3.4443630409332404E-2</v>
      </c>
      <c r="AD114" s="8" t="e">
        <f t="shared" si="102"/>
        <v>#DIV/0!</v>
      </c>
      <c r="AE114" s="2" t="e">
        <f t="shared" si="103"/>
        <v>#DIV/0!</v>
      </c>
      <c r="AG114" s="2" t="e">
        <f t="shared" si="116"/>
        <v>#DIV/0!</v>
      </c>
      <c r="AH114" s="2" t="e">
        <f t="shared" si="117"/>
        <v>#DIV/0!</v>
      </c>
      <c r="AJ114" s="8" t="e">
        <f t="shared" si="104"/>
        <v>#DIV/0!</v>
      </c>
      <c r="AK114" s="2" t="e">
        <f t="shared" si="105"/>
        <v>#DIV/0!</v>
      </c>
      <c r="AM114" s="2" t="e">
        <f t="shared" si="118"/>
        <v>#DIV/0!</v>
      </c>
      <c r="AN114" s="2" t="e">
        <f t="shared" si="119"/>
        <v>#DIV/0!</v>
      </c>
      <c r="AP114" s="8" t="e">
        <f t="shared" si="106"/>
        <v>#DIV/0!</v>
      </c>
      <c r="AQ114" s="2" t="e">
        <f t="shared" si="107"/>
        <v>#DIV/0!</v>
      </c>
      <c r="AS114" s="2" t="e">
        <f t="shared" si="120"/>
        <v>#DIV/0!</v>
      </c>
      <c r="AT114" s="16" t="e">
        <f t="shared" si="121"/>
        <v>#DIV/0!</v>
      </c>
      <c r="AV114" s="8" t="e">
        <f t="shared" si="108"/>
        <v>#DIV/0!</v>
      </c>
      <c r="AW114" s="2" t="e">
        <f t="shared" si="109"/>
        <v>#DIV/0!</v>
      </c>
      <c r="AY114" s="2" t="e">
        <f t="shared" si="122"/>
        <v>#DIV/0!</v>
      </c>
      <c r="AZ114" s="2" t="e">
        <f t="shared" si="123"/>
        <v>#DIV/0!</v>
      </c>
      <c r="BD114" s="8" t="e">
        <f t="shared" si="110"/>
        <v>#DIV/0!</v>
      </c>
      <c r="BE114" s="2" t="e">
        <f t="shared" si="111"/>
        <v>#DIV/0!</v>
      </c>
      <c r="BG114" s="2" t="e">
        <f t="shared" si="124"/>
        <v>#DIV/0!</v>
      </c>
      <c r="BH114" s="2" t="e">
        <f t="shared" si="125"/>
        <v>#DIV/0!</v>
      </c>
      <c r="BL114" s="8" t="e">
        <f t="shared" si="112"/>
        <v>#DIV/0!</v>
      </c>
      <c r="BM114" s="2" t="e">
        <f t="shared" si="113"/>
        <v>#DIV/0!</v>
      </c>
      <c r="BO114" s="2" t="e">
        <f t="shared" si="126"/>
        <v>#DIV/0!</v>
      </c>
      <c r="BP114" s="2" t="e">
        <f t="shared" si="127"/>
        <v>#DIV/0!</v>
      </c>
    </row>
    <row r="115" spans="1:68" x14ac:dyDescent="0.2">
      <c r="A115" s="2">
        <f t="shared" si="114"/>
        <v>6.2499999999999947</v>
      </c>
      <c r="B115" s="2">
        <f t="shared" si="115"/>
        <v>1.9304541362277195E-3</v>
      </c>
      <c r="C115" s="2">
        <f t="shared" si="89"/>
        <v>1.9304541362277195E-3</v>
      </c>
      <c r="D115" s="8">
        <f t="shared" si="90"/>
        <v>1.9304541362277195E-3</v>
      </c>
      <c r="E115" s="2">
        <f t="shared" si="91"/>
        <v>1.9304541362277195E-3</v>
      </c>
      <c r="H115" s="8" t="e">
        <f t="shared" si="92"/>
        <v>#DIV/0!</v>
      </c>
      <c r="I115" s="2" t="e">
        <f t="shared" si="93"/>
        <v>#DIV/0!</v>
      </c>
      <c r="L115" s="8">
        <f t="shared" si="94"/>
        <v>3.3432418408916975E-2</v>
      </c>
      <c r="M115" s="2">
        <f t="shared" si="95"/>
        <v>3.3432418408916975E-2</v>
      </c>
      <c r="P115" s="8">
        <f t="shared" si="96"/>
        <v>0.13793103448275867</v>
      </c>
      <c r="Q115" s="2">
        <f t="shared" si="97"/>
        <v>0.13793103448275867</v>
      </c>
      <c r="T115" s="8">
        <f t="shared" si="98"/>
        <v>1.9304541362277217E-3</v>
      </c>
      <c r="U115" s="2">
        <f t="shared" si="99"/>
        <v>1.9304541362277217E-3</v>
      </c>
      <c r="X115" s="8">
        <f t="shared" si="100"/>
        <v>3.3432418408916975E-2</v>
      </c>
      <c r="Y115" s="2">
        <f t="shared" si="101"/>
        <v>3.3432418408916975E-2</v>
      </c>
      <c r="AD115" s="8" t="e">
        <f t="shared" si="102"/>
        <v>#DIV/0!</v>
      </c>
      <c r="AE115" s="2" t="e">
        <f t="shared" si="103"/>
        <v>#DIV/0!</v>
      </c>
      <c r="AG115" s="2" t="e">
        <f t="shared" si="116"/>
        <v>#DIV/0!</v>
      </c>
      <c r="AH115" s="2" t="e">
        <f t="shared" si="117"/>
        <v>#DIV/0!</v>
      </c>
      <c r="AJ115" s="8" t="e">
        <f t="shared" si="104"/>
        <v>#DIV/0!</v>
      </c>
      <c r="AK115" s="2" t="e">
        <f t="shared" si="105"/>
        <v>#DIV/0!</v>
      </c>
      <c r="AM115" s="2" t="e">
        <f t="shared" si="118"/>
        <v>#DIV/0!</v>
      </c>
      <c r="AN115" s="2" t="e">
        <f t="shared" si="119"/>
        <v>#DIV/0!</v>
      </c>
      <c r="AP115" s="8" t="e">
        <f t="shared" si="106"/>
        <v>#DIV/0!</v>
      </c>
      <c r="AQ115" s="2" t="e">
        <f t="shared" si="107"/>
        <v>#DIV/0!</v>
      </c>
      <c r="AS115" s="2" t="e">
        <f t="shared" si="120"/>
        <v>#DIV/0!</v>
      </c>
      <c r="AT115" s="16" t="e">
        <f t="shared" si="121"/>
        <v>#DIV/0!</v>
      </c>
      <c r="AV115" s="8" t="e">
        <f t="shared" si="108"/>
        <v>#DIV/0!</v>
      </c>
      <c r="AW115" s="2" t="e">
        <f t="shared" si="109"/>
        <v>#DIV/0!</v>
      </c>
      <c r="AY115" s="2" t="e">
        <f t="shared" si="122"/>
        <v>#DIV/0!</v>
      </c>
      <c r="AZ115" s="2" t="e">
        <f t="shared" si="123"/>
        <v>#DIV/0!</v>
      </c>
      <c r="BD115" s="8" t="e">
        <f t="shared" si="110"/>
        <v>#DIV/0!</v>
      </c>
      <c r="BE115" s="2" t="e">
        <f t="shared" si="111"/>
        <v>#DIV/0!</v>
      </c>
      <c r="BG115" s="2" t="e">
        <f t="shared" si="124"/>
        <v>#DIV/0!</v>
      </c>
      <c r="BH115" s="2" t="e">
        <f t="shared" si="125"/>
        <v>#DIV/0!</v>
      </c>
      <c r="BL115" s="8" t="e">
        <f t="shared" si="112"/>
        <v>#DIV/0!</v>
      </c>
      <c r="BM115" s="2" t="e">
        <f t="shared" si="113"/>
        <v>#DIV/0!</v>
      </c>
      <c r="BO115" s="2" t="e">
        <f t="shared" si="126"/>
        <v>#DIV/0!</v>
      </c>
      <c r="BP115" s="2" t="e">
        <f t="shared" si="127"/>
        <v>#DIV/0!</v>
      </c>
    </row>
    <row r="116" spans="1:68" x14ac:dyDescent="0.2">
      <c r="A116" s="2">
        <f t="shared" si="114"/>
        <v>6.3333333333333277</v>
      </c>
      <c r="B116" s="2">
        <f t="shared" si="115"/>
        <v>1.7761035457343887E-3</v>
      </c>
      <c r="C116" s="2">
        <f t="shared" si="89"/>
        <v>1.7761035457343887E-3</v>
      </c>
      <c r="D116" s="8">
        <f t="shared" si="90"/>
        <v>1.7761035457343887E-3</v>
      </c>
      <c r="E116" s="2">
        <f t="shared" si="91"/>
        <v>1.7761035457343887E-3</v>
      </c>
      <c r="H116" s="8" t="e">
        <f t="shared" si="92"/>
        <v>#DIV/0!</v>
      </c>
      <c r="I116" s="2" t="e">
        <f t="shared" si="93"/>
        <v>#DIV/0!</v>
      </c>
      <c r="L116" s="8">
        <f t="shared" si="94"/>
        <v>3.2458686920822988E-2</v>
      </c>
      <c r="M116" s="2">
        <f t="shared" si="95"/>
        <v>3.2458686920822988E-2</v>
      </c>
      <c r="P116" s="8">
        <f t="shared" si="96"/>
        <v>0.13636363636363635</v>
      </c>
      <c r="Q116" s="2">
        <f t="shared" si="97"/>
        <v>0.13636363636363635</v>
      </c>
      <c r="T116" s="8">
        <f t="shared" si="98"/>
        <v>1.776103545734431E-3</v>
      </c>
      <c r="U116" s="2">
        <f t="shared" si="99"/>
        <v>1.776103545734431E-3</v>
      </c>
      <c r="X116" s="8">
        <f t="shared" si="100"/>
        <v>3.2458686920822988E-2</v>
      </c>
      <c r="Y116" s="2">
        <f t="shared" si="101"/>
        <v>3.2458686920822988E-2</v>
      </c>
      <c r="AD116" s="8" t="e">
        <f t="shared" si="102"/>
        <v>#DIV/0!</v>
      </c>
      <c r="AE116" s="2" t="e">
        <f t="shared" si="103"/>
        <v>#DIV/0!</v>
      </c>
      <c r="AG116" s="2" t="e">
        <f t="shared" si="116"/>
        <v>#DIV/0!</v>
      </c>
      <c r="AH116" s="2" t="e">
        <f t="shared" si="117"/>
        <v>#DIV/0!</v>
      </c>
      <c r="AJ116" s="8" t="e">
        <f t="shared" si="104"/>
        <v>#DIV/0!</v>
      </c>
      <c r="AK116" s="2" t="e">
        <f t="shared" si="105"/>
        <v>#DIV/0!</v>
      </c>
      <c r="AM116" s="2" t="e">
        <f t="shared" si="118"/>
        <v>#DIV/0!</v>
      </c>
      <c r="AN116" s="2" t="e">
        <f t="shared" si="119"/>
        <v>#DIV/0!</v>
      </c>
      <c r="AP116" s="8" t="e">
        <f t="shared" si="106"/>
        <v>#DIV/0!</v>
      </c>
      <c r="AQ116" s="2" t="e">
        <f t="shared" si="107"/>
        <v>#DIV/0!</v>
      </c>
      <c r="AS116" s="2" t="e">
        <f t="shared" si="120"/>
        <v>#DIV/0!</v>
      </c>
      <c r="AT116" s="16" t="e">
        <f t="shared" si="121"/>
        <v>#DIV/0!</v>
      </c>
      <c r="AV116" s="8" t="e">
        <f t="shared" si="108"/>
        <v>#DIV/0!</v>
      </c>
      <c r="AW116" s="2" t="e">
        <f t="shared" si="109"/>
        <v>#DIV/0!</v>
      </c>
      <c r="AY116" s="2" t="e">
        <f t="shared" si="122"/>
        <v>#DIV/0!</v>
      </c>
      <c r="AZ116" s="2" t="e">
        <f t="shared" si="123"/>
        <v>#DIV/0!</v>
      </c>
      <c r="BD116" s="8" t="e">
        <f t="shared" si="110"/>
        <v>#DIV/0!</v>
      </c>
      <c r="BE116" s="2" t="e">
        <f t="shared" si="111"/>
        <v>#DIV/0!</v>
      </c>
      <c r="BG116" s="2" t="e">
        <f t="shared" si="124"/>
        <v>#DIV/0!</v>
      </c>
      <c r="BH116" s="2" t="e">
        <f t="shared" si="125"/>
        <v>#DIV/0!</v>
      </c>
      <c r="BL116" s="8" t="e">
        <f t="shared" si="112"/>
        <v>#DIV/0!</v>
      </c>
      <c r="BM116" s="2" t="e">
        <f t="shared" si="113"/>
        <v>#DIV/0!</v>
      </c>
      <c r="BO116" s="2" t="e">
        <f t="shared" si="126"/>
        <v>#DIV/0!</v>
      </c>
      <c r="BP116" s="2" t="e">
        <f t="shared" si="127"/>
        <v>#DIV/0!</v>
      </c>
    </row>
    <row r="117" spans="1:68" x14ac:dyDescent="0.2">
      <c r="A117" s="2">
        <f t="shared" si="114"/>
        <v>6.4166666666666607</v>
      </c>
      <c r="B117" s="2">
        <f t="shared" si="115"/>
        <v>1.6340941470562615E-3</v>
      </c>
      <c r="C117" s="2">
        <f t="shared" si="89"/>
        <v>1.6340941470562615E-3</v>
      </c>
      <c r="D117" s="8">
        <f t="shared" si="90"/>
        <v>1.6340941470562615E-3</v>
      </c>
      <c r="E117" s="2">
        <f t="shared" si="91"/>
        <v>1.6340941470562615E-3</v>
      </c>
      <c r="H117" s="8" t="e">
        <f t="shared" si="92"/>
        <v>#DIV/0!</v>
      </c>
      <c r="I117" s="2" t="e">
        <f t="shared" si="93"/>
        <v>#DIV/0!</v>
      </c>
      <c r="L117" s="8">
        <f t="shared" si="94"/>
        <v>3.1520744098831543E-2</v>
      </c>
      <c r="M117" s="2">
        <f t="shared" si="95"/>
        <v>3.1520744098831543E-2</v>
      </c>
      <c r="P117" s="8">
        <f t="shared" si="96"/>
        <v>0.1348314606741573</v>
      </c>
      <c r="Q117" s="2">
        <f t="shared" si="97"/>
        <v>0.1348314606741573</v>
      </c>
      <c r="T117" s="8">
        <f t="shared" si="98"/>
        <v>1.6340941470562864E-3</v>
      </c>
      <c r="U117" s="2">
        <f t="shared" si="99"/>
        <v>1.6340941470562864E-3</v>
      </c>
      <c r="X117" s="8">
        <f t="shared" si="100"/>
        <v>3.1520744098831543E-2</v>
      </c>
      <c r="Y117" s="2">
        <f t="shared" si="101"/>
        <v>3.1520744098831543E-2</v>
      </c>
      <c r="AD117" s="8" t="e">
        <f t="shared" si="102"/>
        <v>#DIV/0!</v>
      </c>
      <c r="AE117" s="2" t="e">
        <f t="shared" si="103"/>
        <v>#DIV/0!</v>
      </c>
      <c r="AG117" s="2" t="e">
        <f t="shared" si="116"/>
        <v>#DIV/0!</v>
      </c>
      <c r="AH117" s="2" t="e">
        <f t="shared" si="117"/>
        <v>#DIV/0!</v>
      </c>
      <c r="AJ117" s="8" t="e">
        <f t="shared" si="104"/>
        <v>#DIV/0!</v>
      </c>
      <c r="AK117" s="2" t="e">
        <f t="shared" si="105"/>
        <v>#DIV/0!</v>
      </c>
      <c r="AM117" s="2" t="e">
        <f t="shared" si="118"/>
        <v>#DIV/0!</v>
      </c>
      <c r="AN117" s="2" t="e">
        <f t="shared" si="119"/>
        <v>#DIV/0!</v>
      </c>
      <c r="AP117" s="8" t="e">
        <f t="shared" si="106"/>
        <v>#DIV/0!</v>
      </c>
      <c r="AQ117" s="2" t="e">
        <f t="shared" si="107"/>
        <v>#DIV/0!</v>
      </c>
      <c r="AS117" s="2" t="e">
        <f t="shared" si="120"/>
        <v>#DIV/0!</v>
      </c>
      <c r="AT117" s="16" t="e">
        <f t="shared" si="121"/>
        <v>#DIV/0!</v>
      </c>
      <c r="AV117" s="8" t="e">
        <f t="shared" si="108"/>
        <v>#DIV/0!</v>
      </c>
      <c r="AW117" s="2" t="e">
        <f t="shared" si="109"/>
        <v>#DIV/0!</v>
      </c>
      <c r="AY117" s="2" t="e">
        <f t="shared" si="122"/>
        <v>#DIV/0!</v>
      </c>
      <c r="AZ117" s="2" t="e">
        <f t="shared" si="123"/>
        <v>#DIV/0!</v>
      </c>
      <c r="BD117" s="8" t="e">
        <f t="shared" si="110"/>
        <v>#DIV/0!</v>
      </c>
      <c r="BE117" s="2" t="e">
        <f t="shared" si="111"/>
        <v>#DIV/0!</v>
      </c>
      <c r="BG117" s="2" t="e">
        <f t="shared" si="124"/>
        <v>#DIV/0!</v>
      </c>
      <c r="BH117" s="2" t="e">
        <f t="shared" si="125"/>
        <v>#DIV/0!</v>
      </c>
      <c r="BL117" s="8" t="e">
        <f t="shared" si="112"/>
        <v>#DIV/0!</v>
      </c>
      <c r="BM117" s="2" t="e">
        <f t="shared" si="113"/>
        <v>#DIV/0!</v>
      </c>
      <c r="BO117" s="2" t="e">
        <f t="shared" si="126"/>
        <v>#DIV/0!</v>
      </c>
      <c r="BP117" s="2" t="e">
        <f t="shared" si="127"/>
        <v>#DIV/0!</v>
      </c>
    </row>
    <row r="118" spans="1:68" x14ac:dyDescent="0.2">
      <c r="A118" s="2">
        <f t="shared" si="114"/>
        <v>6.4999999999999938</v>
      </c>
      <c r="B118" s="2">
        <f t="shared" si="115"/>
        <v>1.5034391929775817E-3</v>
      </c>
      <c r="C118" s="2">
        <f t="shared" si="89"/>
        <v>1.5034391929775817E-3</v>
      </c>
      <c r="D118" s="8">
        <f t="shared" si="90"/>
        <v>1.5034391929775817E-3</v>
      </c>
      <c r="E118" s="2">
        <f t="shared" si="91"/>
        <v>1.5034391929775817E-3</v>
      </c>
      <c r="H118" s="8" t="e">
        <f t="shared" si="92"/>
        <v>#DIV/0!</v>
      </c>
      <c r="I118" s="2" t="e">
        <f t="shared" si="93"/>
        <v>#DIV/0!</v>
      </c>
      <c r="L118" s="8">
        <f t="shared" si="94"/>
        <v>3.0616988500454356E-2</v>
      </c>
      <c r="M118" s="2">
        <f t="shared" si="95"/>
        <v>3.0616988500454356E-2</v>
      </c>
      <c r="P118" s="8">
        <f t="shared" si="96"/>
        <v>0.13333333333333341</v>
      </c>
      <c r="Q118" s="2">
        <f t="shared" si="97"/>
        <v>0.13333333333333341</v>
      </c>
      <c r="T118" s="8">
        <f t="shared" si="98"/>
        <v>1.5034391929775737E-3</v>
      </c>
      <c r="U118" s="2">
        <f t="shared" si="99"/>
        <v>1.5034391929775737E-3</v>
      </c>
      <c r="X118" s="8">
        <f t="shared" si="100"/>
        <v>3.0616988500454356E-2</v>
      </c>
      <c r="Y118" s="2">
        <f t="shared" si="101"/>
        <v>3.0616988500454356E-2</v>
      </c>
      <c r="AD118" s="8" t="e">
        <f t="shared" si="102"/>
        <v>#DIV/0!</v>
      </c>
      <c r="AE118" s="2" t="e">
        <f t="shared" si="103"/>
        <v>#DIV/0!</v>
      </c>
      <c r="AG118" s="2" t="e">
        <f t="shared" si="116"/>
        <v>#DIV/0!</v>
      </c>
      <c r="AH118" s="2" t="e">
        <f t="shared" si="117"/>
        <v>#DIV/0!</v>
      </c>
      <c r="AJ118" s="8" t="e">
        <f t="shared" si="104"/>
        <v>#DIV/0!</v>
      </c>
      <c r="AK118" s="2" t="e">
        <f t="shared" si="105"/>
        <v>#DIV/0!</v>
      </c>
      <c r="AM118" s="2" t="e">
        <f t="shared" si="118"/>
        <v>#DIV/0!</v>
      </c>
      <c r="AN118" s="2" t="e">
        <f t="shared" si="119"/>
        <v>#DIV/0!</v>
      </c>
      <c r="AP118" s="8" t="e">
        <f t="shared" si="106"/>
        <v>#DIV/0!</v>
      </c>
      <c r="AQ118" s="2" t="e">
        <f t="shared" si="107"/>
        <v>#DIV/0!</v>
      </c>
      <c r="AS118" s="2" t="e">
        <f t="shared" si="120"/>
        <v>#DIV/0!</v>
      </c>
      <c r="AT118" s="16" t="e">
        <f t="shared" si="121"/>
        <v>#DIV/0!</v>
      </c>
      <c r="AV118" s="8" t="e">
        <f t="shared" si="108"/>
        <v>#DIV/0!</v>
      </c>
      <c r="AW118" s="2" t="e">
        <f t="shared" si="109"/>
        <v>#DIV/0!</v>
      </c>
      <c r="AY118" s="2" t="e">
        <f t="shared" si="122"/>
        <v>#DIV/0!</v>
      </c>
      <c r="AZ118" s="2" t="e">
        <f t="shared" si="123"/>
        <v>#DIV/0!</v>
      </c>
      <c r="BD118" s="8" t="e">
        <f t="shared" si="110"/>
        <v>#DIV/0!</v>
      </c>
      <c r="BE118" s="2" t="e">
        <f t="shared" si="111"/>
        <v>#DIV/0!</v>
      </c>
      <c r="BG118" s="2" t="e">
        <f t="shared" si="124"/>
        <v>#DIV/0!</v>
      </c>
      <c r="BH118" s="2" t="e">
        <f t="shared" si="125"/>
        <v>#DIV/0!</v>
      </c>
      <c r="BL118" s="8" t="e">
        <f t="shared" si="112"/>
        <v>#DIV/0!</v>
      </c>
      <c r="BM118" s="2" t="e">
        <f t="shared" si="113"/>
        <v>#DIV/0!</v>
      </c>
      <c r="BO118" s="2" t="e">
        <f t="shared" si="126"/>
        <v>#DIV/0!</v>
      </c>
      <c r="BP118" s="2" t="e">
        <f t="shared" si="127"/>
        <v>#DIV/0!</v>
      </c>
    </row>
    <row r="119" spans="1:68" x14ac:dyDescent="0.2">
      <c r="A119" s="2">
        <f t="shared" si="114"/>
        <v>6.5833333333333268</v>
      </c>
      <c r="B119" s="2">
        <f t="shared" si="115"/>
        <v>1.3832308322338418E-3</v>
      </c>
      <c r="C119" s="2">
        <f t="shared" si="89"/>
        <v>1.3832308322338418E-3</v>
      </c>
      <c r="D119" s="8">
        <f t="shared" si="90"/>
        <v>1.3832308322338418E-3</v>
      </c>
      <c r="E119" s="2">
        <f t="shared" si="91"/>
        <v>1.3832308322338418E-3</v>
      </c>
      <c r="H119" s="8" t="e">
        <f t="shared" si="92"/>
        <v>#DIV/0!</v>
      </c>
      <c r="I119" s="2" t="e">
        <f t="shared" si="93"/>
        <v>#DIV/0!</v>
      </c>
      <c r="L119" s="8">
        <f t="shared" si="94"/>
        <v>2.9745903496491088E-2</v>
      </c>
      <c r="M119" s="2">
        <f t="shared" si="95"/>
        <v>2.9745903496491088E-2</v>
      </c>
      <c r="P119" s="8">
        <f t="shared" si="96"/>
        <v>0.13186813186813195</v>
      </c>
      <c r="Q119" s="2">
        <f t="shared" si="97"/>
        <v>0.13186813186813195</v>
      </c>
      <c r="T119" s="8">
        <f t="shared" si="98"/>
        <v>1.3832308322337949E-3</v>
      </c>
      <c r="U119" s="2">
        <f t="shared" si="99"/>
        <v>1.3832308322337949E-3</v>
      </c>
      <c r="X119" s="8">
        <f t="shared" si="100"/>
        <v>2.9745903496491088E-2</v>
      </c>
      <c r="Y119" s="2">
        <f t="shared" si="101"/>
        <v>2.9745903496491088E-2</v>
      </c>
      <c r="AD119" s="8" t="e">
        <f t="shared" si="102"/>
        <v>#DIV/0!</v>
      </c>
      <c r="AE119" s="2" t="e">
        <f t="shared" si="103"/>
        <v>#DIV/0!</v>
      </c>
      <c r="AG119" s="2" t="e">
        <f t="shared" si="116"/>
        <v>#DIV/0!</v>
      </c>
      <c r="AH119" s="2" t="e">
        <f t="shared" si="117"/>
        <v>#DIV/0!</v>
      </c>
      <c r="AJ119" s="8" t="e">
        <f t="shared" si="104"/>
        <v>#DIV/0!</v>
      </c>
      <c r="AK119" s="2" t="e">
        <f t="shared" si="105"/>
        <v>#DIV/0!</v>
      </c>
      <c r="AM119" s="2" t="e">
        <f t="shared" si="118"/>
        <v>#DIV/0!</v>
      </c>
      <c r="AN119" s="2" t="e">
        <f t="shared" si="119"/>
        <v>#DIV/0!</v>
      </c>
      <c r="AP119" s="8" t="e">
        <f t="shared" si="106"/>
        <v>#DIV/0!</v>
      </c>
      <c r="AQ119" s="2" t="e">
        <f t="shared" si="107"/>
        <v>#DIV/0!</v>
      </c>
      <c r="AS119" s="2" t="e">
        <f t="shared" si="120"/>
        <v>#DIV/0!</v>
      </c>
      <c r="AT119" s="16" t="e">
        <f t="shared" si="121"/>
        <v>#DIV/0!</v>
      </c>
      <c r="AV119" s="8" t="e">
        <f t="shared" si="108"/>
        <v>#DIV/0!</v>
      </c>
      <c r="AW119" s="2" t="e">
        <f t="shared" si="109"/>
        <v>#DIV/0!</v>
      </c>
      <c r="AY119" s="2" t="e">
        <f t="shared" si="122"/>
        <v>#DIV/0!</v>
      </c>
      <c r="AZ119" s="2" t="e">
        <f t="shared" si="123"/>
        <v>#DIV/0!</v>
      </c>
      <c r="BD119" s="8" t="e">
        <f t="shared" si="110"/>
        <v>#DIV/0!</v>
      </c>
      <c r="BE119" s="2" t="e">
        <f t="shared" si="111"/>
        <v>#DIV/0!</v>
      </c>
      <c r="BG119" s="2" t="e">
        <f t="shared" si="124"/>
        <v>#DIV/0!</v>
      </c>
      <c r="BH119" s="2" t="e">
        <f t="shared" si="125"/>
        <v>#DIV/0!</v>
      </c>
      <c r="BL119" s="8" t="e">
        <f t="shared" si="112"/>
        <v>#DIV/0!</v>
      </c>
      <c r="BM119" s="2" t="e">
        <f t="shared" si="113"/>
        <v>#DIV/0!</v>
      </c>
      <c r="BO119" s="2" t="e">
        <f t="shared" si="126"/>
        <v>#DIV/0!</v>
      </c>
      <c r="BP119" s="2" t="e">
        <f t="shared" si="127"/>
        <v>#DIV/0!</v>
      </c>
    </row>
    <row r="120" spans="1:68" x14ac:dyDescent="0.2">
      <c r="A120" s="2">
        <f t="shared" si="114"/>
        <v>6.6666666666666599</v>
      </c>
      <c r="B120" s="2">
        <f t="shared" si="115"/>
        <v>1.272633801339817E-3</v>
      </c>
      <c r="C120" s="2">
        <f t="shared" si="89"/>
        <v>1.272633801339817E-3</v>
      </c>
      <c r="D120" s="8">
        <f t="shared" si="90"/>
        <v>1.272633801339817E-3</v>
      </c>
      <c r="E120" s="2">
        <f t="shared" si="91"/>
        <v>1.272633801339817E-3</v>
      </c>
      <c r="H120" s="8" t="e">
        <f t="shared" si="92"/>
        <v>#DIV/0!</v>
      </c>
      <c r="I120" s="2" t="e">
        <f t="shared" si="93"/>
        <v>#DIV/0!</v>
      </c>
      <c r="L120" s="8">
        <f t="shared" si="94"/>
        <v>2.8906052073385036E-2</v>
      </c>
      <c r="M120" s="2">
        <f t="shared" si="95"/>
        <v>2.8906052073385036E-2</v>
      </c>
      <c r="P120" s="8">
        <f t="shared" si="96"/>
        <v>0.13043478260869579</v>
      </c>
      <c r="Q120" s="2">
        <f t="shared" si="97"/>
        <v>0.13043478260869579</v>
      </c>
      <c r="T120" s="8">
        <f t="shared" si="98"/>
        <v>1.2726338013397953E-3</v>
      </c>
      <c r="U120" s="2">
        <f t="shared" si="99"/>
        <v>1.2726338013397953E-3</v>
      </c>
      <c r="X120" s="8">
        <f t="shared" si="100"/>
        <v>2.8906052073385036E-2</v>
      </c>
      <c r="Y120" s="2">
        <f t="shared" si="101"/>
        <v>2.8906052073385036E-2</v>
      </c>
      <c r="AD120" s="8" t="e">
        <f t="shared" si="102"/>
        <v>#DIV/0!</v>
      </c>
      <c r="AE120" s="2" t="e">
        <f t="shared" si="103"/>
        <v>#DIV/0!</v>
      </c>
      <c r="AG120" s="2" t="e">
        <f t="shared" si="116"/>
        <v>#DIV/0!</v>
      </c>
      <c r="AH120" s="2" t="e">
        <f t="shared" si="117"/>
        <v>#DIV/0!</v>
      </c>
      <c r="AJ120" s="8" t="e">
        <f t="shared" si="104"/>
        <v>#DIV/0!</v>
      </c>
      <c r="AK120" s="2" t="e">
        <f t="shared" si="105"/>
        <v>#DIV/0!</v>
      </c>
      <c r="AM120" s="2" t="e">
        <f t="shared" si="118"/>
        <v>#DIV/0!</v>
      </c>
      <c r="AN120" s="2" t="e">
        <f t="shared" si="119"/>
        <v>#DIV/0!</v>
      </c>
      <c r="AP120" s="8" t="e">
        <f t="shared" si="106"/>
        <v>#DIV/0!</v>
      </c>
      <c r="AQ120" s="2" t="e">
        <f t="shared" si="107"/>
        <v>#DIV/0!</v>
      </c>
      <c r="AS120" s="2" t="e">
        <f t="shared" si="120"/>
        <v>#DIV/0!</v>
      </c>
      <c r="AT120" s="16" t="e">
        <f t="shared" si="121"/>
        <v>#DIV/0!</v>
      </c>
      <c r="AV120" s="8" t="e">
        <f t="shared" si="108"/>
        <v>#DIV/0!</v>
      </c>
      <c r="AW120" s="2" t="e">
        <f t="shared" si="109"/>
        <v>#DIV/0!</v>
      </c>
      <c r="AY120" s="2" t="e">
        <f t="shared" si="122"/>
        <v>#DIV/0!</v>
      </c>
      <c r="AZ120" s="2" t="e">
        <f t="shared" si="123"/>
        <v>#DIV/0!</v>
      </c>
      <c r="BD120" s="8" t="e">
        <f t="shared" si="110"/>
        <v>#DIV/0!</v>
      </c>
      <c r="BE120" s="2" t="e">
        <f t="shared" si="111"/>
        <v>#DIV/0!</v>
      </c>
      <c r="BG120" s="2" t="e">
        <f t="shared" si="124"/>
        <v>#DIV/0!</v>
      </c>
      <c r="BH120" s="2" t="e">
        <f t="shared" si="125"/>
        <v>#DIV/0!</v>
      </c>
      <c r="BL120" s="8" t="e">
        <f t="shared" si="112"/>
        <v>#DIV/0!</v>
      </c>
      <c r="BM120" s="2" t="e">
        <f t="shared" si="113"/>
        <v>#DIV/0!</v>
      </c>
      <c r="BO120" s="2" t="e">
        <f t="shared" si="126"/>
        <v>#DIV/0!</v>
      </c>
      <c r="BP120" s="2" t="e">
        <f t="shared" si="127"/>
        <v>#DIV/0!</v>
      </c>
    </row>
    <row r="121" spans="1:68" x14ac:dyDescent="0.2">
      <c r="A121" s="2">
        <f t="shared" si="114"/>
        <v>6.7499999999999929</v>
      </c>
      <c r="B121" s="2">
        <f t="shared" si="115"/>
        <v>1.1708796207911827E-3</v>
      </c>
      <c r="C121" s="2">
        <f t="shared" si="89"/>
        <v>1.1708796207911827E-3</v>
      </c>
      <c r="D121" s="8">
        <f t="shared" si="90"/>
        <v>1.1708796207911827E-3</v>
      </c>
      <c r="E121" s="2">
        <f t="shared" si="91"/>
        <v>1.1708796207911827E-3</v>
      </c>
      <c r="H121" s="8" t="e">
        <f t="shared" si="92"/>
        <v>#DIV/0!</v>
      </c>
      <c r="I121" s="2" t="e">
        <f t="shared" si="93"/>
        <v>#DIV/0!</v>
      </c>
      <c r="L121" s="8">
        <f t="shared" si="94"/>
        <v>2.8096071997489203E-2</v>
      </c>
      <c r="M121" s="2">
        <f t="shared" si="95"/>
        <v>2.8096071997489203E-2</v>
      </c>
      <c r="P121" s="8">
        <f t="shared" si="96"/>
        <v>0.12903225806451624</v>
      </c>
      <c r="Q121" s="2">
        <f t="shared" si="97"/>
        <v>0.12903225806451624</v>
      </c>
      <c r="T121" s="8">
        <f t="shared" si="98"/>
        <v>1.1708796207912098E-3</v>
      </c>
      <c r="U121" s="2">
        <f t="shared" si="99"/>
        <v>1.1708796207912098E-3</v>
      </c>
      <c r="X121" s="8">
        <f t="shared" si="100"/>
        <v>2.8096071997489203E-2</v>
      </c>
      <c r="Y121" s="2">
        <f t="shared" si="101"/>
        <v>2.8096071997489203E-2</v>
      </c>
      <c r="AD121" s="8" t="e">
        <f t="shared" si="102"/>
        <v>#DIV/0!</v>
      </c>
      <c r="AE121" s="2" t="e">
        <f t="shared" si="103"/>
        <v>#DIV/0!</v>
      </c>
      <c r="AG121" s="2" t="e">
        <f t="shared" si="116"/>
        <v>#DIV/0!</v>
      </c>
      <c r="AH121" s="2" t="e">
        <f t="shared" si="117"/>
        <v>#DIV/0!</v>
      </c>
      <c r="AJ121" s="8" t="e">
        <f t="shared" si="104"/>
        <v>#DIV/0!</v>
      </c>
      <c r="AK121" s="2" t="e">
        <f t="shared" si="105"/>
        <v>#DIV/0!</v>
      </c>
      <c r="AM121" s="2" t="e">
        <f t="shared" si="118"/>
        <v>#DIV/0!</v>
      </c>
      <c r="AN121" s="2" t="e">
        <f t="shared" si="119"/>
        <v>#DIV/0!</v>
      </c>
      <c r="AP121" s="8" t="e">
        <f t="shared" si="106"/>
        <v>#DIV/0!</v>
      </c>
      <c r="AQ121" s="2" t="e">
        <f t="shared" si="107"/>
        <v>#DIV/0!</v>
      </c>
      <c r="AS121" s="2" t="e">
        <f t="shared" si="120"/>
        <v>#DIV/0!</v>
      </c>
      <c r="AT121" s="16" t="e">
        <f t="shared" si="121"/>
        <v>#DIV/0!</v>
      </c>
      <c r="AV121" s="8" t="e">
        <f t="shared" si="108"/>
        <v>#DIV/0!</v>
      </c>
      <c r="AW121" s="2" t="e">
        <f t="shared" si="109"/>
        <v>#DIV/0!</v>
      </c>
      <c r="AY121" s="2" t="e">
        <f t="shared" si="122"/>
        <v>#DIV/0!</v>
      </c>
      <c r="AZ121" s="2" t="e">
        <f t="shared" si="123"/>
        <v>#DIV/0!</v>
      </c>
      <c r="BD121" s="8" t="e">
        <f t="shared" si="110"/>
        <v>#DIV/0!</v>
      </c>
      <c r="BE121" s="2" t="e">
        <f t="shared" si="111"/>
        <v>#DIV/0!</v>
      </c>
      <c r="BG121" s="2" t="e">
        <f t="shared" si="124"/>
        <v>#DIV/0!</v>
      </c>
      <c r="BH121" s="2" t="e">
        <f t="shared" si="125"/>
        <v>#DIV/0!</v>
      </c>
      <c r="BL121" s="8" t="e">
        <f t="shared" si="112"/>
        <v>#DIV/0!</v>
      </c>
      <c r="BM121" s="2" t="e">
        <f t="shared" si="113"/>
        <v>#DIV/0!</v>
      </c>
      <c r="BO121" s="2" t="e">
        <f t="shared" si="126"/>
        <v>#DIV/0!</v>
      </c>
      <c r="BP121" s="2" t="e">
        <f t="shared" si="127"/>
        <v>#DIV/0!</v>
      </c>
    </row>
    <row r="122" spans="1:68" x14ac:dyDescent="0.2">
      <c r="A122" s="2">
        <f t="shared" si="114"/>
        <v>6.8333333333333259</v>
      </c>
      <c r="B122" s="2">
        <f t="shared" si="115"/>
        <v>1.0772612553122281E-3</v>
      </c>
      <c r="C122" s="2">
        <f t="shared" si="89"/>
        <v>1.0772612553122281E-3</v>
      </c>
      <c r="D122" s="8">
        <f t="shared" si="90"/>
        <v>1.0772612553122281E-3</v>
      </c>
      <c r="E122" s="2">
        <f t="shared" si="91"/>
        <v>1.0772612553122281E-3</v>
      </c>
      <c r="H122" s="8" t="e">
        <f t="shared" si="92"/>
        <v>#DIV/0!</v>
      </c>
      <c r="I122" s="2" t="e">
        <f t="shared" si="93"/>
        <v>#DIV/0!</v>
      </c>
      <c r="L122" s="8">
        <f t="shared" si="94"/>
        <v>2.7314671313038219E-2</v>
      </c>
      <c r="M122" s="2">
        <f t="shared" si="95"/>
        <v>2.7314671313038219E-2</v>
      </c>
      <c r="P122" s="8">
        <f t="shared" si="96"/>
        <v>0.12765957446808518</v>
      </c>
      <c r="Q122" s="2">
        <f t="shared" si="97"/>
        <v>0.12765957446808518</v>
      </c>
      <c r="T122" s="8">
        <f t="shared" si="98"/>
        <v>1.0772612553122674E-3</v>
      </c>
      <c r="U122" s="2">
        <f t="shared" si="99"/>
        <v>1.0772612553122674E-3</v>
      </c>
      <c r="X122" s="8">
        <f t="shared" si="100"/>
        <v>2.7314671313038219E-2</v>
      </c>
      <c r="Y122" s="2">
        <f t="shared" si="101"/>
        <v>2.7314671313038219E-2</v>
      </c>
      <c r="AD122" s="8" t="e">
        <f t="shared" si="102"/>
        <v>#DIV/0!</v>
      </c>
      <c r="AE122" s="2" t="e">
        <f t="shared" si="103"/>
        <v>#DIV/0!</v>
      </c>
      <c r="AG122" s="2" t="e">
        <f t="shared" si="116"/>
        <v>#DIV/0!</v>
      </c>
      <c r="AH122" s="2" t="e">
        <f t="shared" si="117"/>
        <v>#DIV/0!</v>
      </c>
      <c r="AJ122" s="8" t="e">
        <f t="shared" si="104"/>
        <v>#DIV/0!</v>
      </c>
      <c r="AK122" s="2" t="e">
        <f t="shared" si="105"/>
        <v>#DIV/0!</v>
      </c>
      <c r="AM122" s="2" t="e">
        <f t="shared" si="118"/>
        <v>#DIV/0!</v>
      </c>
      <c r="AN122" s="2" t="e">
        <f t="shared" si="119"/>
        <v>#DIV/0!</v>
      </c>
      <c r="AP122" s="8" t="e">
        <f t="shared" si="106"/>
        <v>#DIV/0!</v>
      </c>
      <c r="AQ122" s="2" t="e">
        <f t="shared" si="107"/>
        <v>#DIV/0!</v>
      </c>
      <c r="AS122" s="2" t="e">
        <f t="shared" si="120"/>
        <v>#DIV/0!</v>
      </c>
      <c r="AT122" s="16" t="e">
        <f t="shared" si="121"/>
        <v>#DIV/0!</v>
      </c>
      <c r="AV122" s="8" t="e">
        <f t="shared" si="108"/>
        <v>#DIV/0!</v>
      </c>
      <c r="AW122" s="2" t="e">
        <f t="shared" si="109"/>
        <v>#DIV/0!</v>
      </c>
      <c r="AY122" s="2" t="e">
        <f t="shared" si="122"/>
        <v>#DIV/0!</v>
      </c>
      <c r="AZ122" s="2" t="e">
        <f t="shared" si="123"/>
        <v>#DIV/0!</v>
      </c>
      <c r="BD122" s="8" t="e">
        <f t="shared" si="110"/>
        <v>#DIV/0!</v>
      </c>
      <c r="BE122" s="2" t="e">
        <f t="shared" si="111"/>
        <v>#DIV/0!</v>
      </c>
      <c r="BG122" s="2" t="e">
        <f t="shared" si="124"/>
        <v>#DIV/0!</v>
      </c>
      <c r="BH122" s="2" t="e">
        <f t="shared" si="125"/>
        <v>#DIV/0!</v>
      </c>
      <c r="BL122" s="8" t="e">
        <f t="shared" si="112"/>
        <v>#DIV/0!</v>
      </c>
      <c r="BM122" s="2" t="e">
        <f t="shared" si="113"/>
        <v>#DIV/0!</v>
      </c>
      <c r="BO122" s="2" t="e">
        <f t="shared" si="126"/>
        <v>#DIV/0!</v>
      </c>
      <c r="BP122" s="2" t="e">
        <f t="shared" si="127"/>
        <v>#DIV/0!</v>
      </c>
    </row>
    <row r="123" spans="1:68" x14ac:dyDescent="0.2">
      <c r="A123" s="2">
        <f t="shared" si="114"/>
        <v>6.916666666666659</v>
      </c>
      <c r="B123" s="2">
        <f t="shared" si="115"/>
        <v>9.9112820104658907E-4</v>
      </c>
      <c r="C123" s="2">
        <f t="shared" si="89"/>
        <v>9.9112820104658907E-4</v>
      </c>
      <c r="D123" s="8">
        <f t="shared" si="90"/>
        <v>9.9112820104658907E-4</v>
      </c>
      <c r="E123" s="2">
        <f t="shared" si="91"/>
        <v>9.9112820104658907E-4</v>
      </c>
      <c r="H123" s="8" t="e">
        <f t="shared" si="92"/>
        <v>#DIV/0!</v>
      </c>
      <c r="I123" s="2" t="e">
        <f t="shared" si="93"/>
        <v>#DIV/0!</v>
      </c>
      <c r="L123" s="8">
        <f t="shared" si="94"/>
        <v>2.6560624148051049E-2</v>
      </c>
      <c r="M123" s="2">
        <f t="shared" si="95"/>
        <v>2.6560624148051049E-2</v>
      </c>
      <c r="P123" s="8">
        <f t="shared" si="96"/>
        <v>0.12631578947368438</v>
      </c>
      <c r="Q123" s="2">
        <f t="shared" si="97"/>
        <v>0.12631578947368438</v>
      </c>
      <c r="T123" s="8">
        <f t="shared" si="98"/>
        <v>9.9112820104663157E-4</v>
      </c>
      <c r="U123" s="2">
        <f t="shared" si="99"/>
        <v>9.9112820104663157E-4</v>
      </c>
      <c r="X123" s="8">
        <f t="shared" si="100"/>
        <v>2.6560624148051049E-2</v>
      </c>
      <c r="Y123" s="2">
        <f t="shared" si="101"/>
        <v>2.6560624148051049E-2</v>
      </c>
      <c r="AD123" s="8" t="e">
        <f t="shared" si="102"/>
        <v>#DIV/0!</v>
      </c>
      <c r="AE123" s="2" t="e">
        <f t="shared" si="103"/>
        <v>#DIV/0!</v>
      </c>
      <c r="AG123" s="2" t="e">
        <f t="shared" si="116"/>
        <v>#DIV/0!</v>
      </c>
      <c r="AH123" s="2" t="e">
        <f t="shared" si="117"/>
        <v>#DIV/0!</v>
      </c>
      <c r="AJ123" s="8" t="e">
        <f t="shared" si="104"/>
        <v>#DIV/0!</v>
      </c>
      <c r="AK123" s="2" t="e">
        <f t="shared" si="105"/>
        <v>#DIV/0!</v>
      </c>
      <c r="AM123" s="2" t="e">
        <f t="shared" si="118"/>
        <v>#DIV/0!</v>
      </c>
      <c r="AN123" s="2" t="e">
        <f t="shared" si="119"/>
        <v>#DIV/0!</v>
      </c>
      <c r="AP123" s="8" t="e">
        <f t="shared" si="106"/>
        <v>#DIV/0!</v>
      </c>
      <c r="AQ123" s="2" t="e">
        <f t="shared" si="107"/>
        <v>#DIV/0!</v>
      </c>
      <c r="AS123" s="2" t="e">
        <f t="shared" si="120"/>
        <v>#DIV/0!</v>
      </c>
      <c r="AT123" s="16" t="e">
        <f t="shared" si="121"/>
        <v>#DIV/0!</v>
      </c>
      <c r="AV123" s="8" t="e">
        <f t="shared" si="108"/>
        <v>#DIV/0!</v>
      </c>
      <c r="AW123" s="2" t="e">
        <f t="shared" si="109"/>
        <v>#DIV/0!</v>
      </c>
      <c r="AY123" s="2" t="e">
        <f t="shared" si="122"/>
        <v>#DIV/0!</v>
      </c>
      <c r="AZ123" s="2" t="e">
        <f t="shared" si="123"/>
        <v>#DIV/0!</v>
      </c>
      <c r="BD123" s="8" t="e">
        <f t="shared" si="110"/>
        <v>#DIV/0!</v>
      </c>
      <c r="BE123" s="2" t="e">
        <f t="shared" si="111"/>
        <v>#DIV/0!</v>
      </c>
      <c r="BG123" s="2" t="e">
        <f t="shared" si="124"/>
        <v>#DIV/0!</v>
      </c>
      <c r="BH123" s="2" t="e">
        <f t="shared" si="125"/>
        <v>#DIV/0!</v>
      </c>
      <c r="BL123" s="8" t="e">
        <f t="shared" si="112"/>
        <v>#DIV/0!</v>
      </c>
      <c r="BM123" s="2" t="e">
        <f t="shared" si="113"/>
        <v>#DIV/0!</v>
      </c>
      <c r="BO123" s="2" t="e">
        <f t="shared" si="126"/>
        <v>#DIV/0!</v>
      </c>
      <c r="BP123" s="2" t="e">
        <f t="shared" si="127"/>
        <v>#DIV/0!</v>
      </c>
    </row>
    <row r="124" spans="1:68" x14ac:dyDescent="0.2">
      <c r="A124" s="2">
        <f t="shared" si="114"/>
        <v>6.999999999999992</v>
      </c>
      <c r="B124" s="2">
        <f t="shared" si="115"/>
        <v>9.1188196555452351E-4</v>
      </c>
      <c r="C124" s="2">
        <f t="shared" si="89"/>
        <v>9.1188196555452351E-4</v>
      </c>
      <c r="D124" s="8">
        <f t="shared" si="90"/>
        <v>9.1188196555452351E-4</v>
      </c>
      <c r="E124" s="2">
        <f t="shared" si="91"/>
        <v>9.1188196555452351E-4</v>
      </c>
      <c r="H124" s="8" t="e">
        <f t="shared" si="92"/>
        <v>#DIV/0!</v>
      </c>
      <c r="I124" s="2" t="e">
        <f t="shared" si="93"/>
        <v>#DIV/0!</v>
      </c>
      <c r="L124" s="8">
        <f t="shared" si="94"/>
        <v>2.5832766804592233E-2</v>
      </c>
      <c r="M124" s="2">
        <f t="shared" si="95"/>
        <v>2.5832766804592233E-2</v>
      </c>
      <c r="P124" s="8">
        <f t="shared" si="96"/>
        <v>0.12500000000000011</v>
      </c>
      <c r="Q124" s="2">
        <f t="shared" si="97"/>
        <v>0.12500000000000011</v>
      </c>
      <c r="T124" s="8">
        <f t="shared" si="98"/>
        <v>9.1188196555447298E-4</v>
      </c>
      <c r="U124" s="2">
        <f t="shared" si="99"/>
        <v>9.1188196555447298E-4</v>
      </c>
      <c r="X124" s="8">
        <f t="shared" si="100"/>
        <v>2.5832766804592233E-2</v>
      </c>
      <c r="Y124" s="2">
        <f t="shared" si="101"/>
        <v>2.5832766804592233E-2</v>
      </c>
      <c r="AD124" s="8" t="e">
        <f t="shared" si="102"/>
        <v>#DIV/0!</v>
      </c>
      <c r="AE124" s="2" t="e">
        <f t="shared" si="103"/>
        <v>#DIV/0!</v>
      </c>
      <c r="AG124" s="2" t="e">
        <f t="shared" si="116"/>
        <v>#DIV/0!</v>
      </c>
      <c r="AH124" s="2" t="e">
        <f t="shared" si="117"/>
        <v>#DIV/0!</v>
      </c>
      <c r="AJ124" s="8" t="e">
        <f t="shared" si="104"/>
        <v>#DIV/0!</v>
      </c>
      <c r="AK124" s="2" t="e">
        <f t="shared" si="105"/>
        <v>#DIV/0!</v>
      </c>
      <c r="AM124" s="2" t="e">
        <f t="shared" si="118"/>
        <v>#DIV/0!</v>
      </c>
      <c r="AN124" s="2" t="e">
        <f t="shared" si="119"/>
        <v>#DIV/0!</v>
      </c>
      <c r="AP124" s="8" t="e">
        <f t="shared" si="106"/>
        <v>#DIV/0!</v>
      </c>
      <c r="AQ124" s="2" t="e">
        <f t="shared" si="107"/>
        <v>#DIV/0!</v>
      </c>
      <c r="AS124" s="2" t="e">
        <f t="shared" si="120"/>
        <v>#DIV/0!</v>
      </c>
      <c r="AT124" s="16" t="e">
        <f t="shared" si="121"/>
        <v>#DIV/0!</v>
      </c>
      <c r="AV124" s="8" t="e">
        <f t="shared" si="108"/>
        <v>#DIV/0!</v>
      </c>
      <c r="AW124" s="2" t="e">
        <f t="shared" si="109"/>
        <v>#DIV/0!</v>
      </c>
      <c r="AY124" s="2" t="e">
        <f t="shared" si="122"/>
        <v>#DIV/0!</v>
      </c>
      <c r="AZ124" s="2" t="e">
        <f t="shared" si="123"/>
        <v>#DIV/0!</v>
      </c>
      <c r="BD124" s="8" t="e">
        <f t="shared" si="110"/>
        <v>#DIV/0!</v>
      </c>
      <c r="BE124" s="2" t="e">
        <f t="shared" si="111"/>
        <v>#DIV/0!</v>
      </c>
      <c r="BG124" s="2" t="e">
        <f t="shared" si="124"/>
        <v>#DIV/0!</v>
      </c>
      <c r="BH124" s="2" t="e">
        <f t="shared" si="125"/>
        <v>#DIV/0!</v>
      </c>
      <c r="BL124" s="8" t="e">
        <f t="shared" si="112"/>
        <v>#DIV/0!</v>
      </c>
      <c r="BM124" s="2" t="e">
        <f t="shared" si="113"/>
        <v>#DIV/0!</v>
      </c>
      <c r="BO124" s="2" t="e">
        <f t="shared" si="126"/>
        <v>#DIV/0!</v>
      </c>
      <c r="BP124" s="2" t="e">
        <f t="shared" si="127"/>
        <v>#DIV/0!</v>
      </c>
    </row>
    <row r="125" spans="1:68" x14ac:dyDescent="0.2">
      <c r="A125" s="2">
        <f t="shared" si="114"/>
        <v>7.083333333333325</v>
      </c>
      <c r="B125" s="2">
        <f t="shared" si="115"/>
        <v>8.3897190920964853E-4</v>
      </c>
      <c r="C125" s="2">
        <f t="shared" si="89"/>
        <v>8.3897190920964853E-4</v>
      </c>
      <c r="D125" s="8">
        <f t="shared" si="90"/>
        <v>8.3897190920964853E-4</v>
      </c>
      <c r="E125" s="2">
        <f t="shared" si="91"/>
        <v>8.3897190920964853E-4</v>
      </c>
      <c r="H125" s="8" t="e">
        <f t="shared" si="92"/>
        <v>#DIV/0!</v>
      </c>
      <c r="I125" s="2" t="e">
        <f t="shared" si="93"/>
        <v>#DIV/0!</v>
      </c>
      <c r="L125" s="8">
        <f t="shared" si="94"/>
        <v>2.5129994111808607E-2</v>
      </c>
      <c r="M125" s="2">
        <f t="shared" si="95"/>
        <v>2.5129994111808607E-2</v>
      </c>
      <c r="P125" s="8">
        <f t="shared" si="96"/>
        <v>0.12371134020618568</v>
      </c>
      <c r="Q125" s="2">
        <f t="shared" si="97"/>
        <v>0.12371134020618568</v>
      </c>
      <c r="T125" s="8">
        <f t="shared" si="98"/>
        <v>8.3897190920967368E-4</v>
      </c>
      <c r="U125" s="2">
        <f t="shared" si="99"/>
        <v>8.3897190920967368E-4</v>
      </c>
      <c r="X125" s="8">
        <f t="shared" si="100"/>
        <v>2.5129994111808607E-2</v>
      </c>
      <c r="Y125" s="2">
        <f t="shared" si="101"/>
        <v>2.5129994111808607E-2</v>
      </c>
      <c r="AD125" s="8" t="e">
        <f t="shared" si="102"/>
        <v>#DIV/0!</v>
      </c>
      <c r="AE125" s="2" t="e">
        <f t="shared" si="103"/>
        <v>#DIV/0!</v>
      </c>
      <c r="AG125" s="2" t="e">
        <f t="shared" si="116"/>
        <v>#DIV/0!</v>
      </c>
      <c r="AH125" s="2" t="e">
        <f t="shared" si="117"/>
        <v>#DIV/0!</v>
      </c>
      <c r="AJ125" s="8" t="e">
        <f t="shared" si="104"/>
        <v>#DIV/0!</v>
      </c>
      <c r="AK125" s="2" t="e">
        <f t="shared" si="105"/>
        <v>#DIV/0!</v>
      </c>
      <c r="AM125" s="2" t="e">
        <f t="shared" si="118"/>
        <v>#DIV/0!</v>
      </c>
      <c r="AN125" s="2" t="e">
        <f t="shared" si="119"/>
        <v>#DIV/0!</v>
      </c>
      <c r="AP125" s="8" t="e">
        <f t="shared" si="106"/>
        <v>#DIV/0!</v>
      </c>
      <c r="AQ125" s="2" t="e">
        <f t="shared" si="107"/>
        <v>#DIV/0!</v>
      </c>
      <c r="AS125" s="2" t="e">
        <f t="shared" si="120"/>
        <v>#DIV/0!</v>
      </c>
      <c r="AT125" s="16" t="e">
        <f t="shared" si="121"/>
        <v>#DIV/0!</v>
      </c>
      <c r="AV125" s="8" t="e">
        <f t="shared" si="108"/>
        <v>#DIV/0!</v>
      </c>
      <c r="AW125" s="2" t="e">
        <f t="shared" si="109"/>
        <v>#DIV/0!</v>
      </c>
      <c r="AY125" s="2" t="e">
        <f t="shared" si="122"/>
        <v>#DIV/0!</v>
      </c>
      <c r="AZ125" s="2" t="e">
        <f t="shared" si="123"/>
        <v>#DIV/0!</v>
      </c>
      <c r="BD125" s="8" t="e">
        <f t="shared" si="110"/>
        <v>#DIV/0!</v>
      </c>
      <c r="BE125" s="2" t="e">
        <f t="shared" si="111"/>
        <v>#DIV/0!</v>
      </c>
      <c r="BG125" s="2" t="e">
        <f t="shared" si="124"/>
        <v>#DIV/0!</v>
      </c>
      <c r="BH125" s="2" t="e">
        <f t="shared" si="125"/>
        <v>#DIV/0!</v>
      </c>
      <c r="BL125" s="8" t="e">
        <f t="shared" si="112"/>
        <v>#DIV/0!</v>
      </c>
      <c r="BM125" s="2" t="e">
        <f t="shared" si="113"/>
        <v>#DIV/0!</v>
      </c>
      <c r="BO125" s="2" t="e">
        <f t="shared" si="126"/>
        <v>#DIV/0!</v>
      </c>
      <c r="BP125" s="2" t="e">
        <f t="shared" si="127"/>
        <v>#DIV/0!</v>
      </c>
    </row>
    <row r="126" spans="1:68" x14ac:dyDescent="0.2">
      <c r="A126" s="2">
        <f t="shared" si="114"/>
        <v>7.1666666666666581</v>
      </c>
      <c r="B126" s="2">
        <f t="shared" si="115"/>
        <v>7.71891419099237E-4</v>
      </c>
      <c r="C126" s="2">
        <f t="shared" si="89"/>
        <v>7.71891419099237E-4</v>
      </c>
      <c r="D126" s="8">
        <f t="shared" si="90"/>
        <v>7.71891419099237E-4</v>
      </c>
      <c r="E126" s="2">
        <f t="shared" si="91"/>
        <v>7.71891419099237E-4</v>
      </c>
      <c r="H126" s="8" t="e">
        <f t="shared" si="92"/>
        <v>#DIV/0!</v>
      </c>
      <c r="I126" s="2" t="e">
        <f t="shared" si="93"/>
        <v>#DIV/0!</v>
      </c>
      <c r="L126" s="8">
        <f t="shared" si="94"/>
        <v>2.4451256021976842E-2</v>
      </c>
      <c r="M126" s="2">
        <f t="shared" si="95"/>
        <v>2.4451256021976842E-2</v>
      </c>
      <c r="P126" s="8">
        <f t="shared" si="96"/>
        <v>0.12244897959183687</v>
      </c>
      <c r="Q126" s="2">
        <f t="shared" si="97"/>
        <v>0.12244897959183687</v>
      </c>
      <c r="T126" s="8">
        <f t="shared" si="98"/>
        <v>7.7189141909927983E-4</v>
      </c>
      <c r="U126" s="2">
        <f t="shared" si="99"/>
        <v>7.7189141909927983E-4</v>
      </c>
      <c r="X126" s="8">
        <f t="shared" si="100"/>
        <v>2.4451256021976842E-2</v>
      </c>
      <c r="Y126" s="2">
        <f t="shared" si="101"/>
        <v>2.4451256021976842E-2</v>
      </c>
      <c r="AD126" s="8" t="e">
        <f t="shared" si="102"/>
        <v>#DIV/0!</v>
      </c>
      <c r="AE126" s="2" t="e">
        <f t="shared" si="103"/>
        <v>#DIV/0!</v>
      </c>
      <c r="AG126" s="2" t="e">
        <f t="shared" si="116"/>
        <v>#DIV/0!</v>
      </c>
      <c r="AH126" s="2" t="e">
        <f t="shared" si="117"/>
        <v>#DIV/0!</v>
      </c>
      <c r="AJ126" s="8" t="e">
        <f t="shared" si="104"/>
        <v>#DIV/0!</v>
      </c>
      <c r="AK126" s="2" t="e">
        <f t="shared" si="105"/>
        <v>#DIV/0!</v>
      </c>
      <c r="AM126" s="2" t="e">
        <f t="shared" si="118"/>
        <v>#DIV/0!</v>
      </c>
      <c r="AN126" s="2" t="e">
        <f t="shared" si="119"/>
        <v>#DIV/0!</v>
      </c>
      <c r="AP126" s="8" t="e">
        <f t="shared" si="106"/>
        <v>#DIV/0!</v>
      </c>
      <c r="AQ126" s="2" t="e">
        <f t="shared" si="107"/>
        <v>#DIV/0!</v>
      </c>
      <c r="AS126" s="2" t="e">
        <f t="shared" si="120"/>
        <v>#DIV/0!</v>
      </c>
      <c r="AT126" s="16" t="e">
        <f t="shared" si="121"/>
        <v>#DIV/0!</v>
      </c>
      <c r="AV126" s="8" t="e">
        <f t="shared" si="108"/>
        <v>#DIV/0!</v>
      </c>
      <c r="AW126" s="2" t="e">
        <f t="shared" si="109"/>
        <v>#DIV/0!</v>
      </c>
      <c r="AY126" s="2" t="e">
        <f t="shared" si="122"/>
        <v>#DIV/0!</v>
      </c>
      <c r="AZ126" s="2" t="e">
        <f t="shared" si="123"/>
        <v>#DIV/0!</v>
      </c>
      <c r="BD126" s="8" t="e">
        <f t="shared" si="110"/>
        <v>#DIV/0!</v>
      </c>
      <c r="BE126" s="2" t="e">
        <f t="shared" si="111"/>
        <v>#DIV/0!</v>
      </c>
      <c r="BG126" s="2" t="e">
        <f t="shared" si="124"/>
        <v>#DIV/0!</v>
      </c>
      <c r="BH126" s="2" t="e">
        <f t="shared" si="125"/>
        <v>#DIV/0!</v>
      </c>
      <c r="BL126" s="8" t="e">
        <f t="shared" si="112"/>
        <v>#DIV/0!</v>
      </c>
      <c r="BM126" s="2" t="e">
        <f t="shared" si="113"/>
        <v>#DIV/0!</v>
      </c>
      <c r="BO126" s="2" t="e">
        <f t="shared" si="126"/>
        <v>#DIV/0!</v>
      </c>
      <c r="BP126" s="2" t="e">
        <f t="shared" si="127"/>
        <v>#DIV/0!</v>
      </c>
    </row>
    <row r="127" spans="1:68" x14ac:dyDescent="0.2">
      <c r="A127" s="2">
        <f t="shared" si="114"/>
        <v>7.2499999999999911</v>
      </c>
      <c r="B127" s="2">
        <f t="shared" si="115"/>
        <v>7.1017438884255542E-4</v>
      </c>
      <c r="C127" s="2">
        <f t="shared" si="89"/>
        <v>7.1017438884255542E-4</v>
      </c>
      <c r="D127" s="8">
        <f t="shared" si="90"/>
        <v>7.1017438884255542E-4</v>
      </c>
      <c r="E127" s="2">
        <f t="shared" si="91"/>
        <v>7.1017438884255542E-4</v>
      </c>
      <c r="H127" s="8" t="e">
        <f t="shared" si="92"/>
        <v>#DIV/0!</v>
      </c>
      <c r="I127" s="2" t="e">
        <f t="shared" si="93"/>
        <v>#DIV/0!</v>
      </c>
      <c r="L127" s="8">
        <f t="shared" si="94"/>
        <v>2.3795554431433441E-2</v>
      </c>
      <c r="M127" s="2">
        <f t="shared" si="95"/>
        <v>2.3795554431433441E-2</v>
      </c>
      <c r="P127" s="8">
        <f t="shared" si="96"/>
        <v>0.12121212121212144</v>
      </c>
      <c r="Q127" s="2">
        <f t="shared" si="97"/>
        <v>0.12121212121212144</v>
      </c>
      <c r="T127" s="8">
        <f t="shared" si="98"/>
        <v>7.1017438884257711E-4</v>
      </c>
      <c r="U127" s="2">
        <f t="shared" si="99"/>
        <v>7.1017438884257711E-4</v>
      </c>
      <c r="X127" s="8">
        <f t="shared" si="100"/>
        <v>2.3795554431433441E-2</v>
      </c>
      <c r="Y127" s="2">
        <f t="shared" si="101"/>
        <v>2.3795554431433441E-2</v>
      </c>
      <c r="AD127" s="8" t="e">
        <f t="shared" si="102"/>
        <v>#DIV/0!</v>
      </c>
      <c r="AE127" s="2" t="e">
        <f t="shared" si="103"/>
        <v>#DIV/0!</v>
      </c>
      <c r="AG127" s="2" t="e">
        <f t="shared" si="116"/>
        <v>#DIV/0!</v>
      </c>
      <c r="AH127" s="2" t="e">
        <f t="shared" si="117"/>
        <v>#DIV/0!</v>
      </c>
      <c r="AJ127" s="8" t="e">
        <f t="shared" si="104"/>
        <v>#DIV/0!</v>
      </c>
      <c r="AK127" s="2" t="e">
        <f t="shared" si="105"/>
        <v>#DIV/0!</v>
      </c>
      <c r="AM127" s="2" t="e">
        <f t="shared" si="118"/>
        <v>#DIV/0!</v>
      </c>
      <c r="AN127" s="2" t="e">
        <f t="shared" si="119"/>
        <v>#DIV/0!</v>
      </c>
      <c r="AP127" s="8" t="e">
        <f t="shared" si="106"/>
        <v>#DIV/0!</v>
      </c>
      <c r="AQ127" s="2" t="e">
        <f t="shared" si="107"/>
        <v>#DIV/0!</v>
      </c>
      <c r="AS127" s="2" t="e">
        <f t="shared" si="120"/>
        <v>#DIV/0!</v>
      </c>
      <c r="AT127" s="16" t="e">
        <f t="shared" si="121"/>
        <v>#DIV/0!</v>
      </c>
      <c r="AV127" s="8" t="e">
        <f t="shared" si="108"/>
        <v>#DIV/0!</v>
      </c>
      <c r="AW127" s="2" t="e">
        <f t="shared" si="109"/>
        <v>#DIV/0!</v>
      </c>
      <c r="AY127" s="2" t="e">
        <f t="shared" si="122"/>
        <v>#DIV/0!</v>
      </c>
      <c r="AZ127" s="2" t="e">
        <f t="shared" si="123"/>
        <v>#DIV/0!</v>
      </c>
      <c r="BD127" s="8" t="e">
        <f t="shared" si="110"/>
        <v>#DIV/0!</v>
      </c>
      <c r="BE127" s="2" t="e">
        <f t="shared" si="111"/>
        <v>#DIV/0!</v>
      </c>
      <c r="BG127" s="2" t="e">
        <f t="shared" si="124"/>
        <v>#DIV/0!</v>
      </c>
      <c r="BH127" s="2" t="e">
        <f t="shared" si="125"/>
        <v>#DIV/0!</v>
      </c>
      <c r="BL127" s="8" t="e">
        <f t="shared" si="112"/>
        <v>#DIV/0!</v>
      </c>
      <c r="BM127" s="2" t="e">
        <f t="shared" si="113"/>
        <v>#DIV/0!</v>
      </c>
      <c r="BO127" s="2" t="e">
        <f t="shared" si="126"/>
        <v>#DIV/0!</v>
      </c>
      <c r="BP127" s="2" t="e">
        <f t="shared" si="127"/>
        <v>#DIV/0!</v>
      </c>
    </row>
    <row r="128" spans="1:68" x14ac:dyDescent="0.2">
      <c r="A128" s="2">
        <f t="shared" si="114"/>
        <v>7.3333333333333242</v>
      </c>
      <c r="B128" s="2">
        <f t="shared" si="115"/>
        <v>6.5339197986738647E-4</v>
      </c>
      <c r="C128" s="2">
        <f t="shared" si="89"/>
        <v>6.5339197986738647E-4</v>
      </c>
      <c r="D128" s="8">
        <f t="shared" si="90"/>
        <v>6.5339197986738647E-4</v>
      </c>
      <c r="E128" s="2">
        <f t="shared" si="91"/>
        <v>6.5339197986738647E-4</v>
      </c>
      <c r="H128" s="8" t="e">
        <f t="shared" si="92"/>
        <v>#DIV/0!</v>
      </c>
      <c r="I128" s="2" t="e">
        <f t="shared" si="93"/>
        <v>#DIV/0!</v>
      </c>
      <c r="L128" s="8">
        <f t="shared" si="94"/>
        <v>2.3161940209759813E-2</v>
      </c>
      <c r="M128" s="2">
        <f t="shared" si="95"/>
        <v>2.3161940209759813E-2</v>
      </c>
      <c r="P128" s="8">
        <f t="shared" si="96"/>
        <v>0.12000000000000011</v>
      </c>
      <c r="Q128" s="2">
        <f t="shared" si="97"/>
        <v>0.12000000000000011</v>
      </c>
      <c r="T128" s="8">
        <f t="shared" si="98"/>
        <v>6.5339197986735709E-4</v>
      </c>
      <c r="U128" s="2">
        <f t="shared" si="99"/>
        <v>6.5339197986735709E-4</v>
      </c>
      <c r="X128" s="8">
        <f t="shared" si="100"/>
        <v>2.3161940209759813E-2</v>
      </c>
      <c r="Y128" s="2">
        <f t="shared" si="101"/>
        <v>2.3161940209759813E-2</v>
      </c>
      <c r="AD128" s="8" t="e">
        <f t="shared" si="102"/>
        <v>#DIV/0!</v>
      </c>
      <c r="AE128" s="2" t="e">
        <f t="shared" si="103"/>
        <v>#DIV/0!</v>
      </c>
      <c r="AG128" s="2" t="e">
        <f t="shared" si="116"/>
        <v>#DIV/0!</v>
      </c>
      <c r="AH128" s="2" t="e">
        <f t="shared" si="117"/>
        <v>#DIV/0!</v>
      </c>
      <c r="AJ128" s="8" t="e">
        <f t="shared" si="104"/>
        <v>#DIV/0!</v>
      </c>
      <c r="AK128" s="2" t="e">
        <f t="shared" si="105"/>
        <v>#DIV/0!</v>
      </c>
      <c r="AM128" s="2" t="e">
        <f t="shared" si="118"/>
        <v>#DIV/0!</v>
      </c>
      <c r="AN128" s="2" t="e">
        <f t="shared" si="119"/>
        <v>#DIV/0!</v>
      </c>
      <c r="AP128" s="8" t="e">
        <f t="shared" si="106"/>
        <v>#DIV/0!</v>
      </c>
      <c r="AQ128" s="2" t="e">
        <f t="shared" si="107"/>
        <v>#DIV/0!</v>
      </c>
      <c r="AS128" s="2" t="e">
        <f t="shared" si="120"/>
        <v>#DIV/0!</v>
      </c>
      <c r="AT128" s="16" t="e">
        <f t="shared" si="121"/>
        <v>#DIV/0!</v>
      </c>
      <c r="AV128" s="8" t="e">
        <f t="shared" si="108"/>
        <v>#DIV/0!</v>
      </c>
      <c r="AW128" s="2" t="e">
        <f t="shared" si="109"/>
        <v>#DIV/0!</v>
      </c>
      <c r="AY128" s="2" t="e">
        <f t="shared" si="122"/>
        <v>#DIV/0!</v>
      </c>
      <c r="AZ128" s="2" t="e">
        <f t="shared" si="123"/>
        <v>#DIV/0!</v>
      </c>
      <c r="BD128" s="8" t="e">
        <f t="shared" si="110"/>
        <v>#DIV/0!</v>
      </c>
      <c r="BE128" s="2" t="e">
        <f t="shared" si="111"/>
        <v>#DIV/0!</v>
      </c>
      <c r="BG128" s="2" t="e">
        <f t="shared" si="124"/>
        <v>#DIV/0!</v>
      </c>
      <c r="BH128" s="2" t="e">
        <f t="shared" si="125"/>
        <v>#DIV/0!</v>
      </c>
      <c r="BL128" s="8" t="e">
        <f t="shared" si="112"/>
        <v>#DIV/0!</v>
      </c>
      <c r="BM128" s="2" t="e">
        <f t="shared" si="113"/>
        <v>#DIV/0!</v>
      </c>
      <c r="BO128" s="2" t="e">
        <f t="shared" si="126"/>
        <v>#DIV/0!</v>
      </c>
      <c r="BP128" s="2" t="e">
        <f t="shared" si="127"/>
        <v>#DIV/0!</v>
      </c>
    </row>
    <row r="129" spans="1:68" x14ac:dyDescent="0.2">
      <c r="A129" s="2">
        <f t="shared" si="114"/>
        <v>7.4166666666666572</v>
      </c>
      <c r="B129" s="2">
        <f t="shared" si="115"/>
        <v>6.0114964164058435E-4</v>
      </c>
      <c r="C129" s="2">
        <f t="shared" si="89"/>
        <v>6.0114964164058435E-4</v>
      </c>
      <c r="D129" s="8">
        <f t="shared" si="90"/>
        <v>6.0114964164058435E-4</v>
      </c>
      <c r="E129" s="2">
        <f t="shared" si="91"/>
        <v>6.0114964164058435E-4</v>
      </c>
      <c r="H129" s="8" t="e">
        <f t="shared" si="92"/>
        <v>#DIV/0!</v>
      </c>
      <c r="I129" s="2" t="e">
        <f t="shared" si="93"/>
        <v>#DIV/0!</v>
      </c>
      <c r="L129" s="8">
        <f t="shared" si="94"/>
        <v>2.2549510421949082E-2</v>
      </c>
      <c r="M129" s="2">
        <f t="shared" si="95"/>
        <v>2.2549510421949082E-2</v>
      </c>
      <c r="P129" s="8">
        <f t="shared" si="96"/>
        <v>0.11881188118811892</v>
      </c>
      <c r="Q129" s="2">
        <f t="shared" si="97"/>
        <v>0.11881188118811892</v>
      </c>
      <c r="T129" s="8">
        <f t="shared" si="98"/>
        <v>6.0114964164059703E-4</v>
      </c>
      <c r="U129" s="2">
        <f t="shared" si="99"/>
        <v>6.0114964164059703E-4</v>
      </c>
      <c r="X129" s="8">
        <f t="shared" si="100"/>
        <v>2.2549510421949082E-2</v>
      </c>
      <c r="Y129" s="2">
        <f t="shared" si="101"/>
        <v>2.2549510421949082E-2</v>
      </c>
      <c r="AD129" s="8" t="e">
        <f t="shared" si="102"/>
        <v>#DIV/0!</v>
      </c>
      <c r="AE129" s="2" t="e">
        <f t="shared" si="103"/>
        <v>#DIV/0!</v>
      </c>
      <c r="AG129" s="2" t="e">
        <f t="shared" si="116"/>
        <v>#DIV/0!</v>
      </c>
      <c r="AH129" s="2" t="e">
        <f t="shared" si="117"/>
        <v>#DIV/0!</v>
      </c>
      <c r="AJ129" s="8" t="e">
        <f t="shared" si="104"/>
        <v>#DIV/0!</v>
      </c>
      <c r="AK129" s="2" t="e">
        <f t="shared" si="105"/>
        <v>#DIV/0!</v>
      </c>
      <c r="AM129" s="2" t="e">
        <f t="shared" si="118"/>
        <v>#DIV/0!</v>
      </c>
      <c r="AN129" s="2" t="e">
        <f t="shared" si="119"/>
        <v>#DIV/0!</v>
      </c>
      <c r="AP129" s="8" t="e">
        <f t="shared" si="106"/>
        <v>#DIV/0!</v>
      </c>
      <c r="AQ129" s="2" t="e">
        <f t="shared" si="107"/>
        <v>#DIV/0!</v>
      </c>
      <c r="AS129" s="2" t="e">
        <f t="shared" si="120"/>
        <v>#DIV/0!</v>
      </c>
      <c r="AT129" s="16" t="e">
        <f t="shared" si="121"/>
        <v>#DIV/0!</v>
      </c>
      <c r="AV129" s="8" t="e">
        <f t="shared" si="108"/>
        <v>#DIV/0!</v>
      </c>
      <c r="AW129" s="2" t="e">
        <f t="shared" si="109"/>
        <v>#DIV/0!</v>
      </c>
      <c r="AY129" s="2" t="e">
        <f t="shared" si="122"/>
        <v>#DIV/0!</v>
      </c>
      <c r="AZ129" s="2" t="e">
        <f t="shared" si="123"/>
        <v>#DIV/0!</v>
      </c>
      <c r="BD129" s="8" t="e">
        <f t="shared" si="110"/>
        <v>#DIV/0!</v>
      </c>
      <c r="BE129" s="2" t="e">
        <f t="shared" si="111"/>
        <v>#DIV/0!</v>
      </c>
      <c r="BG129" s="2" t="e">
        <f t="shared" si="124"/>
        <v>#DIV/0!</v>
      </c>
      <c r="BH129" s="2" t="e">
        <f t="shared" si="125"/>
        <v>#DIV/0!</v>
      </c>
      <c r="BL129" s="8" t="e">
        <f t="shared" si="112"/>
        <v>#DIV/0!</v>
      </c>
      <c r="BM129" s="2" t="e">
        <f t="shared" si="113"/>
        <v>#DIV/0!</v>
      </c>
      <c r="BO129" s="2" t="e">
        <f t="shared" si="126"/>
        <v>#DIV/0!</v>
      </c>
      <c r="BP129" s="2" t="e">
        <f t="shared" si="127"/>
        <v>#DIV/0!</v>
      </c>
    </row>
    <row r="130" spans="1:68" x14ac:dyDescent="0.2">
      <c r="A130" s="2">
        <f t="shared" si="114"/>
        <v>7.4999999999999902</v>
      </c>
      <c r="B130" s="2">
        <f t="shared" si="115"/>
        <v>5.5308437014783894E-4</v>
      </c>
      <c r="C130" s="2">
        <f t="shared" si="89"/>
        <v>5.5308437014783894E-4</v>
      </c>
      <c r="D130" s="8">
        <f t="shared" si="90"/>
        <v>5.5308437014783894E-4</v>
      </c>
      <c r="E130" s="2">
        <f t="shared" si="91"/>
        <v>5.5308437014783894E-4</v>
      </c>
      <c r="H130" s="8" t="e">
        <f t="shared" si="92"/>
        <v>#DIV/0!</v>
      </c>
      <c r="I130" s="2" t="e">
        <f t="shared" si="93"/>
        <v>#DIV/0!</v>
      </c>
      <c r="L130" s="8">
        <f t="shared" si="94"/>
        <v>2.1957405729526314E-2</v>
      </c>
      <c r="M130" s="2">
        <f t="shared" si="95"/>
        <v>2.1957405729526314E-2</v>
      </c>
      <c r="P130" s="8">
        <f t="shared" si="96"/>
        <v>0.11764705882352955</v>
      </c>
      <c r="Q130" s="2">
        <f t="shared" si="97"/>
        <v>0.11764705882352955</v>
      </c>
      <c r="T130" s="8">
        <f t="shared" si="98"/>
        <v>5.530843701478938E-4</v>
      </c>
      <c r="U130" s="2">
        <f t="shared" si="99"/>
        <v>5.530843701478938E-4</v>
      </c>
      <c r="X130" s="8">
        <f t="shared" si="100"/>
        <v>2.1957405729526314E-2</v>
      </c>
      <c r="Y130" s="2">
        <f t="shared" si="101"/>
        <v>2.1957405729526314E-2</v>
      </c>
      <c r="AD130" s="8" t="e">
        <f t="shared" si="102"/>
        <v>#DIV/0!</v>
      </c>
      <c r="AE130" s="2" t="e">
        <f t="shared" si="103"/>
        <v>#DIV/0!</v>
      </c>
      <c r="AG130" s="2" t="e">
        <f t="shared" si="116"/>
        <v>#DIV/0!</v>
      </c>
      <c r="AH130" s="2" t="e">
        <f t="shared" si="117"/>
        <v>#DIV/0!</v>
      </c>
      <c r="AJ130" s="8" t="e">
        <f t="shared" si="104"/>
        <v>#DIV/0!</v>
      </c>
      <c r="AK130" s="2" t="e">
        <f t="shared" si="105"/>
        <v>#DIV/0!</v>
      </c>
      <c r="AM130" s="2" t="e">
        <f t="shared" si="118"/>
        <v>#DIV/0!</v>
      </c>
      <c r="AN130" s="2" t="e">
        <f t="shared" si="119"/>
        <v>#DIV/0!</v>
      </c>
      <c r="AP130" s="8" t="e">
        <f t="shared" si="106"/>
        <v>#DIV/0!</v>
      </c>
      <c r="AQ130" s="2" t="e">
        <f t="shared" si="107"/>
        <v>#DIV/0!</v>
      </c>
      <c r="AS130" s="2" t="e">
        <f t="shared" si="120"/>
        <v>#DIV/0!</v>
      </c>
      <c r="AT130" s="16" t="e">
        <f t="shared" si="121"/>
        <v>#DIV/0!</v>
      </c>
      <c r="AV130" s="8" t="e">
        <f t="shared" si="108"/>
        <v>#DIV/0!</v>
      </c>
      <c r="AW130" s="2" t="e">
        <f t="shared" si="109"/>
        <v>#DIV/0!</v>
      </c>
      <c r="AY130" s="2" t="e">
        <f t="shared" si="122"/>
        <v>#DIV/0!</v>
      </c>
      <c r="AZ130" s="2" t="e">
        <f t="shared" si="123"/>
        <v>#DIV/0!</v>
      </c>
      <c r="BD130" s="8" t="e">
        <f t="shared" si="110"/>
        <v>#DIV/0!</v>
      </c>
      <c r="BE130" s="2" t="e">
        <f t="shared" si="111"/>
        <v>#DIV/0!</v>
      </c>
      <c r="BG130" s="2" t="e">
        <f t="shared" si="124"/>
        <v>#DIV/0!</v>
      </c>
      <c r="BH130" s="2" t="e">
        <f t="shared" si="125"/>
        <v>#DIV/0!</v>
      </c>
      <c r="BL130" s="8" t="e">
        <f t="shared" si="112"/>
        <v>#DIV/0!</v>
      </c>
      <c r="BM130" s="2" t="e">
        <f t="shared" si="113"/>
        <v>#DIV/0!</v>
      </c>
      <c r="BO130" s="2" t="e">
        <f t="shared" si="126"/>
        <v>#DIV/0!</v>
      </c>
      <c r="BP130" s="2" t="e">
        <f t="shared" si="127"/>
        <v>#DIV/0!</v>
      </c>
    </row>
    <row r="131" spans="1:68" x14ac:dyDescent="0.2">
      <c r="A131" s="2">
        <f t="shared" si="114"/>
        <v>7.5833333333333233</v>
      </c>
      <c r="B131" s="2">
        <f t="shared" si="115"/>
        <v>5.0886218557329665E-4</v>
      </c>
      <c r="C131" s="2">
        <f t="shared" si="89"/>
        <v>5.0886218557329665E-4</v>
      </c>
      <c r="D131" s="8">
        <f t="shared" si="90"/>
        <v>5.0886218557329665E-4</v>
      </c>
      <c r="E131" s="2">
        <f t="shared" si="91"/>
        <v>5.0886218557329665E-4</v>
      </c>
      <c r="H131" s="8" t="e">
        <f t="shared" si="92"/>
        <v>#DIV/0!</v>
      </c>
      <c r="I131" s="2" t="e">
        <f t="shared" si="93"/>
        <v>#DIV/0!</v>
      </c>
      <c r="L131" s="8">
        <f t="shared" si="94"/>
        <v>2.1384807957713803E-2</v>
      </c>
      <c r="M131" s="2">
        <f t="shared" si="95"/>
        <v>2.1384807957713803E-2</v>
      </c>
      <c r="P131" s="8">
        <f t="shared" si="96"/>
        <v>0.11650485436893221</v>
      </c>
      <c r="Q131" s="2">
        <f t="shared" si="97"/>
        <v>0.11650485436893221</v>
      </c>
      <c r="T131" s="8">
        <f t="shared" si="98"/>
        <v>5.0886218557333329E-4</v>
      </c>
      <c r="U131" s="2">
        <f t="shared" si="99"/>
        <v>5.0886218557333329E-4</v>
      </c>
      <c r="X131" s="8">
        <f t="shared" si="100"/>
        <v>2.1384807957713803E-2</v>
      </c>
      <c r="Y131" s="2">
        <f t="shared" si="101"/>
        <v>2.1384807957713803E-2</v>
      </c>
      <c r="AD131" s="8" t="e">
        <f t="shared" si="102"/>
        <v>#DIV/0!</v>
      </c>
      <c r="AE131" s="2" t="e">
        <f t="shared" si="103"/>
        <v>#DIV/0!</v>
      </c>
      <c r="AG131" s="2" t="e">
        <f t="shared" si="116"/>
        <v>#DIV/0!</v>
      </c>
      <c r="AH131" s="2" t="e">
        <f t="shared" si="117"/>
        <v>#DIV/0!</v>
      </c>
      <c r="AJ131" s="8" t="e">
        <f t="shared" si="104"/>
        <v>#DIV/0!</v>
      </c>
      <c r="AK131" s="2" t="e">
        <f t="shared" si="105"/>
        <v>#DIV/0!</v>
      </c>
      <c r="AM131" s="2" t="e">
        <f t="shared" si="118"/>
        <v>#DIV/0!</v>
      </c>
      <c r="AN131" s="2" t="e">
        <f t="shared" si="119"/>
        <v>#DIV/0!</v>
      </c>
      <c r="AP131" s="8" t="e">
        <f t="shared" si="106"/>
        <v>#DIV/0!</v>
      </c>
      <c r="AQ131" s="2" t="e">
        <f t="shared" si="107"/>
        <v>#DIV/0!</v>
      </c>
      <c r="AS131" s="2" t="e">
        <f t="shared" si="120"/>
        <v>#DIV/0!</v>
      </c>
      <c r="AT131" s="16" t="e">
        <f t="shared" si="121"/>
        <v>#DIV/0!</v>
      </c>
      <c r="AV131" s="8" t="e">
        <f t="shared" si="108"/>
        <v>#DIV/0!</v>
      </c>
      <c r="AW131" s="2" t="e">
        <f t="shared" si="109"/>
        <v>#DIV/0!</v>
      </c>
      <c r="AY131" s="2" t="e">
        <f t="shared" si="122"/>
        <v>#DIV/0!</v>
      </c>
      <c r="AZ131" s="2" t="e">
        <f t="shared" si="123"/>
        <v>#DIV/0!</v>
      </c>
      <c r="BD131" s="8" t="e">
        <f t="shared" si="110"/>
        <v>#DIV/0!</v>
      </c>
      <c r="BE131" s="2" t="e">
        <f t="shared" si="111"/>
        <v>#DIV/0!</v>
      </c>
      <c r="BG131" s="2" t="e">
        <f t="shared" si="124"/>
        <v>#DIV/0!</v>
      </c>
      <c r="BH131" s="2" t="e">
        <f t="shared" si="125"/>
        <v>#DIV/0!</v>
      </c>
      <c r="BL131" s="8" t="e">
        <f t="shared" si="112"/>
        <v>#DIV/0!</v>
      </c>
      <c r="BM131" s="2" t="e">
        <f t="shared" si="113"/>
        <v>#DIV/0!</v>
      </c>
      <c r="BO131" s="2" t="e">
        <f t="shared" si="126"/>
        <v>#DIV/0!</v>
      </c>
      <c r="BP131" s="2" t="e">
        <f t="shared" si="127"/>
        <v>#DIV/0!</v>
      </c>
    </row>
    <row r="132" spans="1:68" x14ac:dyDescent="0.2">
      <c r="A132" s="2">
        <f t="shared" si="114"/>
        <v>7.6666666666666563</v>
      </c>
      <c r="B132" s="2">
        <f t="shared" si="115"/>
        <v>4.6817581165278186E-4</v>
      </c>
      <c r="C132" s="2">
        <f t="shared" si="89"/>
        <v>4.6817581165278186E-4</v>
      </c>
      <c r="D132" s="8">
        <f t="shared" si="90"/>
        <v>4.6817581165278186E-4</v>
      </c>
      <c r="E132" s="2">
        <f t="shared" si="91"/>
        <v>4.6817581165278186E-4</v>
      </c>
      <c r="H132" s="8" t="e">
        <f t="shared" si="92"/>
        <v>#DIV/0!</v>
      </c>
      <c r="I132" s="2" t="e">
        <f t="shared" si="93"/>
        <v>#DIV/0!</v>
      </c>
      <c r="L132" s="8">
        <f t="shared" si="94"/>
        <v>2.0830937816769701E-2</v>
      </c>
      <c r="M132" s="2">
        <f t="shared" si="95"/>
        <v>2.0830937816769701E-2</v>
      </c>
      <c r="P132" s="8">
        <f t="shared" si="96"/>
        <v>0.11538461538461553</v>
      </c>
      <c r="Q132" s="2">
        <f t="shared" si="97"/>
        <v>0.11538461538461553</v>
      </c>
      <c r="T132" s="8">
        <f t="shared" si="98"/>
        <v>4.6817581165281563E-4</v>
      </c>
      <c r="U132" s="2">
        <f t="shared" si="99"/>
        <v>4.6817581165281563E-4</v>
      </c>
      <c r="X132" s="8">
        <f t="shared" si="100"/>
        <v>2.0830937816769701E-2</v>
      </c>
      <c r="Y132" s="2">
        <f t="shared" si="101"/>
        <v>2.0830937816769701E-2</v>
      </c>
      <c r="AD132" s="8" t="e">
        <f t="shared" si="102"/>
        <v>#DIV/0!</v>
      </c>
      <c r="AE132" s="2" t="e">
        <f t="shared" si="103"/>
        <v>#DIV/0!</v>
      </c>
      <c r="AG132" s="2" t="e">
        <f t="shared" si="116"/>
        <v>#DIV/0!</v>
      </c>
      <c r="AH132" s="2" t="e">
        <f t="shared" si="117"/>
        <v>#DIV/0!</v>
      </c>
      <c r="AJ132" s="8" t="e">
        <f t="shared" si="104"/>
        <v>#DIV/0!</v>
      </c>
      <c r="AK132" s="2" t="e">
        <f t="shared" si="105"/>
        <v>#DIV/0!</v>
      </c>
      <c r="AM132" s="2" t="e">
        <f t="shared" si="118"/>
        <v>#DIV/0!</v>
      </c>
      <c r="AN132" s="2" t="e">
        <f t="shared" si="119"/>
        <v>#DIV/0!</v>
      </c>
      <c r="AP132" s="8" t="e">
        <f t="shared" si="106"/>
        <v>#DIV/0!</v>
      </c>
      <c r="AQ132" s="2" t="e">
        <f t="shared" si="107"/>
        <v>#DIV/0!</v>
      </c>
      <c r="AS132" s="2" t="e">
        <f t="shared" si="120"/>
        <v>#DIV/0!</v>
      </c>
      <c r="AT132" s="16" t="e">
        <f t="shared" si="121"/>
        <v>#DIV/0!</v>
      </c>
      <c r="AV132" s="8" t="e">
        <f t="shared" si="108"/>
        <v>#DIV/0!</v>
      </c>
      <c r="AW132" s="2" t="e">
        <f t="shared" si="109"/>
        <v>#DIV/0!</v>
      </c>
      <c r="AY132" s="2" t="e">
        <f t="shared" si="122"/>
        <v>#DIV/0!</v>
      </c>
      <c r="AZ132" s="2" t="e">
        <f t="shared" si="123"/>
        <v>#DIV/0!</v>
      </c>
      <c r="BD132" s="8" t="e">
        <f t="shared" si="110"/>
        <v>#DIV/0!</v>
      </c>
      <c r="BE132" s="2" t="e">
        <f t="shared" si="111"/>
        <v>#DIV/0!</v>
      </c>
      <c r="BG132" s="2" t="e">
        <f t="shared" si="124"/>
        <v>#DIV/0!</v>
      </c>
      <c r="BH132" s="2" t="e">
        <f t="shared" si="125"/>
        <v>#DIV/0!</v>
      </c>
      <c r="BL132" s="8" t="e">
        <f t="shared" si="112"/>
        <v>#DIV/0!</v>
      </c>
      <c r="BM132" s="2" t="e">
        <f t="shared" si="113"/>
        <v>#DIV/0!</v>
      </c>
      <c r="BO132" s="2" t="e">
        <f t="shared" si="126"/>
        <v>#DIV/0!</v>
      </c>
      <c r="BP132" s="2" t="e">
        <f t="shared" si="127"/>
        <v>#DIV/0!</v>
      </c>
    </row>
    <row r="133" spans="1:68" x14ac:dyDescent="0.2">
      <c r="A133" s="2">
        <f t="shared" si="114"/>
        <v>7.7499999999999893</v>
      </c>
      <c r="B133" s="2">
        <f t="shared" si="115"/>
        <v>4.3074254057569214E-4</v>
      </c>
      <c r="C133" s="2">
        <f t="shared" si="89"/>
        <v>4.3074254057569214E-4</v>
      </c>
      <c r="D133" s="8">
        <f t="shared" si="90"/>
        <v>4.3074254057569214E-4</v>
      </c>
      <c r="E133" s="2">
        <f t="shared" si="91"/>
        <v>4.3074254057569214E-4</v>
      </c>
      <c r="H133" s="8" t="e">
        <f t="shared" si="92"/>
        <v>#DIV/0!</v>
      </c>
      <c r="I133" s="2" t="e">
        <f t="shared" si="93"/>
        <v>#DIV/0!</v>
      </c>
      <c r="L133" s="8">
        <f t="shared" si="94"/>
        <v>2.0295052766562183E-2</v>
      </c>
      <c r="M133" s="2">
        <f t="shared" si="95"/>
        <v>2.0295052766562183E-2</v>
      </c>
      <c r="P133" s="8">
        <f t="shared" si="96"/>
        <v>0.11428571428571432</v>
      </c>
      <c r="Q133" s="2">
        <f t="shared" si="97"/>
        <v>0.11428571428571432</v>
      </c>
      <c r="T133" s="8">
        <f t="shared" si="98"/>
        <v>4.307425405757348E-4</v>
      </c>
      <c r="U133" s="2">
        <f t="shared" si="99"/>
        <v>4.307425405757348E-4</v>
      </c>
      <c r="X133" s="8">
        <f t="shared" si="100"/>
        <v>2.0295052766562183E-2</v>
      </c>
      <c r="Y133" s="2">
        <f t="shared" si="101"/>
        <v>2.0295052766562183E-2</v>
      </c>
      <c r="AD133" s="8" t="e">
        <f t="shared" si="102"/>
        <v>#DIV/0!</v>
      </c>
      <c r="AE133" s="2" t="e">
        <f t="shared" si="103"/>
        <v>#DIV/0!</v>
      </c>
      <c r="AG133" s="2" t="e">
        <f t="shared" si="116"/>
        <v>#DIV/0!</v>
      </c>
      <c r="AH133" s="2" t="e">
        <f t="shared" si="117"/>
        <v>#DIV/0!</v>
      </c>
      <c r="AJ133" s="8" t="e">
        <f t="shared" si="104"/>
        <v>#DIV/0!</v>
      </c>
      <c r="AK133" s="2" t="e">
        <f t="shared" si="105"/>
        <v>#DIV/0!</v>
      </c>
      <c r="AM133" s="2" t="e">
        <f t="shared" si="118"/>
        <v>#DIV/0!</v>
      </c>
      <c r="AN133" s="2" t="e">
        <f t="shared" si="119"/>
        <v>#DIV/0!</v>
      </c>
      <c r="AP133" s="8" t="e">
        <f t="shared" si="106"/>
        <v>#DIV/0!</v>
      </c>
      <c r="AQ133" s="2" t="e">
        <f t="shared" si="107"/>
        <v>#DIV/0!</v>
      </c>
      <c r="AS133" s="2" t="e">
        <f t="shared" si="120"/>
        <v>#DIV/0!</v>
      </c>
      <c r="AT133" s="16" t="e">
        <f t="shared" si="121"/>
        <v>#DIV/0!</v>
      </c>
      <c r="AV133" s="8" t="e">
        <f t="shared" si="108"/>
        <v>#DIV/0!</v>
      </c>
      <c r="AW133" s="2" t="e">
        <f t="shared" si="109"/>
        <v>#DIV/0!</v>
      </c>
      <c r="AY133" s="2" t="e">
        <f t="shared" si="122"/>
        <v>#DIV/0!</v>
      </c>
      <c r="AZ133" s="2" t="e">
        <f t="shared" si="123"/>
        <v>#DIV/0!</v>
      </c>
      <c r="BD133" s="8" t="e">
        <f t="shared" si="110"/>
        <v>#DIV/0!</v>
      </c>
      <c r="BE133" s="2" t="e">
        <f t="shared" si="111"/>
        <v>#DIV/0!</v>
      </c>
      <c r="BG133" s="2" t="e">
        <f t="shared" si="124"/>
        <v>#DIV/0!</v>
      </c>
      <c r="BH133" s="2" t="e">
        <f t="shared" si="125"/>
        <v>#DIV/0!</v>
      </c>
      <c r="BL133" s="8" t="e">
        <f t="shared" si="112"/>
        <v>#DIV/0!</v>
      </c>
      <c r="BM133" s="2" t="e">
        <f t="shared" si="113"/>
        <v>#DIV/0!</v>
      </c>
      <c r="BO133" s="2" t="e">
        <f t="shared" si="126"/>
        <v>#DIV/0!</v>
      </c>
      <c r="BP133" s="2" t="e">
        <f t="shared" si="127"/>
        <v>#DIV/0!</v>
      </c>
    </row>
    <row r="134" spans="1:68" x14ac:dyDescent="0.2">
      <c r="A134" s="2">
        <f t="shared" si="114"/>
        <v>7.8333333333333224</v>
      </c>
      <c r="B134" s="2">
        <f t="shared" si="115"/>
        <v>3.9630226859991029E-4</v>
      </c>
      <c r="C134" s="2">
        <f t="shared" si="89"/>
        <v>3.9630226859991029E-4</v>
      </c>
      <c r="D134" s="8">
        <f t="shared" si="90"/>
        <v>3.9630226859991029E-4</v>
      </c>
      <c r="E134" s="2">
        <f t="shared" si="91"/>
        <v>3.9630226859991029E-4</v>
      </c>
      <c r="H134" s="8" t="e">
        <f t="shared" si="92"/>
        <v>#DIV/0!</v>
      </c>
      <c r="I134" s="2" t="e">
        <f t="shared" si="93"/>
        <v>#DIV/0!</v>
      </c>
      <c r="L134" s="8">
        <f t="shared" si="94"/>
        <v>1.9776445014302646E-2</v>
      </c>
      <c r="M134" s="2">
        <f t="shared" si="95"/>
        <v>1.9776445014302646E-2</v>
      </c>
      <c r="P134" s="8">
        <f t="shared" si="96"/>
        <v>0.11320754716981152</v>
      </c>
      <c r="Q134" s="2">
        <f t="shared" si="97"/>
        <v>0.11320754716981152</v>
      </c>
      <c r="T134" s="8">
        <f t="shared" si="98"/>
        <v>3.963022685998796E-4</v>
      </c>
      <c r="U134" s="2">
        <f t="shared" si="99"/>
        <v>3.963022685998796E-4</v>
      </c>
      <c r="X134" s="8">
        <f t="shared" si="100"/>
        <v>1.9776445014302646E-2</v>
      </c>
      <c r="Y134" s="2">
        <f t="shared" si="101"/>
        <v>1.9776445014302646E-2</v>
      </c>
      <c r="AD134" s="8" t="e">
        <f t="shared" si="102"/>
        <v>#DIV/0!</v>
      </c>
      <c r="AE134" s="2" t="e">
        <f t="shared" si="103"/>
        <v>#DIV/0!</v>
      </c>
      <c r="AG134" s="2" t="e">
        <f t="shared" si="116"/>
        <v>#DIV/0!</v>
      </c>
      <c r="AH134" s="2" t="e">
        <f t="shared" si="117"/>
        <v>#DIV/0!</v>
      </c>
      <c r="AJ134" s="8" t="e">
        <f t="shared" si="104"/>
        <v>#DIV/0!</v>
      </c>
      <c r="AK134" s="2" t="e">
        <f t="shared" si="105"/>
        <v>#DIV/0!</v>
      </c>
      <c r="AM134" s="2" t="e">
        <f t="shared" si="118"/>
        <v>#DIV/0!</v>
      </c>
      <c r="AN134" s="2" t="e">
        <f t="shared" si="119"/>
        <v>#DIV/0!</v>
      </c>
      <c r="AP134" s="8" t="e">
        <f t="shared" si="106"/>
        <v>#DIV/0!</v>
      </c>
      <c r="AQ134" s="2" t="e">
        <f t="shared" si="107"/>
        <v>#DIV/0!</v>
      </c>
      <c r="AS134" s="2" t="e">
        <f t="shared" si="120"/>
        <v>#DIV/0!</v>
      </c>
      <c r="AT134" s="16" t="e">
        <f t="shared" si="121"/>
        <v>#DIV/0!</v>
      </c>
      <c r="AV134" s="8" t="e">
        <f t="shared" si="108"/>
        <v>#DIV/0!</v>
      </c>
      <c r="AW134" s="2" t="e">
        <f t="shared" si="109"/>
        <v>#DIV/0!</v>
      </c>
      <c r="AY134" s="2" t="e">
        <f t="shared" si="122"/>
        <v>#DIV/0!</v>
      </c>
      <c r="AZ134" s="2" t="e">
        <f t="shared" si="123"/>
        <v>#DIV/0!</v>
      </c>
      <c r="BD134" s="8" t="e">
        <f t="shared" si="110"/>
        <v>#DIV/0!</v>
      </c>
      <c r="BE134" s="2" t="e">
        <f t="shared" si="111"/>
        <v>#DIV/0!</v>
      </c>
      <c r="BG134" s="2" t="e">
        <f t="shared" si="124"/>
        <v>#DIV/0!</v>
      </c>
      <c r="BH134" s="2" t="e">
        <f t="shared" si="125"/>
        <v>#DIV/0!</v>
      </c>
      <c r="BL134" s="8" t="e">
        <f t="shared" si="112"/>
        <v>#DIV/0!</v>
      </c>
      <c r="BM134" s="2" t="e">
        <f t="shared" si="113"/>
        <v>#DIV/0!</v>
      </c>
      <c r="BO134" s="2" t="e">
        <f t="shared" si="126"/>
        <v>#DIV/0!</v>
      </c>
      <c r="BP134" s="2" t="e">
        <f t="shared" si="127"/>
        <v>#DIV/0!</v>
      </c>
    </row>
    <row r="135" spans="1:68" x14ac:dyDescent="0.2">
      <c r="A135" s="2">
        <f t="shared" si="114"/>
        <v>7.9166666666666554</v>
      </c>
      <c r="B135" s="2">
        <f t="shared" si="115"/>
        <v>3.6461568873027739E-4</v>
      </c>
      <c r="C135" s="2">
        <f t="shared" si="89"/>
        <v>3.6461568873027739E-4</v>
      </c>
      <c r="D135" s="8">
        <f t="shared" si="90"/>
        <v>3.6461568873027739E-4</v>
      </c>
      <c r="E135" s="2">
        <f t="shared" si="91"/>
        <v>3.6461568873027739E-4</v>
      </c>
      <c r="H135" s="8" t="e">
        <f t="shared" si="92"/>
        <v>#DIV/0!</v>
      </c>
      <c r="I135" s="2" t="e">
        <f t="shared" si="93"/>
        <v>#DIV/0!</v>
      </c>
      <c r="L135" s="8">
        <f t="shared" si="94"/>
        <v>1.9274439636141727E-2</v>
      </c>
      <c r="M135" s="2">
        <f t="shared" si="95"/>
        <v>1.9274439636141727E-2</v>
      </c>
      <c r="P135" s="8">
        <f t="shared" si="96"/>
        <v>0.1121495327102805</v>
      </c>
      <c r="Q135" s="2">
        <f t="shared" si="97"/>
        <v>0.1121495327102805</v>
      </c>
      <c r="T135" s="8">
        <f t="shared" si="98"/>
        <v>3.6461568873025207E-4</v>
      </c>
      <c r="U135" s="2">
        <f t="shared" si="99"/>
        <v>3.6461568873025207E-4</v>
      </c>
      <c r="X135" s="8">
        <f t="shared" si="100"/>
        <v>1.9274439636141727E-2</v>
      </c>
      <c r="Y135" s="2">
        <f t="shared" si="101"/>
        <v>1.9274439636141727E-2</v>
      </c>
      <c r="AD135" s="8" t="e">
        <f t="shared" si="102"/>
        <v>#DIV/0!</v>
      </c>
      <c r="AE135" s="2" t="e">
        <f t="shared" si="103"/>
        <v>#DIV/0!</v>
      </c>
      <c r="AG135" s="2" t="e">
        <f t="shared" si="116"/>
        <v>#DIV/0!</v>
      </c>
      <c r="AH135" s="2" t="e">
        <f t="shared" si="117"/>
        <v>#DIV/0!</v>
      </c>
      <c r="AJ135" s="8" t="e">
        <f t="shared" si="104"/>
        <v>#DIV/0!</v>
      </c>
      <c r="AK135" s="2" t="e">
        <f t="shared" si="105"/>
        <v>#DIV/0!</v>
      </c>
      <c r="AM135" s="2" t="e">
        <f t="shared" si="118"/>
        <v>#DIV/0!</v>
      </c>
      <c r="AN135" s="2" t="e">
        <f t="shared" si="119"/>
        <v>#DIV/0!</v>
      </c>
      <c r="AP135" s="8" t="e">
        <f t="shared" si="106"/>
        <v>#DIV/0!</v>
      </c>
      <c r="AQ135" s="2" t="e">
        <f t="shared" si="107"/>
        <v>#DIV/0!</v>
      </c>
      <c r="AS135" s="2" t="e">
        <f t="shared" si="120"/>
        <v>#DIV/0!</v>
      </c>
      <c r="AT135" s="16" t="e">
        <f t="shared" si="121"/>
        <v>#DIV/0!</v>
      </c>
      <c r="AV135" s="8" t="e">
        <f t="shared" si="108"/>
        <v>#DIV/0!</v>
      </c>
      <c r="AW135" s="2" t="e">
        <f t="shared" si="109"/>
        <v>#DIV/0!</v>
      </c>
      <c r="AY135" s="2" t="e">
        <f t="shared" si="122"/>
        <v>#DIV/0!</v>
      </c>
      <c r="AZ135" s="2" t="e">
        <f t="shared" si="123"/>
        <v>#DIV/0!</v>
      </c>
      <c r="BD135" s="8" t="e">
        <f t="shared" si="110"/>
        <v>#DIV/0!</v>
      </c>
      <c r="BE135" s="2" t="e">
        <f t="shared" si="111"/>
        <v>#DIV/0!</v>
      </c>
      <c r="BG135" s="2" t="e">
        <f t="shared" si="124"/>
        <v>#DIV/0!</v>
      </c>
      <c r="BH135" s="2" t="e">
        <f t="shared" si="125"/>
        <v>#DIV/0!</v>
      </c>
      <c r="BL135" s="8" t="e">
        <f t="shared" si="112"/>
        <v>#DIV/0!</v>
      </c>
      <c r="BM135" s="2" t="e">
        <f t="shared" si="113"/>
        <v>#DIV/0!</v>
      </c>
      <c r="BO135" s="2" t="e">
        <f t="shared" si="126"/>
        <v>#DIV/0!</v>
      </c>
      <c r="BP135" s="2" t="e">
        <f t="shared" si="127"/>
        <v>#DIV/0!</v>
      </c>
    </row>
    <row r="136" spans="1:68" x14ac:dyDescent="0.2">
      <c r="A136" s="2">
        <f t="shared" si="114"/>
        <v>7.9999999999999885</v>
      </c>
      <c r="B136" s="2">
        <f t="shared" si="115"/>
        <v>3.354626279025157E-4</v>
      </c>
      <c r="C136" s="2">
        <f t="shared" si="89"/>
        <v>3.354626279025157E-4</v>
      </c>
      <c r="D136" s="8">
        <f t="shared" si="90"/>
        <v>3.354626279025157E-4</v>
      </c>
      <c r="E136" s="2">
        <f t="shared" si="91"/>
        <v>3.354626279025157E-4</v>
      </c>
      <c r="H136" s="8" t="e">
        <f t="shared" si="92"/>
        <v>#DIV/0!</v>
      </c>
      <c r="I136" s="2" t="e">
        <f t="shared" si="93"/>
        <v>#DIV/0!</v>
      </c>
      <c r="L136" s="8">
        <f t="shared" si="94"/>
        <v>1.8788392814055199E-2</v>
      </c>
      <c r="M136" s="2">
        <f t="shared" si="95"/>
        <v>1.8788392814055199E-2</v>
      </c>
      <c r="P136" s="8">
        <f t="shared" si="96"/>
        <v>0.11111111111111127</v>
      </c>
      <c r="Q136" s="2">
        <f t="shared" si="97"/>
        <v>0.11111111111111127</v>
      </c>
      <c r="T136" s="8">
        <f t="shared" si="98"/>
        <v>3.3546262790251635E-4</v>
      </c>
      <c r="U136" s="2">
        <f t="shared" si="99"/>
        <v>3.3546262790251635E-4</v>
      </c>
      <c r="X136" s="8">
        <f t="shared" si="100"/>
        <v>1.8788392814055199E-2</v>
      </c>
      <c r="Y136" s="2">
        <f t="shared" si="101"/>
        <v>1.8788392814055199E-2</v>
      </c>
      <c r="AD136" s="8" t="e">
        <f t="shared" si="102"/>
        <v>#DIV/0!</v>
      </c>
      <c r="AE136" s="2" t="e">
        <f t="shared" si="103"/>
        <v>#DIV/0!</v>
      </c>
      <c r="AG136" s="2" t="e">
        <f t="shared" si="116"/>
        <v>#DIV/0!</v>
      </c>
      <c r="AH136" s="2" t="e">
        <f t="shared" si="117"/>
        <v>#DIV/0!</v>
      </c>
      <c r="AJ136" s="8" t="e">
        <f t="shared" si="104"/>
        <v>#DIV/0!</v>
      </c>
      <c r="AK136" s="2" t="e">
        <f t="shared" si="105"/>
        <v>#DIV/0!</v>
      </c>
      <c r="AM136" s="2" t="e">
        <f t="shared" si="118"/>
        <v>#DIV/0!</v>
      </c>
      <c r="AN136" s="2" t="e">
        <f t="shared" si="119"/>
        <v>#DIV/0!</v>
      </c>
      <c r="AP136" s="8" t="e">
        <f t="shared" si="106"/>
        <v>#DIV/0!</v>
      </c>
      <c r="AQ136" s="2" t="e">
        <f t="shared" si="107"/>
        <v>#DIV/0!</v>
      </c>
      <c r="AS136" s="2" t="e">
        <f t="shared" si="120"/>
        <v>#DIV/0!</v>
      </c>
      <c r="AT136" s="16" t="e">
        <f t="shared" si="121"/>
        <v>#DIV/0!</v>
      </c>
      <c r="AV136" s="8" t="e">
        <f t="shared" si="108"/>
        <v>#DIV/0!</v>
      </c>
      <c r="AW136" s="2" t="e">
        <f t="shared" si="109"/>
        <v>#DIV/0!</v>
      </c>
      <c r="AY136" s="2" t="e">
        <f t="shared" si="122"/>
        <v>#DIV/0!</v>
      </c>
      <c r="AZ136" s="2" t="e">
        <f t="shared" si="123"/>
        <v>#DIV/0!</v>
      </c>
      <c r="BD136" s="8" t="e">
        <f t="shared" si="110"/>
        <v>#DIV/0!</v>
      </c>
      <c r="BE136" s="2" t="e">
        <f t="shared" si="111"/>
        <v>#DIV/0!</v>
      </c>
      <c r="BG136" s="2" t="e">
        <f t="shared" si="124"/>
        <v>#DIV/0!</v>
      </c>
      <c r="BH136" s="2" t="e">
        <f t="shared" si="125"/>
        <v>#DIV/0!</v>
      </c>
      <c r="BL136" s="8" t="e">
        <f t="shared" si="112"/>
        <v>#DIV/0!</v>
      </c>
      <c r="BM136" s="2" t="e">
        <f t="shared" si="113"/>
        <v>#DIV/0!</v>
      </c>
      <c r="BO136" s="2" t="e">
        <f t="shared" si="126"/>
        <v>#DIV/0!</v>
      </c>
      <c r="BP136" s="2" t="e">
        <f t="shared" si="127"/>
        <v>#DIV/0!</v>
      </c>
    </row>
    <row r="137" spans="1:68" x14ac:dyDescent="0.2">
      <c r="A137" s="2">
        <f t="shared" si="114"/>
        <v>8.0833333333333215</v>
      </c>
      <c r="B137" s="2">
        <f t="shared" si="115"/>
        <v>3.0864051711858466E-4</v>
      </c>
      <c r="C137" s="2">
        <f t="shared" ref="C137:C160" si="128">EXP(-$A137*$B$35*C$35)</f>
        <v>3.0864051711858466E-4</v>
      </c>
      <c r="D137" s="8">
        <f t="shared" ref="D137:D160" si="129">EXP(-(($A137*$E$35)^$D$35))</f>
        <v>3.0864051711858466E-4</v>
      </c>
      <c r="E137" s="2">
        <f t="shared" ref="E137:E160" si="130">EXP(-(($A137*$E$35*F$35)^$G$35))</f>
        <v>3.0864051711858466E-4</v>
      </c>
      <c r="H137" s="8" t="e">
        <f t="shared" ref="H137:H160" si="131">EXP(-(($I$35)/$H$35)*(EXP($H$35*$A137)-1))</f>
        <v>#DIV/0!</v>
      </c>
      <c r="I137" s="2" t="e">
        <f t="shared" ref="I137:I160" si="132">EXP(-(($I$35*J$35)/$K$35)*(EXP($K$35*$A137)-1))</f>
        <v>#DIV/0!</v>
      </c>
      <c r="L137" s="8">
        <f t="shared" ref="L137:L160" si="133">1-_xlfn.NORM.S.DIST((LN($A137)-$L$35)/$M$35,TRUE)</f>
        <v>1.8317690180096213E-2</v>
      </c>
      <c r="M137" s="2">
        <f t="shared" ref="M137:M160" si="134">1-_xlfn.NORM.S.DIST((LN($A137)-$L$35-N$35)/$O$35,TRUE)</f>
        <v>1.8317690180096213E-2</v>
      </c>
      <c r="P137" s="8">
        <f t="shared" ref="P137:P160" si="135">1-(1/(1+($A137/($Q$35))^(-$P$35)))</f>
        <v>0.11009174311926628</v>
      </c>
      <c r="Q137" s="2">
        <f t="shared" ref="Q137:Q160" si="136">1-(1/(1+($A137/($Q$35*R$35))^(-$S$35)))</f>
        <v>0.11009174311926628</v>
      </c>
      <c r="T137" s="8">
        <f t="shared" ref="T137:T160" si="137">1-(_xlfn.GAMMA.DIST($U$35*$A137,$T$35,1,TRUE)*EXP(GAMMALN($T$35)))/EXP(GAMMALN($T$35))</f>
        <v>3.0864051711854135E-4</v>
      </c>
      <c r="U137" s="2">
        <f t="shared" ref="U137:U160" si="138">1-(_xlfn.GAMMA.DIST($U$35*V$35*$A137,$W$35,1,TRUE)*EXP(GAMMALN($W$35)))/EXP(GAMMALN($W$35))</f>
        <v>3.0864051711854135E-4</v>
      </c>
      <c r="X137" s="8">
        <f t="shared" ref="X137:X160" si="139">IF(ABS($Z$35)&lt;0.05,
        1-_xlfn.NORM.S.DIST((LN($A137)-$X$35)/$Y$35,TRUE),
        IF(0=1-
            IF($Z$35&gt;0,
                    _xlfn.GAMMA.DIST(EXP($Z$35*((LN($A137)-$X$35)/$Y$35))*($Z$35^(-2)),($Z$35^(-2)),1, TRUE),
                    1-_xlfn.GAMMA.DIST(EXP($Z$35*((LN($A137)-$X$35)/$Y$35))*($Z$35^(-2)),($Z$35^(-2)),1, TRUE)),
            0,
            EXP(LN(1-
                IF($Z$35&gt;0,
                    _xlfn.GAMMA.DIST(EXP($Z$35*((LN($A137)-$X$35)/$Y$35))*($Z$35^(-2)),($Z$35^(-2)),1, TRUE),
                    1-_xlfn.GAMMA.DIST(EXP($Z$35*((LN($A137)-$X$35)/$Y$35))*($Z$35^(-2)),($Z$35^(-2)),1, TRUE))))))</f>
        <v>1.8317690180096213E-2</v>
      </c>
      <c r="Y137" s="2">
        <f t="shared" ref="Y137:Y160" si="140">IF(ABS($AC$35)&lt;0.05,
        1-_xlfn.NORM.S.DIST((LN($A137)-($X$35+AA$35))/$AB$35,TRUE),
        IF(0=1-
            IF($AC$35&gt;0,
                    _xlfn.GAMMA.DIST(EXP($AC$35*((LN($A137)-($X$35+AA$35))/$AB$35))*($AC$35^(-2)),($AC$35^(-2)),1, TRUE),
                    1-_xlfn.GAMMA.DIST(EXP($AC$35*((LN($A137)-($X$35+AA$35))/$AB$35))*($AC$35^(-2)),($AC$35^(-2)),1, TRUE)),
            0,
            EXP(LN(1-
                IF($AC$35&gt;0,
                    _xlfn.GAMMA.DIST(EXP($AC$35*((LN($A137)-($X$35+AA$35))/$AB$35))*($AC$35^(-2)),($AC$35^(-2)),1, TRUE),
                    1-_xlfn.GAMMA.DIST(EXP($AC$35*((LN($A137)-($X$35+AA$35))/$AB$35))*($AC$35^(-2)),($AC$35^(-2)),1, TRUE))))))</f>
        <v>1.8317690180096213E-2</v>
      </c>
      <c r="AD137" s="8" t="e">
        <f t="shared" ref="AD137:AD160" si="141">AD$35+
AE$35*LN($A137)+
AF$35*(MAX(LN($A137)-AE$9,0)^3-AF$37*MAX(LN($A137)-AD$9,0)^3-(1-AF$37)*MAX(LN($A137)-AF$9,0)^3)</f>
        <v>#DIV/0!</v>
      </c>
      <c r="AE137" s="2" t="e">
        <f t="shared" ref="AE137:AE160" si="142">AD$35+
AH$35*LN($A137)+
AI$35*(MAX(LN($A137)-AE$9,0)^3-AF$37*MAX(LN($A137)-AD$9,0)^3-(1-AF$37)*MAX(LN($A137)-AF$9,0)^3)</f>
        <v>#DIV/0!</v>
      </c>
      <c r="AG137" s="2" t="e">
        <f t="shared" si="116"/>
        <v>#DIV/0!</v>
      </c>
      <c r="AH137" s="2" t="e">
        <f t="shared" si="117"/>
        <v>#DIV/0!</v>
      </c>
      <c r="AJ137" s="8" t="e">
        <f t="shared" ref="AJ137:AJ160" si="143">AJ$35+
AK$35*LN($A137)+
AL$35*(MAX(LN($A137)-AK$9,0)^3-AL$37*MAX(LN($A137)-AJ$9,0)^3-(1-AL$37)*MAX(LN($A137)-AL$9,0)^3)</f>
        <v>#DIV/0!</v>
      </c>
      <c r="AK137" s="2" t="e">
        <f t="shared" ref="AK137:AK160" si="144">AJ$35+
AN$35*LN($A137)+
AO$35*(MAX(LN($A137)-AK$9,0)^3-AL$37*MAX(LN($A137)-AJ$9,0)^3-(1-AL$37)*MAX(LN($A137)-AL$9,0)^3)</f>
        <v>#DIV/0!</v>
      </c>
      <c r="AM137" s="2" t="e">
        <f t="shared" si="118"/>
        <v>#DIV/0!</v>
      </c>
      <c r="AN137" s="2" t="e">
        <f t="shared" si="119"/>
        <v>#DIV/0!</v>
      </c>
      <c r="AP137" s="8" t="e">
        <f t="shared" ref="AP137:AP160" si="145">AP$35+
AQ$35*LN($A137)+
AR$35*(MAX(LN($A137)-AQ$9,0)^3-AR$37*MAX(LN($A137)-AP$9,0)^3-(1-AR$37)*MAX(LN($A137)-AR$9,0)^3)</f>
        <v>#DIV/0!</v>
      </c>
      <c r="AQ137" s="2" t="e">
        <f t="shared" ref="AQ137:AQ160" si="146">AP$35+
AT$35*LN($A137)+
AU$35*(MAX(LN($A137)-AQ$9,0)^3-AR$37*MAX(LN($A137)-AP$9,0)^3-(1-AR$37)*MAX(LN($A137)-AR$9,0)^3)</f>
        <v>#DIV/0!</v>
      </c>
      <c r="AS137" s="2" t="e">
        <f t="shared" si="120"/>
        <v>#DIV/0!</v>
      </c>
      <c r="AT137" s="16" t="e">
        <f t="shared" si="121"/>
        <v>#DIV/0!</v>
      </c>
      <c r="AV137" s="8" t="e">
        <f t="shared" ref="AV137:AV160" si="147">AV$35+
AW$35*LN($A137)+
AX$35*(MAX(LN($A137)-AW$9,0)^3-AX$37*MAX(LN($A137)-AV$9,0)^3-(1-AX$37)*MAX(LN($A137)-AY$9,0)^3)+
AY$35*(MAX(LN($A137)-AX$9,0)^3-AY$37*MAX(LN($A137)-AV$9,0)^3-(1-AY$37)*MAX(LN($A137)-AY$9,0)^3)</f>
        <v>#DIV/0!</v>
      </c>
      <c r="AW137" s="2" t="e">
        <f t="shared" ref="AW137:AW160" si="148">AV$35+
BA$35*LN($A137)+
BB$35*(MAX(LN($A137)-AW$9,0)^3-AX$37*MAX(LN($A137)-AV$9,0)^3-(1-AX$37)*MAX(LN($A137)-AY$9,0)^3)+
BC$35*(MAX(LN($A137)-AX$9,0)^3-AY$37*MAX(LN($A137)-AV$9,0)^3-(1-AY$37)*MAX(LN($A137)-AY$9,0)^3)</f>
        <v>#DIV/0!</v>
      </c>
      <c r="AY137" s="2" t="e">
        <f t="shared" si="122"/>
        <v>#DIV/0!</v>
      </c>
      <c r="AZ137" s="2" t="e">
        <f t="shared" si="123"/>
        <v>#DIV/0!</v>
      </c>
      <c r="BD137" s="8" t="e">
        <f t="shared" ref="BD137:BD160" si="149">BD$35+
BE$35*LN($A137)+
BF$35*(MAX(LN($A137)-BE$9,0)^3-BF$37*MAX(LN($A137)-BD$9,0)^3-(1-BF$37)*MAX(LN($A137)-BG$9,0)^3)+
BG$35*(MAX(LN($A137)-BF$9,0)^3-BG$37*MAX(LN($A137)-BD$9,0)^3-(1-BG$37)*MAX(LN($A137)-BG$9,0)^3)</f>
        <v>#DIV/0!</v>
      </c>
      <c r="BE137" s="2" t="e">
        <f t="shared" ref="BE137:BE160" si="150">BD$35+
BI$35*LN($A137)+
BJ$35*(MAX(LN($A137)-BE$9,0)^3-BF$37*MAX(LN($A137)-BD$9,0)^3-(1-BF$37)*MAX(LN($A137)-BG$9,0)^3)+
BK$35*(MAX(LN($A137)-BF$9,0)^3-BG$37*MAX(LN($A137)-BD$9,0)^3-(1-BG$37)*MAX(LN($A137)-BG$9,0)^3)</f>
        <v>#DIV/0!</v>
      </c>
      <c r="BG137" s="2" t="e">
        <f t="shared" si="124"/>
        <v>#DIV/0!</v>
      </c>
      <c r="BH137" s="2" t="e">
        <f t="shared" si="125"/>
        <v>#DIV/0!</v>
      </c>
      <c r="BL137" s="8" t="e">
        <f t="shared" ref="BL137:BL160" si="151">BL$35+
BM$35*LN($A137)+
BN$35*(MAX(LN($A137)-BM$9,0)^3-BN$37*MAX(LN($A137)-BL$9,0)^3-(1-BN$37)*MAX(LN($A137)-BO$9,0)^3)+
BO$35*(MAX(LN($A137)-BN$9,0)^3-BO$37*MAX(LN($A137)-BL$9,0)^3-(1-BO$37)*MAX(LN($A137)-BO$9,0)^3)</f>
        <v>#DIV/0!</v>
      </c>
      <c r="BM137" s="2" t="e">
        <f t="shared" ref="BM137:BM160" si="152">BL$35+
BQ$35*LN($A137)+
BR$35*(MAX(LN($A137)-BM$9,0)^3-BN$37*MAX(LN($A137)-BL$9,0)^3-(1-BN$37)*MAX(LN($A137)-BO$9,0)^3)+
BS$35*(MAX(LN($A137)-BN$9,0)^3-BO$37*MAX(LN($A137)-BL$9,0)^3-(1-BO$37)*MAX(LN($A137)-BO$9,0)^3)</f>
        <v>#DIV/0!</v>
      </c>
      <c r="BO137" s="2" t="e">
        <f t="shared" si="126"/>
        <v>#DIV/0!</v>
      </c>
      <c r="BP137" s="2" t="e">
        <f t="shared" si="127"/>
        <v>#DIV/0!</v>
      </c>
    </row>
    <row r="138" spans="1:68" x14ac:dyDescent="0.2">
      <c r="A138" s="2">
        <f t="shared" si="114"/>
        <v>8.1666666666666554</v>
      </c>
      <c r="B138" s="2">
        <f t="shared" si="115"/>
        <v>2.8396298390325966E-4</v>
      </c>
      <c r="C138" s="2">
        <f t="shared" si="128"/>
        <v>2.8396298390325966E-4</v>
      </c>
      <c r="D138" s="8">
        <f t="shared" si="129"/>
        <v>2.8396298390325966E-4</v>
      </c>
      <c r="E138" s="2">
        <f t="shared" si="130"/>
        <v>2.8396298390325966E-4</v>
      </c>
      <c r="H138" s="8" t="e">
        <f t="shared" si="131"/>
        <v>#DIV/0!</v>
      </c>
      <c r="I138" s="2" t="e">
        <f t="shared" si="132"/>
        <v>#DIV/0!</v>
      </c>
      <c r="L138" s="8">
        <f t="shared" si="133"/>
        <v>1.7861745260699391E-2</v>
      </c>
      <c r="M138" s="2">
        <f t="shared" si="134"/>
        <v>1.7861745260699391E-2</v>
      </c>
      <c r="P138" s="8">
        <f t="shared" si="135"/>
        <v>0.10909090909090924</v>
      </c>
      <c r="Q138" s="2">
        <f t="shared" si="136"/>
        <v>0.10909090909090924</v>
      </c>
      <c r="T138" s="8">
        <f t="shared" si="137"/>
        <v>2.8396298390320762E-4</v>
      </c>
      <c r="U138" s="2">
        <f t="shared" si="138"/>
        <v>2.8396298390320762E-4</v>
      </c>
      <c r="X138" s="8">
        <f t="shared" si="139"/>
        <v>1.7861745260699391E-2</v>
      </c>
      <c r="Y138" s="2">
        <f t="shared" si="140"/>
        <v>1.7861745260699391E-2</v>
      </c>
      <c r="AD138" s="8" t="e">
        <f t="shared" si="141"/>
        <v>#DIV/0!</v>
      </c>
      <c r="AE138" s="2" t="e">
        <f t="shared" si="142"/>
        <v>#DIV/0!</v>
      </c>
      <c r="AG138" s="2" t="e">
        <f t="shared" si="116"/>
        <v>#DIV/0!</v>
      </c>
      <c r="AH138" s="2" t="e">
        <f t="shared" si="117"/>
        <v>#DIV/0!</v>
      </c>
      <c r="AJ138" s="8" t="e">
        <f t="shared" si="143"/>
        <v>#DIV/0!</v>
      </c>
      <c r="AK138" s="2" t="e">
        <f t="shared" si="144"/>
        <v>#DIV/0!</v>
      </c>
      <c r="AM138" s="2" t="e">
        <f t="shared" si="118"/>
        <v>#DIV/0!</v>
      </c>
      <c r="AN138" s="2" t="e">
        <f t="shared" si="119"/>
        <v>#DIV/0!</v>
      </c>
      <c r="AP138" s="8" t="e">
        <f t="shared" si="145"/>
        <v>#DIV/0!</v>
      </c>
      <c r="AQ138" s="2" t="e">
        <f t="shared" si="146"/>
        <v>#DIV/0!</v>
      </c>
      <c r="AS138" s="2" t="e">
        <f t="shared" si="120"/>
        <v>#DIV/0!</v>
      </c>
      <c r="AT138" s="16" t="e">
        <f t="shared" si="121"/>
        <v>#DIV/0!</v>
      </c>
      <c r="AV138" s="8" t="e">
        <f t="shared" si="147"/>
        <v>#DIV/0!</v>
      </c>
      <c r="AW138" s="2" t="e">
        <f t="shared" si="148"/>
        <v>#DIV/0!</v>
      </c>
      <c r="AY138" s="2" t="e">
        <f t="shared" si="122"/>
        <v>#DIV/0!</v>
      </c>
      <c r="AZ138" s="2" t="e">
        <f t="shared" si="123"/>
        <v>#DIV/0!</v>
      </c>
      <c r="BD138" s="8" t="e">
        <f t="shared" si="149"/>
        <v>#DIV/0!</v>
      </c>
      <c r="BE138" s="2" t="e">
        <f t="shared" si="150"/>
        <v>#DIV/0!</v>
      </c>
      <c r="BG138" s="2" t="e">
        <f t="shared" si="124"/>
        <v>#DIV/0!</v>
      </c>
      <c r="BH138" s="2" t="e">
        <f t="shared" si="125"/>
        <v>#DIV/0!</v>
      </c>
      <c r="BL138" s="8" t="e">
        <f t="shared" si="151"/>
        <v>#DIV/0!</v>
      </c>
      <c r="BM138" s="2" t="e">
        <f t="shared" si="152"/>
        <v>#DIV/0!</v>
      </c>
      <c r="BO138" s="2" t="e">
        <f t="shared" si="126"/>
        <v>#DIV/0!</v>
      </c>
      <c r="BP138" s="2" t="e">
        <f t="shared" si="127"/>
        <v>#DIV/0!</v>
      </c>
    </row>
    <row r="139" spans="1:68" x14ac:dyDescent="0.2">
      <c r="A139" s="2">
        <f t="shared" si="114"/>
        <v>8.2499999999999893</v>
      </c>
      <c r="B139" s="2">
        <f t="shared" si="115"/>
        <v>2.612585573016703E-4</v>
      </c>
      <c r="C139" s="2">
        <f t="shared" si="128"/>
        <v>2.612585573016703E-4</v>
      </c>
      <c r="D139" s="8">
        <f t="shared" si="129"/>
        <v>2.612585573016703E-4</v>
      </c>
      <c r="E139" s="2">
        <f t="shared" si="130"/>
        <v>2.612585573016703E-4</v>
      </c>
      <c r="H139" s="8" t="e">
        <f t="shared" si="131"/>
        <v>#DIV/0!</v>
      </c>
      <c r="I139" s="2" t="e">
        <f t="shared" si="132"/>
        <v>#DIV/0!</v>
      </c>
      <c r="L139" s="8">
        <f t="shared" si="133"/>
        <v>1.7419998014267635E-2</v>
      </c>
      <c r="M139" s="2">
        <f t="shared" si="134"/>
        <v>1.7419998014267635E-2</v>
      </c>
      <c r="P139" s="8">
        <f t="shared" si="135"/>
        <v>0.10810810810810823</v>
      </c>
      <c r="Q139" s="2">
        <f t="shared" si="136"/>
        <v>0.10810810810810823</v>
      </c>
      <c r="T139" s="8">
        <f t="shared" si="137"/>
        <v>2.6125855730163572E-4</v>
      </c>
      <c r="U139" s="2">
        <f t="shared" si="138"/>
        <v>2.6125855730163572E-4</v>
      </c>
      <c r="X139" s="8">
        <f t="shared" si="139"/>
        <v>1.7419998014267635E-2</v>
      </c>
      <c r="Y139" s="2">
        <f t="shared" si="140"/>
        <v>1.7419998014267635E-2</v>
      </c>
      <c r="AD139" s="8" t="e">
        <f t="shared" si="141"/>
        <v>#DIV/0!</v>
      </c>
      <c r="AE139" s="2" t="e">
        <f t="shared" si="142"/>
        <v>#DIV/0!</v>
      </c>
      <c r="AG139" s="2" t="e">
        <f t="shared" si="116"/>
        <v>#DIV/0!</v>
      </c>
      <c r="AH139" s="2" t="e">
        <f t="shared" si="117"/>
        <v>#DIV/0!</v>
      </c>
      <c r="AJ139" s="8" t="e">
        <f t="shared" si="143"/>
        <v>#DIV/0!</v>
      </c>
      <c r="AK139" s="2" t="e">
        <f t="shared" si="144"/>
        <v>#DIV/0!</v>
      </c>
      <c r="AM139" s="2" t="e">
        <f t="shared" si="118"/>
        <v>#DIV/0!</v>
      </c>
      <c r="AN139" s="2" t="e">
        <f t="shared" si="119"/>
        <v>#DIV/0!</v>
      </c>
      <c r="AP139" s="8" t="e">
        <f t="shared" si="145"/>
        <v>#DIV/0!</v>
      </c>
      <c r="AQ139" s="2" t="e">
        <f t="shared" si="146"/>
        <v>#DIV/0!</v>
      </c>
      <c r="AS139" s="2" t="e">
        <f t="shared" si="120"/>
        <v>#DIV/0!</v>
      </c>
      <c r="AT139" s="16" t="e">
        <f t="shared" si="121"/>
        <v>#DIV/0!</v>
      </c>
      <c r="AV139" s="8" t="e">
        <f t="shared" si="147"/>
        <v>#DIV/0!</v>
      </c>
      <c r="AW139" s="2" t="e">
        <f t="shared" si="148"/>
        <v>#DIV/0!</v>
      </c>
      <c r="AY139" s="2" t="e">
        <f t="shared" si="122"/>
        <v>#DIV/0!</v>
      </c>
      <c r="AZ139" s="2" t="e">
        <f t="shared" si="123"/>
        <v>#DIV/0!</v>
      </c>
      <c r="BD139" s="8" t="e">
        <f t="shared" si="149"/>
        <v>#DIV/0!</v>
      </c>
      <c r="BE139" s="2" t="e">
        <f t="shared" si="150"/>
        <v>#DIV/0!</v>
      </c>
      <c r="BG139" s="2" t="e">
        <f t="shared" si="124"/>
        <v>#DIV/0!</v>
      </c>
      <c r="BH139" s="2" t="e">
        <f t="shared" si="125"/>
        <v>#DIV/0!</v>
      </c>
      <c r="BL139" s="8" t="e">
        <f t="shared" si="151"/>
        <v>#DIV/0!</v>
      </c>
      <c r="BM139" s="2" t="e">
        <f t="shared" si="152"/>
        <v>#DIV/0!</v>
      </c>
      <c r="BO139" s="2" t="e">
        <f t="shared" si="126"/>
        <v>#DIV/0!</v>
      </c>
      <c r="BP139" s="2" t="e">
        <f t="shared" si="127"/>
        <v>#DIV/0!</v>
      </c>
    </row>
    <row r="140" spans="1:68" x14ac:dyDescent="0.2">
      <c r="A140" s="2">
        <f t="shared" si="114"/>
        <v>8.3333333333333233</v>
      </c>
      <c r="B140" s="2">
        <f t="shared" si="115"/>
        <v>2.4036947641951662E-4</v>
      </c>
      <c r="C140" s="2">
        <f t="shared" si="128"/>
        <v>2.4036947641951662E-4</v>
      </c>
      <c r="D140" s="8">
        <f t="shared" si="129"/>
        <v>2.4036947641951662E-4</v>
      </c>
      <c r="E140" s="2">
        <f t="shared" si="130"/>
        <v>2.4036947641951662E-4</v>
      </c>
      <c r="H140" s="8" t="e">
        <f t="shared" si="131"/>
        <v>#DIV/0!</v>
      </c>
      <c r="I140" s="2" t="e">
        <f t="shared" si="132"/>
        <v>#DIV/0!</v>
      </c>
      <c r="L140" s="8">
        <f t="shared" si="133"/>
        <v>1.6991913455783769E-2</v>
      </c>
      <c r="M140" s="2">
        <f t="shared" si="134"/>
        <v>1.6991913455783769E-2</v>
      </c>
      <c r="P140" s="8">
        <f t="shared" si="135"/>
        <v>0.10714285714285721</v>
      </c>
      <c r="Q140" s="2">
        <f t="shared" si="136"/>
        <v>0.10714285714285721</v>
      </c>
      <c r="T140" s="8">
        <f t="shared" si="137"/>
        <v>2.4036947641947748E-4</v>
      </c>
      <c r="U140" s="2">
        <f t="shared" si="138"/>
        <v>2.4036947641947748E-4</v>
      </c>
      <c r="X140" s="8">
        <f t="shared" si="139"/>
        <v>1.6991913455783769E-2</v>
      </c>
      <c r="Y140" s="2">
        <f t="shared" si="140"/>
        <v>1.6991913455783769E-2</v>
      </c>
      <c r="AD140" s="8" t="e">
        <f t="shared" si="141"/>
        <v>#DIV/0!</v>
      </c>
      <c r="AE140" s="2" t="e">
        <f t="shared" si="142"/>
        <v>#DIV/0!</v>
      </c>
      <c r="AG140" s="2" t="e">
        <f t="shared" si="116"/>
        <v>#DIV/0!</v>
      </c>
      <c r="AH140" s="2" t="e">
        <f t="shared" si="117"/>
        <v>#DIV/0!</v>
      </c>
      <c r="AJ140" s="8" t="e">
        <f t="shared" si="143"/>
        <v>#DIV/0!</v>
      </c>
      <c r="AK140" s="2" t="e">
        <f t="shared" si="144"/>
        <v>#DIV/0!</v>
      </c>
      <c r="AM140" s="2" t="e">
        <f t="shared" si="118"/>
        <v>#DIV/0!</v>
      </c>
      <c r="AN140" s="2" t="e">
        <f t="shared" si="119"/>
        <v>#DIV/0!</v>
      </c>
      <c r="AP140" s="8" t="e">
        <f t="shared" si="145"/>
        <v>#DIV/0!</v>
      </c>
      <c r="AQ140" s="2" t="e">
        <f t="shared" si="146"/>
        <v>#DIV/0!</v>
      </c>
      <c r="AS140" s="2" t="e">
        <f t="shared" si="120"/>
        <v>#DIV/0!</v>
      </c>
      <c r="AT140" s="16" t="e">
        <f t="shared" si="121"/>
        <v>#DIV/0!</v>
      </c>
      <c r="AV140" s="8" t="e">
        <f t="shared" si="147"/>
        <v>#DIV/0!</v>
      </c>
      <c r="AW140" s="2" t="e">
        <f t="shared" si="148"/>
        <v>#DIV/0!</v>
      </c>
      <c r="AY140" s="2" t="e">
        <f t="shared" si="122"/>
        <v>#DIV/0!</v>
      </c>
      <c r="AZ140" s="2" t="e">
        <f t="shared" si="123"/>
        <v>#DIV/0!</v>
      </c>
      <c r="BD140" s="8" t="e">
        <f t="shared" si="149"/>
        <v>#DIV/0!</v>
      </c>
      <c r="BE140" s="2" t="e">
        <f t="shared" si="150"/>
        <v>#DIV/0!</v>
      </c>
      <c r="BG140" s="2" t="e">
        <f t="shared" si="124"/>
        <v>#DIV/0!</v>
      </c>
      <c r="BH140" s="2" t="e">
        <f t="shared" si="125"/>
        <v>#DIV/0!</v>
      </c>
      <c r="BL140" s="8" t="e">
        <f t="shared" si="151"/>
        <v>#DIV/0!</v>
      </c>
      <c r="BM140" s="2" t="e">
        <f t="shared" si="152"/>
        <v>#DIV/0!</v>
      </c>
      <c r="BO140" s="2" t="e">
        <f t="shared" si="126"/>
        <v>#DIV/0!</v>
      </c>
      <c r="BP140" s="2" t="e">
        <f t="shared" si="127"/>
        <v>#DIV/0!</v>
      </c>
    </row>
    <row r="141" spans="1:68" x14ac:dyDescent="0.2">
      <c r="A141" s="2">
        <f t="shared" si="114"/>
        <v>8.4166666666666572</v>
      </c>
      <c r="B141" s="2">
        <f t="shared" si="115"/>
        <v>2.2115059422715097E-4</v>
      </c>
      <c r="C141" s="2">
        <f t="shared" si="128"/>
        <v>2.2115059422715097E-4</v>
      </c>
      <c r="D141" s="8">
        <f t="shared" si="129"/>
        <v>2.2115059422715097E-4</v>
      </c>
      <c r="E141" s="2">
        <f t="shared" si="130"/>
        <v>2.2115059422715097E-4</v>
      </c>
      <c r="H141" s="8" t="e">
        <f t="shared" si="131"/>
        <v>#DIV/0!</v>
      </c>
      <c r="I141" s="2" t="e">
        <f t="shared" si="132"/>
        <v>#DIV/0!</v>
      </c>
      <c r="L141" s="8">
        <f t="shared" si="133"/>
        <v>1.6576980362649874E-2</v>
      </c>
      <c r="M141" s="2">
        <f t="shared" si="134"/>
        <v>1.6576980362649874E-2</v>
      </c>
      <c r="P141" s="8">
        <f t="shared" si="135"/>
        <v>0.10619469026548678</v>
      </c>
      <c r="Q141" s="2">
        <f t="shared" si="136"/>
        <v>0.10619469026548678</v>
      </c>
      <c r="T141" s="8">
        <f t="shared" si="137"/>
        <v>2.2115059422711525E-4</v>
      </c>
      <c r="U141" s="2">
        <f t="shared" si="138"/>
        <v>2.2115059422711525E-4</v>
      </c>
      <c r="X141" s="8">
        <f t="shared" si="139"/>
        <v>1.6576980362649874E-2</v>
      </c>
      <c r="Y141" s="2">
        <f t="shared" si="140"/>
        <v>1.6576980362649874E-2</v>
      </c>
      <c r="AD141" s="8" t="e">
        <f t="shared" si="141"/>
        <v>#DIV/0!</v>
      </c>
      <c r="AE141" s="2" t="e">
        <f t="shared" si="142"/>
        <v>#DIV/0!</v>
      </c>
      <c r="AG141" s="2" t="e">
        <f t="shared" si="116"/>
        <v>#DIV/0!</v>
      </c>
      <c r="AH141" s="2" t="e">
        <f t="shared" si="117"/>
        <v>#DIV/0!</v>
      </c>
      <c r="AJ141" s="8" t="e">
        <f t="shared" si="143"/>
        <v>#DIV/0!</v>
      </c>
      <c r="AK141" s="2" t="e">
        <f t="shared" si="144"/>
        <v>#DIV/0!</v>
      </c>
      <c r="AM141" s="2" t="e">
        <f t="shared" si="118"/>
        <v>#DIV/0!</v>
      </c>
      <c r="AN141" s="2" t="e">
        <f t="shared" si="119"/>
        <v>#DIV/0!</v>
      </c>
      <c r="AP141" s="8" t="e">
        <f t="shared" si="145"/>
        <v>#DIV/0!</v>
      </c>
      <c r="AQ141" s="2" t="e">
        <f t="shared" si="146"/>
        <v>#DIV/0!</v>
      </c>
      <c r="AS141" s="2" t="e">
        <f t="shared" si="120"/>
        <v>#DIV/0!</v>
      </c>
      <c r="AT141" s="16" t="e">
        <f t="shared" si="121"/>
        <v>#DIV/0!</v>
      </c>
      <c r="AV141" s="8" t="e">
        <f t="shared" si="147"/>
        <v>#DIV/0!</v>
      </c>
      <c r="AW141" s="2" t="e">
        <f t="shared" si="148"/>
        <v>#DIV/0!</v>
      </c>
      <c r="AY141" s="2" t="e">
        <f t="shared" si="122"/>
        <v>#DIV/0!</v>
      </c>
      <c r="AZ141" s="2" t="e">
        <f t="shared" si="123"/>
        <v>#DIV/0!</v>
      </c>
      <c r="BD141" s="8" t="e">
        <f t="shared" si="149"/>
        <v>#DIV/0!</v>
      </c>
      <c r="BE141" s="2" t="e">
        <f t="shared" si="150"/>
        <v>#DIV/0!</v>
      </c>
      <c r="BG141" s="2" t="e">
        <f t="shared" si="124"/>
        <v>#DIV/0!</v>
      </c>
      <c r="BH141" s="2" t="e">
        <f t="shared" si="125"/>
        <v>#DIV/0!</v>
      </c>
      <c r="BL141" s="8" t="e">
        <f t="shared" si="151"/>
        <v>#DIV/0!</v>
      </c>
      <c r="BM141" s="2" t="e">
        <f t="shared" si="152"/>
        <v>#DIV/0!</v>
      </c>
      <c r="BO141" s="2" t="e">
        <f t="shared" si="126"/>
        <v>#DIV/0!</v>
      </c>
      <c r="BP141" s="2" t="e">
        <f t="shared" si="127"/>
        <v>#DIV/0!</v>
      </c>
    </row>
    <row r="142" spans="1:68" x14ac:dyDescent="0.2">
      <c r="A142" s="2">
        <f t="shared" si="114"/>
        <v>8.4999999999999911</v>
      </c>
      <c r="B142" s="2">
        <f t="shared" si="115"/>
        <v>2.0346836901064598E-4</v>
      </c>
      <c r="C142" s="2">
        <f t="shared" si="128"/>
        <v>2.0346836901064598E-4</v>
      </c>
      <c r="D142" s="8">
        <f t="shared" si="129"/>
        <v>2.0346836901064598E-4</v>
      </c>
      <c r="E142" s="2">
        <f t="shared" si="130"/>
        <v>2.0346836901064598E-4</v>
      </c>
      <c r="H142" s="8" t="e">
        <f t="shared" si="131"/>
        <v>#DIV/0!</v>
      </c>
      <c r="I142" s="2" t="e">
        <f t="shared" si="132"/>
        <v>#DIV/0!</v>
      </c>
      <c r="L142" s="8">
        <f t="shared" si="133"/>
        <v>1.6174710056386488E-2</v>
      </c>
      <c r="M142" s="2">
        <f t="shared" si="134"/>
        <v>1.6174710056386488E-2</v>
      </c>
      <c r="P142" s="8">
        <f t="shared" si="135"/>
        <v>0.10526315789473684</v>
      </c>
      <c r="Q142" s="2">
        <f t="shared" si="136"/>
        <v>0.10526315789473684</v>
      </c>
      <c r="T142" s="8">
        <f t="shared" si="137"/>
        <v>2.034683690106398E-4</v>
      </c>
      <c r="U142" s="2">
        <f t="shared" si="138"/>
        <v>2.034683690106398E-4</v>
      </c>
      <c r="X142" s="8">
        <f t="shared" si="139"/>
        <v>1.6174710056386488E-2</v>
      </c>
      <c r="Y142" s="2">
        <f t="shared" si="140"/>
        <v>1.6174710056386488E-2</v>
      </c>
      <c r="AD142" s="8" t="e">
        <f t="shared" si="141"/>
        <v>#DIV/0!</v>
      </c>
      <c r="AE142" s="2" t="e">
        <f t="shared" si="142"/>
        <v>#DIV/0!</v>
      </c>
      <c r="AG142" s="2" t="e">
        <f t="shared" si="116"/>
        <v>#DIV/0!</v>
      </c>
      <c r="AH142" s="2" t="e">
        <f t="shared" si="117"/>
        <v>#DIV/0!</v>
      </c>
      <c r="AJ142" s="8" t="e">
        <f t="shared" si="143"/>
        <v>#DIV/0!</v>
      </c>
      <c r="AK142" s="2" t="e">
        <f t="shared" si="144"/>
        <v>#DIV/0!</v>
      </c>
      <c r="AM142" s="2" t="e">
        <f t="shared" si="118"/>
        <v>#DIV/0!</v>
      </c>
      <c r="AN142" s="2" t="e">
        <f t="shared" si="119"/>
        <v>#DIV/0!</v>
      </c>
      <c r="AP142" s="8" t="e">
        <f t="shared" si="145"/>
        <v>#DIV/0!</v>
      </c>
      <c r="AQ142" s="2" t="e">
        <f t="shared" si="146"/>
        <v>#DIV/0!</v>
      </c>
      <c r="AS142" s="2" t="e">
        <f t="shared" si="120"/>
        <v>#DIV/0!</v>
      </c>
      <c r="AT142" s="16" t="e">
        <f t="shared" si="121"/>
        <v>#DIV/0!</v>
      </c>
      <c r="AV142" s="8" t="e">
        <f t="shared" si="147"/>
        <v>#DIV/0!</v>
      </c>
      <c r="AW142" s="2" t="e">
        <f t="shared" si="148"/>
        <v>#DIV/0!</v>
      </c>
      <c r="AY142" s="2" t="e">
        <f t="shared" si="122"/>
        <v>#DIV/0!</v>
      </c>
      <c r="AZ142" s="2" t="e">
        <f t="shared" si="123"/>
        <v>#DIV/0!</v>
      </c>
      <c r="BD142" s="8" t="e">
        <f t="shared" si="149"/>
        <v>#DIV/0!</v>
      </c>
      <c r="BE142" s="2" t="e">
        <f t="shared" si="150"/>
        <v>#DIV/0!</v>
      </c>
      <c r="BG142" s="2" t="e">
        <f t="shared" si="124"/>
        <v>#DIV/0!</v>
      </c>
      <c r="BH142" s="2" t="e">
        <f t="shared" si="125"/>
        <v>#DIV/0!</v>
      </c>
      <c r="BL142" s="8" t="e">
        <f t="shared" si="151"/>
        <v>#DIV/0!</v>
      </c>
      <c r="BM142" s="2" t="e">
        <f t="shared" si="152"/>
        <v>#DIV/0!</v>
      </c>
      <c r="BO142" s="2" t="e">
        <f t="shared" si="126"/>
        <v>#DIV/0!</v>
      </c>
      <c r="BP142" s="2" t="e">
        <f t="shared" si="127"/>
        <v>#DIV/0!</v>
      </c>
    </row>
    <row r="143" spans="1:68" x14ac:dyDescent="0.2">
      <c r="A143" s="2">
        <f t="shared" si="114"/>
        <v>8.583333333333325</v>
      </c>
      <c r="B143" s="2">
        <f t="shared" si="115"/>
        <v>1.8719993646198281E-4</v>
      </c>
      <c r="C143" s="2">
        <f t="shared" si="128"/>
        <v>1.8719993646198281E-4</v>
      </c>
      <c r="D143" s="8">
        <f t="shared" si="129"/>
        <v>1.8719993646198281E-4</v>
      </c>
      <c r="E143" s="2">
        <f t="shared" si="130"/>
        <v>1.8719993646198281E-4</v>
      </c>
      <c r="H143" s="8" t="e">
        <f t="shared" si="131"/>
        <v>#DIV/0!</v>
      </c>
      <c r="I143" s="2" t="e">
        <f t="shared" si="132"/>
        <v>#DIV/0!</v>
      </c>
      <c r="L143" s="8">
        <f t="shared" si="133"/>
        <v>1.5784635255215118E-2</v>
      </c>
      <c r="M143" s="2">
        <f t="shared" si="134"/>
        <v>1.5784635255215118E-2</v>
      </c>
      <c r="P143" s="8">
        <f t="shared" si="135"/>
        <v>0.1043478260869567</v>
      </c>
      <c r="Q143" s="2">
        <f t="shared" si="136"/>
        <v>0.1043478260869567</v>
      </c>
      <c r="T143" s="8">
        <f t="shared" si="137"/>
        <v>1.8719993646199029E-4</v>
      </c>
      <c r="U143" s="2">
        <f t="shared" si="138"/>
        <v>1.8719993646199029E-4</v>
      </c>
      <c r="X143" s="8">
        <f t="shared" si="139"/>
        <v>1.5784635255215118E-2</v>
      </c>
      <c r="Y143" s="2">
        <f t="shared" si="140"/>
        <v>1.5784635255215118E-2</v>
      </c>
      <c r="AD143" s="8" t="e">
        <f t="shared" si="141"/>
        <v>#DIV/0!</v>
      </c>
      <c r="AE143" s="2" t="e">
        <f t="shared" si="142"/>
        <v>#DIV/0!</v>
      </c>
      <c r="AG143" s="2" t="e">
        <f t="shared" si="116"/>
        <v>#DIV/0!</v>
      </c>
      <c r="AH143" s="2" t="e">
        <f t="shared" si="117"/>
        <v>#DIV/0!</v>
      </c>
      <c r="AJ143" s="8" t="e">
        <f t="shared" si="143"/>
        <v>#DIV/0!</v>
      </c>
      <c r="AK143" s="2" t="e">
        <f t="shared" si="144"/>
        <v>#DIV/0!</v>
      </c>
      <c r="AM143" s="2" t="e">
        <f t="shared" si="118"/>
        <v>#DIV/0!</v>
      </c>
      <c r="AN143" s="2" t="e">
        <f t="shared" si="119"/>
        <v>#DIV/0!</v>
      </c>
      <c r="AP143" s="8" t="e">
        <f t="shared" si="145"/>
        <v>#DIV/0!</v>
      </c>
      <c r="AQ143" s="2" t="e">
        <f t="shared" si="146"/>
        <v>#DIV/0!</v>
      </c>
      <c r="AS143" s="2" t="e">
        <f t="shared" si="120"/>
        <v>#DIV/0!</v>
      </c>
      <c r="AT143" s="16" t="e">
        <f t="shared" si="121"/>
        <v>#DIV/0!</v>
      </c>
      <c r="AV143" s="8" t="e">
        <f t="shared" si="147"/>
        <v>#DIV/0!</v>
      </c>
      <c r="AW143" s="2" t="e">
        <f t="shared" si="148"/>
        <v>#DIV/0!</v>
      </c>
      <c r="AY143" s="2" t="e">
        <f t="shared" si="122"/>
        <v>#DIV/0!</v>
      </c>
      <c r="AZ143" s="2" t="e">
        <f t="shared" si="123"/>
        <v>#DIV/0!</v>
      </c>
      <c r="BD143" s="8" t="e">
        <f t="shared" si="149"/>
        <v>#DIV/0!</v>
      </c>
      <c r="BE143" s="2" t="e">
        <f t="shared" si="150"/>
        <v>#DIV/0!</v>
      </c>
      <c r="BG143" s="2" t="e">
        <f t="shared" si="124"/>
        <v>#DIV/0!</v>
      </c>
      <c r="BH143" s="2" t="e">
        <f t="shared" si="125"/>
        <v>#DIV/0!</v>
      </c>
      <c r="BL143" s="8" t="e">
        <f t="shared" si="151"/>
        <v>#DIV/0!</v>
      </c>
      <c r="BM143" s="2" t="e">
        <f t="shared" si="152"/>
        <v>#DIV/0!</v>
      </c>
      <c r="BO143" s="2" t="e">
        <f t="shared" si="126"/>
        <v>#DIV/0!</v>
      </c>
      <c r="BP143" s="2" t="e">
        <f t="shared" si="127"/>
        <v>#DIV/0!</v>
      </c>
    </row>
    <row r="144" spans="1:68" x14ac:dyDescent="0.2">
      <c r="A144" s="2">
        <f t="shared" si="114"/>
        <v>8.666666666666659</v>
      </c>
      <c r="B144" s="2">
        <f t="shared" si="115"/>
        <v>1.7223225596081138E-4</v>
      </c>
      <c r="C144" s="2">
        <f t="shared" si="128"/>
        <v>1.7223225596081138E-4</v>
      </c>
      <c r="D144" s="8">
        <f t="shared" si="129"/>
        <v>1.7223225596081138E-4</v>
      </c>
      <c r="E144" s="2">
        <f t="shared" si="130"/>
        <v>1.7223225596081138E-4</v>
      </c>
      <c r="H144" s="8" t="e">
        <f t="shared" si="131"/>
        <v>#DIV/0!</v>
      </c>
      <c r="I144" s="2" t="e">
        <f t="shared" si="132"/>
        <v>#DIV/0!</v>
      </c>
      <c r="L144" s="8">
        <f t="shared" si="133"/>
        <v>1.5406308992909512E-2</v>
      </c>
      <c r="M144" s="2">
        <f t="shared" si="134"/>
        <v>1.5406308992909512E-2</v>
      </c>
      <c r="P144" s="8">
        <f t="shared" si="135"/>
        <v>0.10344827586206895</v>
      </c>
      <c r="Q144" s="2">
        <f t="shared" si="136"/>
        <v>0.10344827586206895</v>
      </c>
      <c r="T144" s="8">
        <f t="shared" si="137"/>
        <v>1.7223225596085801E-4</v>
      </c>
      <c r="U144" s="2">
        <f t="shared" si="138"/>
        <v>1.7223225596085801E-4</v>
      </c>
      <c r="X144" s="8">
        <f t="shared" si="139"/>
        <v>1.5406308992909512E-2</v>
      </c>
      <c r="Y144" s="2">
        <f t="shared" si="140"/>
        <v>1.5406308992909512E-2</v>
      </c>
      <c r="AD144" s="8" t="e">
        <f t="shared" si="141"/>
        <v>#DIV/0!</v>
      </c>
      <c r="AE144" s="2" t="e">
        <f t="shared" si="142"/>
        <v>#DIV/0!</v>
      </c>
      <c r="AG144" s="2" t="e">
        <f t="shared" si="116"/>
        <v>#DIV/0!</v>
      </c>
      <c r="AH144" s="2" t="e">
        <f t="shared" si="117"/>
        <v>#DIV/0!</v>
      </c>
      <c r="AJ144" s="8" t="e">
        <f t="shared" si="143"/>
        <v>#DIV/0!</v>
      </c>
      <c r="AK144" s="2" t="e">
        <f t="shared" si="144"/>
        <v>#DIV/0!</v>
      </c>
      <c r="AM144" s="2" t="e">
        <f t="shared" si="118"/>
        <v>#DIV/0!</v>
      </c>
      <c r="AN144" s="2" t="e">
        <f t="shared" si="119"/>
        <v>#DIV/0!</v>
      </c>
      <c r="AP144" s="8" t="e">
        <f t="shared" si="145"/>
        <v>#DIV/0!</v>
      </c>
      <c r="AQ144" s="2" t="e">
        <f t="shared" si="146"/>
        <v>#DIV/0!</v>
      </c>
      <c r="AS144" s="2" t="e">
        <f t="shared" si="120"/>
        <v>#DIV/0!</v>
      </c>
      <c r="AT144" s="16" t="e">
        <f t="shared" si="121"/>
        <v>#DIV/0!</v>
      </c>
      <c r="AV144" s="8" t="e">
        <f t="shared" si="147"/>
        <v>#DIV/0!</v>
      </c>
      <c r="AW144" s="2" t="e">
        <f t="shared" si="148"/>
        <v>#DIV/0!</v>
      </c>
      <c r="AY144" s="2" t="e">
        <f t="shared" si="122"/>
        <v>#DIV/0!</v>
      </c>
      <c r="AZ144" s="2" t="e">
        <f t="shared" si="123"/>
        <v>#DIV/0!</v>
      </c>
      <c r="BD144" s="8" t="e">
        <f t="shared" si="149"/>
        <v>#DIV/0!</v>
      </c>
      <c r="BE144" s="2" t="e">
        <f t="shared" si="150"/>
        <v>#DIV/0!</v>
      </c>
      <c r="BG144" s="2" t="e">
        <f t="shared" si="124"/>
        <v>#DIV/0!</v>
      </c>
      <c r="BH144" s="2" t="e">
        <f t="shared" si="125"/>
        <v>#DIV/0!</v>
      </c>
      <c r="BL144" s="8" t="e">
        <f t="shared" si="151"/>
        <v>#DIV/0!</v>
      </c>
      <c r="BM144" s="2" t="e">
        <f t="shared" si="152"/>
        <v>#DIV/0!</v>
      </c>
      <c r="BO144" s="2" t="e">
        <f t="shared" si="126"/>
        <v>#DIV/0!</v>
      </c>
      <c r="BP144" s="2" t="e">
        <f t="shared" si="127"/>
        <v>#DIV/0!</v>
      </c>
    </row>
    <row r="145" spans="1:68" x14ac:dyDescent="0.2">
      <c r="A145" s="2">
        <f t="shared" si="114"/>
        <v>8.7499999999999929</v>
      </c>
      <c r="B145" s="2">
        <f t="shared" si="115"/>
        <v>1.5846132511575237E-4</v>
      </c>
      <c r="C145" s="2">
        <f t="shared" si="128"/>
        <v>1.5846132511575237E-4</v>
      </c>
      <c r="D145" s="8">
        <f t="shared" si="129"/>
        <v>1.5846132511575237E-4</v>
      </c>
      <c r="E145" s="2">
        <f t="shared" si="130"/>
        <v>1.5846132511575237E-4</v>
      </c>
      <c r="H145" s="8" t="e">
        <f t="shared" si="131"/>
        <v>#DIV/0!</v>
      </c>
      <c r="I145" s="2" t="e">
        <f t="shared" si="132"/>
        <v>#DIV/0!</v>
      </c>
      <c r="L145" s="8">
        <f t="shared" si="133"/>
        <v>1.5039303599632015E-2</v>
      </c>
      <c r="M145" s="2">
        <f t="shared" si="134"/>
        <v>1.5039303599632015E-2</v>
      </c>
      <c r="P145" s="8">
        <f t="shared" si="135"/>
        <v>0.10256410256410264</v>
      </c>
      <c r="Q145" s="2">
        <f t="shared" si="136"/>
        <v>0.10256410256410264</v>
      </c>
      <c r="T145" s="8">
        <f t="shared" si="137"/>
        <v>1.5846132511576627E-4</v>
      </c>
      <c r="U145" s="2">
        <f t="shared" si="138"/>
        <v>1.5846132511576627E-4</v>
      </c>
      <c r="X145" s="8">
        <f t="shared" si="139"/>
        <v>1.5039303599632015E-2</v>
      </c>
      <c r="Y145" s="2">
        <f t="shared" si="140"/>
        <v>1.5039303599632015E-2</v>
      </c>
      <c r="AD145" s="8" t="e">
        <f t="shared" si="141"/>
        <v>#DIV/0!</v>
      </c>
      <c r="AE145" s="2" t="e">
        <f t="shared" si="142"/>
        <v>#DIV/0!</v>
      </c>
      <c r="AG145" s="2" t="e">
        <f t="shared" si="116"/>
        <v>#DIV/0!</v>
      </c>
      <c r="AH145" s="2" t="e">
        <f t="shared" si="117"/>
        <v>#DIV/0!</v>
      </c>
      <c r="AJ145" s="8" t="e">
        <f t="shared" si="143"/>
        <v>#DIV/0!</v>
      </c>
      <c r="AK145" s="2" t="e">
        <f t="shared" si="144"/>
        <v>#DIV/0!</v>
      </c>
      <c r="AM145" s="2" t="e">
        <f t="shared" si="118"/>
        <v>#DIV/0!</v>
      </c>
      <c r="AN145" s="2" t="e">
        <f t="shared" si="119"/>
        <v>#DIV/0!</v>
      </c>
      <c r="AP145" s="8" t="e">
        <f t="shared" si="145"/>
        <v>#DIV/0!</v>
      </c>
      <c r="AQ145" s="2" t="e">
        <f t="shared" si="146"/>
        <v>#DIV/0!</v>
      </c>
      <c r="AS145" s="2" t="e">
        <f t="shared" si="120"/>
        <v>#DIV/0!</v>
      </c>
      <c r="AT145" s="16" t="e">
        <f t="shared" si="121"/>
        <v>#DIV/0!</v>
      </c>
      <c r="AV145" s="8" t="e">
        <f t="shared" si="147"/>
        <v>#DIV/0!</v>
      </c>
      <c r="AW145" s="2" t="e">
        <f t="shared" si="148"/>
        <v>#DIV/0!</v>
      </c>
      <c r="AY145" s="2" t="e">
        <f t="shared" si="122"/>
        <v>#DIV/0!</v>
      </c>
      <c r="AZ145" s="2" t="e">
        <f t="shared" si="123"/>
        <v>#DIV/0!</v>
      </c>
      <c r="BD145" s="8" t="e">
        <f t="shared" si="149"/>
        <v>#DIV/0!</v>
      </c>
      <c r="BE145" s="2" t="e">
        <f t="shared" si="150"/>
        <v>#DIV/0!</v>
      </c>
      <c r="BG145" s="2" t="e">
        <f t="shared" si="124"/>
        <v>#DIV/0!</v>
      </c>
      <c r="BH145" s="2" t="e">
        <f t="shared" si="125"/>
        <v>#DIV/0!</v>
      </c>
      <c r="BL145" s="8" t="e">
        <f t="shared" si="151"/>
        <v>#DIV/0!</v>
      </c>
      <c r="BM145" s="2" t="e">
        <f t="shared" si="152"/>
        <v>#DIV/0!</v>
      </c>
      <c r="BO145" s="2" t="e">
        <f t="shared" si="126"/>
        <v>#DIV/0!</v>
      </c>
      <c r="BP145" s="2" t="e">
        <f t="shared" si="127"/>
        <v>#DIV/0!</v>
      </c>
    </row>
    <row r="146" spans="1:68" x14ac:dyDescent="0.2">
      <c r="A146" s="2">
        <f t="shared" si="114"/>
        <v>8.8333333333333268</v>
      </c>
      <c r="B146" s="2">
        <f t="shared" si="115"/>
        <v>1.4579145710750919E-4</v>
      </c>
      <c r="C146" s="2">
        <f t="shared" si="128"/>
        <v>1.4579145710750919E-4</v>
      </c>
      <c r="D146" s="8">
        <f t="shared" si="129"/>
        <v>1.4579145710750919E-4</v>
      </c>
      <c r="E146" s="2">
        <f t="shared" si="130"/>
        <v>1.4579145710750919E-4</v>
      </c>
      <c r="H146" s="8" t="e">
        <f t="shared" si="131"/>
        <v>#DIV/0!</v>
      </c>
      <c r="I146" s="2" t="e">
        <f t="shared" si="132"/>
        <v>#DIV/0!</v>
      </c>
      <c r="L146" s="8">
        <f t="shared" si="133"/>
        <v>1.4683209740778969E-2</v>
      </c>
      <c r="M146" s="2">
        <f t="shared" si="134"/>
        <v>1.4683209740778969E-2</v>
      </c>
      <c r="P146" s="8">
        <f t="shared" si="135"/>
        <v>0.10169491525423724</v>
      </c>
      <c r="Q146" s="2">
        <f t="shared" si="136"/>
        <v>0.10169491525423724</v>
      </c>
      <c r="T146" s="8">
        <f t="shared" si="137"/>
        <v>1.4579145710746921E-4</v>
      </c>
      <c r="U146" s="2">
        <f t="shared" si="138"/>
        <v>1.4579145710746921E-4</v>
      </c>
      <c r="X146" s="8">
        <f t="shared" si="139"/>
        <v>1.4683209740778969E-2</v>
      </c>
      <c r="Y146" s="2">
        <f t="shared" si="140"/>
        <v>1.4683209740778969E-2</v>
      </c>
      <c r="AD146" s="8" t="e">
        <f t="shared" si="141"/>
        <v>#DIV/0!</v>
      </c>
      <c r="AE146" s="2" t="e">
        <f t="shared" si="142"/>
        <v>#DIV/0!</v>
      </c>
      <c r="AG146" s="2" t="e">
        <f t="shared" si="116"/>
        <v>#DIV/0!</v>
      </c>
      <c r="AH146" s="2" t="e">
        <f t="shared" si="117"/>
        <v>#DIV/0!</v>
      </c>
      <c r="AJ146" s="8" t="e">
        <f t="shared" si="143"/>
        <v>#DIV/0!</v>
      </c>
      <c r="AK146" s="2" t="e">
        <f t="shared" si="144"/>
        <v>#DIV/0!</v>
      </c>
      <c r="AM146" s="2" t="e">
        <f t="shared" si="118"/>
        <v>#DIV/0!</v>
      </c>
      <c r="AN146" s="2" t="e">
        <f t="shared" si="119"/>
        <v>#DIV/0!</v>
      </c>
      <c r="AP146" s="8" t="e">
        <f t="shared" si="145"/>
        <v>#DIV/0!</v>
      </c>
      <c r="AQ146" s="2" t="e">
        <f t="shared" si="146"/>
        <v>#DIV/0!</v>
      </c>
      <c r="AS146" s="2" t="e">
        <f t="shared" si="120"/>
        <v>#DIV/0!</v>
      </c>
      <c r="AT146" s="16" t="e">
        <f t="shared" si="121"/>
        <v>#DIV/0!</v>
      </c>
      <c r="AV146" s="8" t="e">
        <f t="shared" si="147"/>
        <v>#DIV/0!</v>
      </c>
      <c r="AW146" s="2" t="e">
        <f t="shared" si="148"/>
        <v>#DIV/0!</v>
      </c>
      <c r="AY146" s="2" t="e">
        <f t="shared" si="122"/>
        <v>#DIV/0!</v>
      </c>
      <c r="AZ146" s="2" t="e">
        <f t="shared" si="123"/>
        <v>#DIV/0!</v>
      </c>
      <c r="BD146" s="8" t="e">
        <f t="shared" si="149"/>
        <v>#DIV/0!</v>
      </c>
      <c r="BE146" s="2" t="e">
        <f t="shared" si="150"/>
        <v>#DIV/0!</v>
      </c>
      <c r="BG146" s="2" t="e">
        <f t="shared" si="124"/>
        <v>#DIV/0!</v>
      </c>
      <c r="BH146" s="2" t="e">
        <f t="shared" si="125"/>
        <v>#DIV/0!</v>
      </c>
      <c r="BL146" s="8" t="e">
        <f t="shared" si="151"/>
        <v>#DIV/0!</v>
      </c>
      <c r="BM146" s="2" t="e">
        <f t="shared" si="152"/>
        <v>#DIV/0!</v>
      </c>
      <c r="BO146" s="2" t="e">
        <f t="shared" si="126"/>
        <v>#DIV/0!</v>
      </c>
      <c r="BP146" s="2" t="e">
        <f t="shared" si="127"/>
        <v>#DIV/0!</v>
      </c>
    </row>
    <row r="147" spans="1:68" x14ac:dyDescent="0.2">
      <c r="A147" s="2">
        <f t="shared" si="114"/>
        <v>8.9166666666666607</v>
      </c>
      <c r="B147" s="2">
        <f t="shared" si="115"/>
        <v>1.341346158124343E-4</v>
      </c>
      <c r="C147" s="2">
        <f t="shared" si="128"/>
        <v>1.341346158124343E-4</v>
      </c>
      <c r="D147" s="8">
        <f t="shared" si="129"/>
        <v>1.341346158124343E-4</v>
      </c>
      <c r="E147" s="2">
        <f t="shared" si="130"/>
        <v>1.341346158124343E-4</v>
      </c>
      <c r="H147" s="8" t="e">
        <f t="shared" si="131"/>
        <v>#DIV/0!</v>
      </c>
      <c r="I147" s="2" t="e">
        <f t="shared" si="132"/>
        <v>#DIV/0!</v>
      </c>
      <c r="L147" s="8">
        <f t="shared" si="133"/>
        <v>1.4337635510141555E-2</v>
      </c>
      <c r="M147" s="2">
        <f t="shared" si="134"/>
        <v>1.4337635510141555E-2</v>
      </c>
      <c r="P147" s="8">
        <f t="shared" si="135"/>
        <v>0.10084033613445376</v>
      </c>
      <c r="Q147" s="2">
        <f t="shared" si="136"/>
        <v>0.10084033613445376</v>
      </c>
      <c r="T147" s="8">
        <f t="shared" si="137"/>
        <v>1.3413461581246455E-4</v>
      </c>
      <c r="U147" s="2">
        <f t="shared" si="138"/>
        <v>1.3413461581246455E-4</v>
      </c>
      <c r="X147" s="8">
        <f t="shared" si="139"/>
        <v>1.4337635510141555E-2</v>
      </c>
      <c r="Y147" s="2">
        <f t="shared" si="140"/>
        <v>1.4337635510141555E-2</v>
      </c>
      <c r="AD147" s="8" t="e">
        <f t="shared" si="141"/>
        <v>#DIV/0!</v>
      </c>
      <c r="AE147" s="2" t="e">
        <f t="shared" si="142"/>
        <v>#DIV/0!</v>
      </c>
      <c r="AG147" s="2" t="e">
        <f t="shared" si="116"/>
        <v>#DIV/0!</v>
      </c>
      <c r="AH147" s="2" t="e">
        <f t="shared" si="117"/>
        <v>#DIV/0!</v>
      </c>
      <c r="AJ147" s="8" t="e">
        <f t="shared" si="143"/>
        <v>#DIV/0!</v>
      </c>
      <c r="AK147" s="2" t="e">
        <f t="shared" si="144"/>
        <v>#DIV/0!</v>
      </c>
      <c r="AM147" s="2" t="e">
        <f t="shared" si="118"/>
        <v>#DIV/0!</v>
      </c>
      <c r="AN147" s="2" t="e">
        <f t="shared" si="119"/>
        <v>#DIV/0!</v>
      </c>
      <c r="AP147" s="8" t="e">
        <f t="shared" si="145"/>
        <v>#DIV/0!</v>
      </c>
      <c r="AQ147" s="2" t="e">
        <f t="shared" si="146"/>
        <v>#DIV/0!</v>
      </c>
      <c r="AS147" s="2" t="e">
        <f t="shared" si="120"/>
        <v>#DIV/0!</v>
      </c>
      <c r="AT147" s="16" t="e">
        <f t="shared" si="121"/>
        <v>#DIV/0!</v>
      </c>
      <c r="AV147" s="8" t="e">
        <f t="shared" si="147"/>
        <v>#DIV/0!</v>
      </c>
      <c r="AW147" s="2" t="e">
        <f t="shared" si="148"/>
        <v>#DIV/0!</v>
      </c>
      <c r="AY147" s="2" t="e">
        <f t="shared" si="122"/>
        <v>#DIV/0!</v>
      </c>
      <c r="AZ147" s="2" t="e">
        <f t="shared" si="123"/>
        <v>#DIV/0!</v>
      </c>
      <c r="BD147" s="8" t="e">
        <f t="shared" si="149"/>
        <v>#DIV/0!</v>
      </c>
      <c r="BE147" s="2" t="e">
        <f t="shared" si="150"/>
        <v>#DIV/0!</v>
      </c>
      <c r="BG147" s="2" t="e">
        <f t="shared" si="124"/>
        <v>#DIV/0!</v>
      </c>
      <c r="BH147" s="2" t="e">
        <f t="shared" si="125"/>
        <v>#DIV/0!</v>
      </c>
      <c r="BL147" s="8" t="e">
        <f t="shared" si="151"/>
        <v>#DIV/0!</v>
      </c>
      <c r="BM147" s="2" t="e">
        <f t="shared" si="152"/>
        <v>#DIV/0!</v>
      </c>
      <c r="BO147" s="2" t="e">
        <f t="shared" si="126"/>
        <v>#DIV/0!</v>
      </c>
      <c r="BP147" s="2" t="e">
        <f t="shared" si="127"/>
        <v>#DIV/0!</v>
      </c>
    </row>
    <row r="148" spans="1:68" x14ac:dyDescent="0.2">
      <c r="A148" s="2">
        <f t="shared" si="114"/>
        <v>8.9999999999999947</v>
      </c>
      <c r="B148" s="2">
        <f t="shared" si="115"/>
        <v>1.2340980408668021E-4</v>
      </c>
      <c r="C148" s="2">
        <f t="shared" si="128"/>
        <v>1.2340980408668021E-4</v>
      </c>
      <c r="D148" s="8">
        <f t="shared" si="129"/>
        <v>1.2340980408668021E-4</v>
      </c>
      <c r="E148" s="2">
        <f t="shared" si="130"/>
        <v>1.2340980408668021E-4</v>
      </c>
      <c r="H148" s="8" t="e">
        <f t="shared" si="131"/>
        <v>#DIV/0!</v>
      </c>
      <c r="I148" s="2" t="e">
        <f t="shared" si="132"/>
        <v>#DIV/0!</v>
      </c>
      <c r="L148" s="8">
        <f t="shared" si="133"/>
        <v>1.4002205573945048E-2</v>
      </c>
      <c r="M148" s="2">
        <f t="shared" si="134"/>
        <v>1.4002205573945048E-2</v>
      </c>
      <c r="P148" s="8">
        <f t="shared" si="135"/>
        <v>0.10000000000000009</v>
      </c>
      <c r="Q148" s="2">
        <f t="shared" si="136"/>
        <v>0.10000000000000009</v>
      </c>
      <c r="T148" s="8">
        <f t="shared" si="137"/>
        <v>1.2340980408664937E-4</v>
      </c>
      <c r="U148" s="2">
        <f t="shared" si="138"/>
        <v>1.2340980408664937E-4</v>
      </c>
      <c r="X148" s="8">
        <f t="shared" si="139"/>
        <v>1.4002205573945048E-2</v>
      </c>
      <c r="Y148" s="2">
        <f t="shared" si="140"/>
        <v>1.4002205573945048E-2</v>
      </c>
      <c r="AD148" s="8" t="e">
        <f t="shared" si="141"/>
        <v>#DIV/0!</v>
      </c>
      <c r="AE148" s="2" t="e">
        <f t="shared" si="142"/>
        <v>#DIV/0!</v>
      </c>
      <c r="AG148" s="2" t="e">
        <f t="shared" si="116"/>
        <v>#DIV/0!</v>
      </c>
      <c r="AH148" s="2" t="e">
        <f t="shared" si="117"/>
        <v>#DIV/0!</v>
      </c>
      <c r="AJ148" s="8" t="e">
        <f t="shared" si="143"/>
        <v>#DIV/0!</v>
      </c>
      <c r="AK148" s="2" t="e">
        <f t="shared" si="144"/>
        <v>#DIV/0!</v>
      </c>
      <c r="AM148" s="2" t="e">
        <f t="shared" si="118"/>
        <v>#DIV/0!</v>
      </c>
      <c r="AN148" s="2" t="e">
        <f t="shared" si="119"/>
        <v>#DIV/0!</v>
      </c>
      <c r="AP148" s="8" t="e">
        <f t="shared" si="145"/>
        <v>#DIV/0!</v>
      </c>
      <c r="AQ148" s="2" t="e">
        <f t="shared" si="146"/>
        <v>#DIV/0!</v>
      </c>
      <c r="AS148" s="2" t="e">
        <f t="shared" si="120"/>
        <v>#DIV/0!</v>
      </c>
      <c r="AT148" s="16" t="e">
        <f t="shared" si="121"/>
        <v>#DIV/0!</v>
      </c>
      <c r="AV148" s="8" t="e">
        <f t="shared" si="147"/>
        <v>#DIV/0!</v>
      </c>
      <c r="AW148" s="2" t="e">
        <f t="shared" si="148"/>
        <v>#DIV/0!</v>
      </c>
      <c r="AY148" s="2" t="e">
        <f t="shared" si="122"/>
        <v>#DIV/0!</v>
      </c>
      <c r="AZ148" s="2" t="e">
        <f t="shared" si="123"/>
        <v>#DIV/0!</v>
      </c>
      <c r="BD148" s="8" t="e">
        <f t="shared" si="149"/>
        <v>#DIV/0!</v>
      </c>
      <c r="BE148" s="2" t="e">
        <f t="shared" si="150"/>
        <v>#DIV/0!</v>
      </c>
      <c r="BG148" s="2" t="e">
        <f t="shared" si="124"/>
        <v>#DIV/0!</v>
      </c>
      <c r="BH148" s="2" t="e">
        <f t="shared" si="125"/>
        <v>#DIV/0!</v>
      </c>
      <c r="BL148" s="8" t="e">
        <f t="shared" si="151"/>
        <v>#DIV/0!</v>
      </c>
      <c r="BM148" s="2" t="e">
        <f t="shared" si="152"/>
        <v>#DIV/0!</v>
      </c>
      <c r="BO148" s="2" t="e">
        <f t="shared" si="126"/>
        <v>#DIV/0!</v>
      </c>
      <c r="BP148" s="2" t="e">
        <f t="shared" si="127"/>
        <v>#DIV/0!</v>
      </c>
    </row>
    <row r="149" spans="1:68" x14ac:dyDescent="0.2">
      <c r="A149" s="2">
        <f t="shared" si="114"/>
        <v>9.0833333333333286</v>
      </c>
      <c r="B149" s="2">
        <f t="shared" si="115"/>
        <v>1.1354250096044909E-4</v>
      </c>
      <c r="C149" s="2">
        <f t="shared" si="128"/>
        <v>1.1354250096044909E-4</v>
      </c>
      <c r="D149" s="8">
        <f t="shared" si="129"/>
        <v>1.1354250096044909E-4</v>
      </c>
      <c r="E149" s="2">
        <f t="shared" si="130"/>
        <v>1.1354250096044909E-4</v>
      </c>
      <c r="H149" s="8" t="e">
        <f t="shared" si="131"/>
        <v>#DIV/0!</v>
      </c>
      <c r="I149" s="2" t="e">
        <f t="shared" si="132"/>
        <v>#DIV/0!</v>
      </c>
      <c r="L149" s="8">
        <f t="shared" si="133"/>
        <v>1.3676560362576251E-2</v>
      </c>
      <c r="M149" s="2">
        <f t="shared" si="134"/>
        <v>1.3676560362576251E-2</v>
      </c>
      <c r="P149" s="8">
        <f t="shared" si="135"/>
        <v>9.9173553719008267E-2</v>
      </c>
      <c r="Q149" s="2">
        <f t="shared" si="136"/>
        <v>9.9173553719008267E-2</v>
      </c>
      <c r="T149" s="8">
        <f t="shared" si="137"/>
        <v>1.135425009604063E-4</v>
      </c>
      <c r="U149" s="2">
        <f t="shared" si="138"/>
        <v>1.135425009604063E-4</v>
      </c>
      <c r="X149" s="8">
        <f t="shared" si="139"/>
        <v>1.3676560362576251E-2</v>
      </c>
      <c r="Y149" s="2">
        <f t="shared" si="140"/>
        <v>1.3676560362576251E-2</v>
      </c>
      <c r="AD149" s="8" t="e">
        <f t="shared" si="141"/>
        <v>#DIV/0!</v>
      </c>
      <c r="AE149" s="2" t="e">
        <f t="shared" si="142"/>
        <v>#DIV/0!</v>
      </c>
      <c r="AG149" s="2" t="e">
        <f t="shared" si="116"/>
        <v>#DIV/0!</v>
      </c>
      <c r="AH149" s="2" t="e">
        <f t="shared" si="117"/>
        <v>#DIV/0!</v>
      </c>
      <c r="AJ149" s="8" t="e">
        <f t="shared" si="143"/>
        <v>#DIV/0!</v>
      </c>
      <c r="AK149" s="2" t="e">
        <f t="shared" si="144"/>
        <v>#DIV/0!</v>
      </c>
      <c r="AM149" s="2" t="e">
        <f t="shared" si="118"/>
        <v>#DIV/0!</v>
      </c>
      <c r="AN149" s="2" t="e">
        <f t="shared" si="119"/>
        <v>#DIV/0!</v>
      </c>
      <c r="AP149" s="8" t="e">
        <f t="shared" si="145"/>
        <v>#DIV/0!</v>
      </c>
      <c r="AQ149" s="2" t="e">
        <f t="shared" si="146"/>
        <v>#DIV/0!</v>
      </c>
      <c r="AS149" s="2" t="e">
        <f t="shared" si="120"/>
        <v>#DIV/0!</v>
      </c>
      <c r="AT149" s="16" t="e">
        <f t="shared" si="121"/>
        <v>#DIV/0!</v>
      </c>
      <c r="AV149" s="8" t="e">
        <f t="shared" si="147"/>
        <v>#DIV/0!</v>
      </c>
      <c r="AW149" s="2" t="e">
        <f t="shared" si="148"/>
        <v>#DIV/0!</v>
      </c>
      <c r="AY149" s="2" t="e">
        <f t="shared" si="122"/>
        <v>#DIV/0!</v>
      </c>
      <c r="AZ149" s="2" t="e">
        <f t="shared" si="123"/>
        <v>#DIV/0!</v>
      </c>
      <c r="BD149" s="8" t="e">
        <f t="shared" si="149"/>
        <v>#DIV/0!</v>
      </c>
      <c r="BE149" s="2" t="e">
        <f t="shared" si="150"/>
        <v>#DIV/0!</v>
      </c>
      <c r="BG149" s="2" t="e">
        <f t="shared" si="124"/>
        <v>#DIV/0!</v>
      </c>
      <c r="BH149" s="2" t="e">
        <f t="shared" si="125"/>
        <v>#DIV/0!</v>
      </c>
      <c r="BL149" s="8" t="e">
        <f t="shared" si="151"/>
        <v>#DIV/0!</v>
      </c>
      <c r="BM149" s="2" t="e">
        <f t="shared" si="152"/>
        <v>#DIV/0!</v>
      </c>
      <c r="BO149" s="2" t="e">
        <f t="shared" si="126"/>
        <v>#DIV/0!</v>
      </c>
      <c r="BP149" s="2" t="e">
        <f t="shared" si="127"/>
        <v>#DIV/0!</v>
      </c>
    </row>
    <row r="150" spans="1:68" x14ac:dyDescent="0.2">
      <c r="A150" s="2">
        <f t="shared" si="114"/>
        <v>9.1666666666666625</v>
      </c>
      <c r="B150" s="2">
        <f t="shared" si="115"/>
        <v>1.044641438317057E-4</v>
      </c>
      <c r="C150" s="2">
        <f t="shared" si="128"/>
        <v>1.044641438317057E-4</v>
      </c>
      <c r="D150" s="8">
        <f t="shared" si="129"/>
        <v>1.044641438317057E-4</v>
      </c>
      <c r="E150" s="2">
        <f t="shared" si="130"/>
        <v>1.044641438317057E-4</v>
      </c>
      <c r="H150" s="8" t="e">
        <f t="shared" si="131"/>
        <v>#DIV/0!</v>
      </c>
      <c r="I150" s="2" t="e">
        <f t="shared" si="132"/>
        <v>#DIV/0!</v>
      </c>
      <c r="L150" s="8">
        <f t="shared" si="133"/>
        <v>1.3360355307023286E-2</v>
      </c>
      <c r="M150" s="2">
        <f t="shared" si="134"/>
        <v>1.3360355307023286E-2</v>
      </c>
      <c r="P150" s="8">
        <f t="shared" si="135"/>
        <v>9.8360655737704916E-2</v>
      </c>
      <c r="Q150" s="2">
        <f t="shared" si="136"/>
        <v>9.8360655737704916E-2</v>
      </c>
      <c r="T150" s="8">
        <f t="shared" si="137"/>
        <v>1.0446414383169511E-4</v>
      </c>
      <c r="U150" s="2">
        <f t="shared" si="138"/>
        <v>1.0446414383169511E-4</v>
      </c>
      <c r="X150" s="8">
        <f t="shared" si="139"/>
        <v>1.3360355307023286E-2</v>
      </c>
      <c r="Y150" s="2">
        <f t="shared" si="140"/>
        <v>1.3360355307023286E-2</v>
      </c>
      <c r="AD150" s="8" t="e">
        <f t="shared" si="141"/>
        <v>#DIV/0!</v>
      </c>
      <c r="AE150" s="2" t="e">
        <f t="shared" si="142"/>
        <v>#DIV/0!</v>
      </c>
      <c r="AG150" s="2" t="e">
        <f t="shared" si="116"/>
        <v>#DIV/0!</v>
      </c>
      <c r="AH150" s="2" t="e">
        <f t="shared" si="117"/>
        <v>#DIV/0!</v>
      </c>
      <c r="AJ150" s="8" t="e">
        <f t="shared" si="143"/>
        <v>#DIV/0!</v>
      </c>
      <c r="AK150" s="2" t="e">
        <f t="shared" si="144"/>
        <v>#DIV/0!</v>
      </c>
      <c r="AM150" s="2" t="e">
        <f t="shared" si="118"/>
        <v>#DIV/0!</v>
      </c>
      <c r="AN150" s="2" t="e">
        <f t="shared" si="119"/>
        <v>#DIV/0!</v>
      </c>
      <c r="AP150" s="8" t="e">
        <f t="shared" si="145"/>
        <v>#DIV/0!</v>
      </c>
      <c r="AQ150" s="2" t="e">
        <f t="shared" si="146"/>
        <v>#DIV/0!</v>
      </c>
      <c r="AS150" s="2" t="e">
        <f t="shared" si="120"/>
        <v>#DIV/0!</v>
      </c>
      <c r="AT150" s="16" t="e">
        <f t="shared" si="121"/>
        <v>#DIV/0!</v>
      </c>
      <c r="AV150" s="8" t="e">
        <f t="shared" si="147"/>
        <v>#DIV/0!</v>
      </c>
      <c r="AW150" s="2" t="e">
        <f t="shared" si="148"/>
        <v>#DIV/0!</v>
      </c>
      <c r="AY150" s="2" t="e">
        <f t="shared" si="122"/>
        <v>#DIV/0!</v>
      </c>
      <c r="AZ150" s="2" t="e">
        <f t="shared" si="123"/>
        <v>#DIV/0!</v>
      </c>
      <c r="BD150" s="8" t="e">
        <f t="shared" si="149"/>
        <v>#DIV/0!</v>
      </c>
      <c r="BE150" s="2" t="e">
        <f t="shared" si="150"/>
        <v>#DIV/0!</v>
      </c>
      <c r="BG150" s="2" t="e">
        <f t="shared" si="124"/>
        <v>#DIV/0!</v>
      </c>
      <c r="BH150" s="2" t="e">
        <f t="shared" si="125"/>
        <v>#DIV/0!</v>
      </c>
      <c r="BL150" s="8" t="e">
        <f t="shared" si="151"/>
        <v>#DIV/0!</v>
      </c>
      <c r="BM150" s="2" t="e">
        <f t="shared" si="152"/>
        <v>#DIV/0!</v>
      </c>
      <c r="BO150" s="2" t="e">
        <f t="shared" si="126"/>
        <v>#DIV/0!</v>
      </c>
      <c r="BP150" s="2" t="e">
        <f t="shared" si="127"/>
        <v>#DIV/0!</v>
      </c>
    </row>
    <row r="151" spans="1:68" x14ac:dyDescent="0.2">
      <c r="A151" s="2">
        <f t="shared" si="114"/>
        <v>9.2499999999999964</v>
      </c>
      <c r="B151" s="2">
        <f t="shared" si="115"/>
        <v>9.6111652061395034E-5</v>
      </c>
      <c r="C151" s="2">
        <f t="shared" si="128"/>
        <v>9.6111652061395034E-5</v>
      </c>
      <c r="D151" s="8">
        <f t="shared" si="129"/>
        <v>9.6111652061395034E-5</v>
      </c>
      <c r="E151" s="2">
        <f t="shared" si="130"/>
        <v>9.6111652061395034E-5</v>
      </c>
      <c r="H151" s="8" t="e">
        <f t="shared" si="131"/>
        <v>#DIV/0!</v>
      </c>
      <c r="I151" s="2" t="e">
        <f t="shared" si="132"/>
        <v>#DIV/0!</v>
      </c>
      <c r="L151" s="8">
        <f t="shared" si="133"/>
        <v>1.3053260117263377E-2</v>
      </c>
      <c r="M151" s="2">
        <f t="shared" si="134"/>
        <v>1.3053260117263377E-2</v>
      </c>
      <c r="P151" s="8">
        <f t="shared" si="135"/>
        <v>9.7560975609756073E-2</v>
      </c>
      <c r="Q151" s="2">
        <f t="shared" si="136"/>
        <v>9.7560975609756073E-2</v>
      </c>
      <c r="T151" s="8">
        <f t="shared" si="137"/>
        <v>9.6111652061359187E-5</v>
      </c>
      <c r="U151" s="2">
        <f t="shared" si="138"/>
        <v>9.6111652061359187E-5</v>
      </c>
      <c r="X151" s="8">
        <f t="shared" si="139"/>
        <v>1.3053260117263377E-2</v>
      </c>
      <c r="Y151" s="2">
        <f t="shared" si="140"/>
        <v>1.3053260117263377E-2</v>
      </c>
      <c r="AD151" s="8" t="e">
        <f t="shared" si="141"/>
        <v>#DIV/0!</v>
      </c>
      <c r="AE151" s="2" t="e">
        <f t="shared" si="142"/>
        <v>#DIV/0!</v>
      </c>
      <c r="AG151" s="2" t="e">
        <f t="shared" si="116"/>
        <v>#DIV/0!</v>
      </c>
      <c r="AH151" s="2" t="e">
        <f t="shared" si="117"/>
        <v>#DIV/0!</v>
      </c>
      <c r="AJ151" s="8" t="e">
        <f t="shared" si="143"/>
        <v>#DIV/0!</v>
      </c>
      <c r="AK151" s="2" t="e">
        <f t="shared" si="144"/>
        <v>#DIV/0!</v>
      </c>
      <c r="AM151" s="2" t="e">
        <f t="shared" si="118"/>
        <v>#DIV/0!</v>
      </c>
      <c r="AN151" s="2" t="e">
        <f t="shared" si="119"/>
        <v>#DIV/0!</v>
      </c>
      <c r="AP151" s="8" t="e">
        <f t="shared" si="145"/>
        <v>#DIV/0!</v>
      </c>
      <c r="AQ151" s="2" t="e">
        <f t="shared" si="146"/>
        <v>#DIV/0!</v>
      </c>
      <c r="AS151" s="2" t="e">
        <f t="shared" si="120"/>
        <v>#DIV/0!</v>
      </c>
      <c r="AT151" s="16" t="e">
        <f t="shared" si="121"/>
        <v>#DIV/0!</v>
      </c>
      <c r="AV151" s="8" t="e">
        <f t="shared" si="147"/>
        <v>#DIV/0!</v>
      </c>
      <c r="AW151" s="2" t="e">
        <f t="shared" si="148"/>
        <v>#DIV/0!</v>
      </c>
      <c r="AY151" s="2" t="e">
        <f t="shared" si="122"/>
        <v>#DIV/0!</v>
      </c>
      <c r="AZ151" s="2" t="e">
        <f t="shared" si="123"/>
        <v>#DIV/0!</v>
      </c>
      <c r="BD151" s="8" t="e">
        <f t="shared" si="149"/>
        <v>#DIV/0!</v>
      </c>
      <c r="BE151" s="2" t="e">
        <f t="shared" si="150"/>
        <v>#DIV/0!</v>
      </c>
      <c r="BG151" s="2" t="e">
        <f t="shared" si="124"/>
        <v>#DIV/0!</v>
      </c>
      <c r="BH151" s="2" t="e">
        <f t="shared" si="125"/>
        <v>#DIV/0!</v>
      </c>
      <c r="BL151" s="8" t="e">
        <f t="shared" si="151"/>
        <v>#DIV/0!</v>
      </c>
      <c r="BM151" s="2" t="e">
        <f t="shared" si="152"/>
        <v>#DIV/0!</v>
      </c>
      <c r="BO151" s="2" t="e">
        <f t="shared" si="126"/>
        <v>#DIV/0!</v>
      </c>
      <c r="BP151" s="2" t="e">
        <f t="shared" si="127"/>
        <v>#DIV/0!</v>
      </c>
    </row>
    <row r="152" spans="1:68" x14ac:dyDescent="0.2">
      <c r="A152" s="2">
        <f t="shared" si="114"/>
        <v>9.3333333333333304</v>
      </c>
      <c r="B152" s="2">
        <f t="shared" si="115"/>
        <v>8.8426988659883328E-5</v>
      </c>
      <c r="C152" s="2">
        <f t="shared" si="128"/>
        <v>8.8426988659883328E-5</v>
      </c>
      <c r="D152" s="8">
        <f t="shared" si="129"/>
        <v>8.8426988659883328E-5</v>
      </c>
      <c r="E152" s="2">
        <f t="shared" si="130"/>
        <v>8.8426988659883328E-5</v>
      </c>
      <c r="H152" s="8" t="e">
        <f t="shared" si="131"/>
        <v>#DIV/0!</v>
      </c>
      <c r="I152" s="2" t="e">
        <f t="shared" si="132"/>
        <v>#DIV/0!</v>
      </c>
      <c r="L152" s="8">
        <f t="shared" si="133"/>
        <v>1.2754958100017921E-2</v>
      </c>
      <c r="M152" s="2">
        <f t="shared" si="134"/>
        <v>1.2754958100017921E-2</v>
      </c>
      <c r="P152" s="8">
        <f t="shared" si="135"/>
        <v>9.6774193548387122E-2</v>
      </c>
      <c r="Q152" s="2">
        <f t="shared" si="136"/>
        <v>9.6774193548387122E-2</v>
      </c>
      <c r="T152" s="8">
        <f t="shared" si="137"/>
        <v>8.8426988659850991E-5</v>
      </c>
      <c r="U152" s="2">
        <f t="shared" si="138"/>
        <v>8.8426988659850991E-5</v>
      </c>
      <c r="X152" s="8">
        <f t="shared" si="139"/>
        <v>1.2754958100017921E-2</v>
      </c>
      <c r="Y152" s="2">
        <f t="shared" si="140"/>
        <v>1.2754958100017921E-2</v>
      </c>
      <c r="AD152" s="8" t="e">
        <f t="shared" si="141"/>
        <v>#DIV/0!</v>
      </c>
      <c r="AE152" s="2" t="e">
        <f t="shared" si="142"/>
        <v>#DIV/0!</v>
      </c>
      <c r="AG152" s="2" t="e">
        <f t="shared" si="116"/>
        <v>#DIV/0!</v>
      </c>
      <c r="AH152" s="2" t="e">
        <f t="shared" si="117"/>
        <v>#DIV/0!</v>
      </c>
      <c r="AJ152" s="8" t="e">
        <f t="shared" si="143"/>
        <v>#DIV/0!</v>
      </c>
      <c r="AK152" s="2" t="e">
        <f t="shared" si="144"/>
        <v>#DIV/0!</v>
      </c>
      <c r="AM152" s="2" t="e">
        <f t="shared" si="118"/>
        <v>#DIV/0!</v>
      </c>
      <c r="AN152" s="2" t="e">
        <f t="shared" si="119"/>
        <v>#DIV/0!</v>
      </c>
      <c r="AP152" s="8" t="e">
        <f t="shared" si="145"/>
        <v>#DIV/0!</v>
      </c>
      <c r="AQ152" s="2" t="e">
        <f t="shared" si="146"/>
        <v>#DIV/0!</v>
      </c>
      <c r="AS152" s="2" t="e">
        <f t="shared" si="120"/>
        <v>#DIV/0!</v>
      </c>
      <c r="AT152" s="16" t="e">
        <f t="shared" si="121"/>
        <v>#DIV/0!</v>
      </c>
      <c r="AV152" s="8" t="e">
        <f t="shared" si="147"/>
        <v>#DIV/0!</v>
      </c>
      <c r="AW152" s="2" t="e">
        <f t="shared" si="148"/>
        <v>#DIV/0!</v>
      </c>
      <c r="AY152" s="2" t="e">
        <f t="shared" si="122"/>
        <v>#DIV/0!</v>
      </c>
      <c r="AZ152" s="2" t="e">
        <f t="shared" si="123"/>
        <v>#DIV/0!</v>
      </c>
      <c r="BD152" s="8" t="e">
        <f t="shared" si="149"/>
        <v>#DIV/0!</v>
      </c>
      <c r="BE152" s="2" t="e">
        <f t="shared" si="150"/>
        <v>#DIV/0!</v>
      </c>
      <c r="BG152" s="2" t="e">
        <f t="shared" si="124"/>
        <v>#DIV/0!</v>
      </c>
      <c r="BH152" s="2" t="e">
        <f t="shared" si="125"/>
        <v>#DIV/0!</v>
      </c>
      <c r="BL152" s="8" t="e">
        <f t="shared" si="151"/>
        <v>#DIV/0!</v>
      </c>
      <c r="BM152" s="2" t="e">
        <f t="shared" si="152"/>
        <v>#DIV/0!</v>
      </c>
      <c r="BO152" s="2" t="e">
        <f t="shared" si="126"/>
        <v>#DIV/0!</v>
      </c>
      <c r="BP152" s="2" t="e">
        <f t="shared" si="127"/>
        <v>#DIV/0!</v>
      </c>
    </row>
    <row r="153" spans="1:68" x14ac:dyDescent="0.2">
      <c r="A153" s="2">
        <f t="shared" si="114"/>
        <v>9.4166666666666643</v>
      </c>
      <c r="B153" s="2">
        <f t="shared" si="115"/>
        <v>8.1356757019016116E-5</v>
      </c>
      <c r="C153" s="2">
        <f t="shared" si="128"/>
        <v>8.1356757019016116E-5</v>
      </c>
      <c r="D153" s="8">
        <f t="shared" si="129"/>
        <v>8.1356757019016116E-5</v>
      </c>
      <c r="E153" s="2">
        <f t="shared" si="130"/>
        <v>8.1356757019016116E-5</v>
      </c>
      <c r="H153" s="8" t="e">
        <f t="shared" si="131"/>
        <v>#DIV/0!</v>
      </c>
      <c r="I153" s="2" t="e">
        <f t="shared" si="132"/>
        <v>#DIV/0!</v>
      </c>
      <c r="L153" s="8">
        <f t="shared" si="133"/>
        <v>1.246514551347444E-2</v>
      </c>
      <c r="M153" s="2">
        <f t="shared" si="134"/>
        <v>1.246514551347444E-2</v>
      </c>
      <c r="P153" s="8">
        <f t="shared" si="135"/>
        <v>9.5999999999999974E-2</v>
      </c>
      <c r="Q153" s="2">
        <f t="shared" si="136"/>
        <v>9.5999999999999974E-2</v>
      </c>
      <c r="T153" s="8">
        <f t="shared" si="137"/>
        <v>8.1356757019035442E-5</v>
      </c>
      <c r="U153" s="2">
        <f t="shared" si="138"/>
        <v>8.1356757019035442E-5</v>
      </c>
      <c r="X153" s="8">
        <f t="shared" si="139"/>
        <v>1.246514551347444E-2</v>
      </c>
      <c r="Y153" s="2">
        <f t="shared" si="140"/>
        <v>1.246514551347444E-2</v>
      </c>
      <c r="AD153" s="8" t="e">
        <f t="shared" si="141"/>
        <v>#DIV/0!</v>
      </c>
      <c r="AE153" s="2" t="e">
        <f t="shared" si="142"/>
        <v>#DIV/0!</v>
      </c>
      <c r="AG153" s="2" t="e">
        <f t="shared" si="116"/>
        <v>#DIV/0!</v>
      </c>
      <c r="AH153" s="2" t="e">
        <f t="shared" si="117"/>
        <v>#DIV/0!</v>
      </c>
      <c r="AJ153" s="8" t="e">
        <f t="shared" si="143"/>
        <v>#DIV/0!</v>
      </c>
      <c r="AK153" s="2" t="e">
        <f t="shared" si="144"/>
        <v>#DIV/0!</v>
      </c>
      <c r="AM153" s="2" t="e">
        <f t="shared" si="118"/>
        <v>#DIV/0!</v>
      </c>
      <c r="AN153" s="2" t="e">
        <f t="shared" si="119"/>
        <v>#DIV/0!</v>
      </c>
      <c r="AP153" s="8" t="e">
        <f t="shared" si="145"/>
        <v>#DIV/0!</v>
      </c>
      <c r="AQ153" s="2" t="e">
        <f t="shared" si="146"/>
        <v>#DIV/0!</v>
      </c>
      <c r="AS153" s="2" t="e">
        <f t="shared" si="120"/>
        <v>#DIV/0!</v>
      </c>
      <c r="AT153" s="16" t="e">
        <f t="shared" si="121"/>
        <v>#DIV/0!</v>
      </c>
      <c r="AV153" s="8" t="e">
        <f t="shared" si="147"/>
        <v>#DIV/0!</v>
      </c>
      <c r="AW153" s="2" t="e">
        <f t="shared" si="148"/>
        <v>#DIV/0!</v>
      </c>
      <c r="AY153" s="2" t="e">
        <f t="shared" si="122"/>
        <v>#DIV/0!</v>
      </c>
      <c r="AZ153" s="2" t="e">
        <f t="shared" si="123"/>
        <v>#DIV/0!</v>
      </c>
      <c r="BD153" s="8" t="e">
        <f t="shared" si="149"/>
        <v>#DIV/0!</v>
      </c>
      <c r="BE153" s="2" t="e">
        <f t="shared" si="150"/>
        <v>#DIV/0!</v>
      </c>
      <c r="BG153" s="2" t="e">
        <f t="shared" si="124"/>
        <v>#DIV/0!</v>
      </c>
      <c r="BH153" s="2" t="e">
        <f t="shared" si="125"/>
        <v>#DIV/0!</v>
      </c>
      <c r="BL153" s="8" t="e">
        <f t="shared" si="151"/>
        <v>#DIV/0!</v>
      </c>
      <c r="BM153" s="2" t="e">
        <f t="shared" si="152"/>
        <v>#DIV/0!</v>
      </c>
      <c r="BO153" s="2" t="e">
        <f t="shared" si="126"/>
        <v>#DIV/0!</v>
      </c>
      <c r="BP153" s="2" t="e">
        <f t="shared" si="127"/>
        <v>#DIV/0!</v>
      </c>
    </row>
    <row r="154" spans="1:68" x14ac:dyDescent="0.2">
      <c r="A154" s="2">
        <f t="shared" si="114"/>
        <v>9.4999999999999982</v>
      </c>
      <c r="B154" s="2">
        <f t="shared" si="115"/>
        <v>7.485182988770072E-5</v>
      </c>
      <c r="C154" s="2">
        <f t="shared" si="128"/>
        <v>7.485182988770072E-5</v>
      </c>
      <c r="D154" s="8">
        <f t="shared" si="129"/>
        <v>7.485182988770072E-5</v>
      </c>
      <c r="E154" s="2">
        <f t="shared" si="130"/>
        <v>7.485182988770072E-5</v>
      </c>
      <c r="H154" s="8" t="e">
        <f t="shared" si="131"/>
        <v>#DIV/0!</v>
      </c>
      <c r="I154" s="2" t="e">
        <f t="shared" si="132"/>
        <v>#DIV/0!</v>
      </c>
      <c r="L154" s="8">
        <f t="shared" si="133"/>
        <v>1.2183530956733302E-2</v>
      </c>
      <c r="M154" s="2">
        <f t="shared" si="134"/>
        <v>1.2183530956733302E-2</v>
      </c>
      <c r="P154" s="8">
        <f t="shared" si="135"/>
        <v>9.5238095238095344E-2</v>
      </c>
      <c r="Q154" s="2">
        <f t="shared" si="136"/>
        <v>9.5238095238095344E-2</v>
      </c>
      <c r="T154" s="8">
        <f t="shared" si="137"/>
        <v>7.4851829887645493E-5</v>
      </c>
      <c r="U154" s="2">
        <f t="shared" si="138"/>
        <v>7.4851829887645493E-5</v>
      </c>
      <c r="X154" s="8">
        <f t="shared" si="139"/>
        <v>1.2183530956733302E-2</v>
      </c>
      <c r="Y154" s="2">
        <f t="shared" si="140"/>
        <v>1.2183530956733302E-2</v>
      </c>
      <c r="AD154" s="8" t="e">
        <f t="shared" si="141"/>
        <v>#DIV/0!</v>
      </c>
      <c r="AE154" s="2" t="e">
        <f t="shared" si="142"/>
        <v>#DIV/0!</v>
      </c>
      <c r="AG154" s="2" t="e">
        <f t="shared" si="116"/>
        <v>#DIV/0!</v>
      </c>
      <c r="AH154" s="2" t="e">
        <f t="shared" si="117"/>
        <v>#DIV/0!</v>
      </c>
      <c r="AJ154" s="8" t="e">
        <f t="shared" si="143"/>
        <v>#DIV/0!</v>
      </c>
      <c r="AK154" s="2" t="e">
        <f t="shared" si="144"/>
        <v>#DIV/0!</v>
      </c>
      <c r="AM154" s="2" t="e">
        <f t="shared" si="118"/>
        <v>#DIV/0!</v>
      </c>
      <c r="AN154" s="2" t="e">
        <f t="shared" si="119"/>
        <v>#DIV/0!</v>
      </c>
      <c r="AP154" s="8" t="e">
        <f t="shared" si="145"/>
        <v>#DIV/0!</v>
      </c>
      <c r="AQ154" s="2" t="e">
        <f t="shared" si="146"/>
        <v>#DIV/0!</v>
      </c>
      <c r="AS154" s="2" t="e">
        <f t="shared" si="120"/>
        <v>#DIV/0!</v>
      </c>
      <c r="AT154" s="16" t="e">
        <f t="shared" si="121"/>
        <v>#DIV/0!</v>
      </c>
      <c r="AV154" s="8" t="e">
        <f t="shared" si="147"/>
        <v>#DIV/0!</v>
      </c>
      <c r="AW154" s="2" t="e">
        <f t="shared" si="148"/>
        <v>#DIV/0!</v>
      </c>
      <c r="AY154" s="2" t="e">
        <f t="shared" si="122"/>
        <v>#DIV/0!</v>
      </c>
      <c r="AZ154" s="2" t="e">
        <f t="shared" si="123"/>
        <v>#DIV/0!</v>
      </c>
      <c r="BD154" s="8" t="e">
        <f t="shared" si="149"/>
        <v>#DIV/0!</v>
      </c>
      <c r="BE154" s="2" t="e">
        <f t="shared" si="150"/>
        <v>#DIV/0!</v>
      </c>
      <c r="BG154" s="2" t="e">
        <f t="shared" si="124"/>
        <v>#DIV/0!</v>
      </c>
      <c r="BH154" s="2" t="e">
        <f t="shared" si="125"/>
        <v>#DIV/0!</v>
      </c>
      <c r="BL154" s="8" t="e">
        <f t="shared" si="151"/>
        <v>#DIV/0!</v>
      </c>
      <c r="BM154" s="2" t="e">
        <f t="shared" si="152"/>
        <v>#DIV/0!</v>
      </c>
      <c r="BO154" s="2" t="e">
        <f t="shared" si="126"/>
        <v>#DIV/0!</v>
      </c>
      <c r="BP154" s="2" t="e">
        <f t="shared" si="127"/>
        <v>#DIV/0!</v>
      </c>
    </row>
    <row r="155" spans="1:68" x14ac:dyDescent="0.2">
      <c r="A155" s="2">
        <f t="shared" si="114"/>
        <v>9.5833333333333321</v>
      </c>
      <c r="B155" s="2">
        <f t="shared" si="115"/>
        <v>6.8867008012963248E-5</v>
      </c>
      <c r="C155" s="2">
        <f t="shared" si="128"/>
        <v>6.8867008012963248E-5</v>
      </c>
      <c r="D155" s="8">
        <f t="shared" si="129"/>
        <v>6.8867008012963248E-5</v>
      </c>
      <c r="E155" s="2">
        <f t="shared" si="130"/>
        <v>6.8867008012963248E-5</v>
      </c>
      <c r="H155" s="8" t="e">
        <f t="shared" si="131"/>
        <v>#DIV/0!</v>
      </c>
      <c r="I155" s="2" t="e">
        <f t="shared" si="132"/>
        <v>#DIV/0!</v>
      </c>
      <c r="L155" s="8">
        <f t="shared" si="133"/>
        <v>1.1909834791890006E-2</v>
      </c>
      <c r="M155" s="2">
        <f t="shared" si="134"/>
        <v>1.1909834791890006E-2</v>
      </c>
      <c r="P155" s="8">
        <f t="shared" si="135"/>
        <v>9.4488188976378007E-2</v>
      </c>
      <c r="Q155" s="2">
        <f t="shared" si="136"/>
        <v>9.4488188976378007E-2</v>
      </c>
      <c r="T155" s="8">
        <f t="shared" si="137"/>
        <v>6.8867008013007158E-5</v>
      </c>
      <c r="U155" s="2">
        <f t="shared" si="138"/>
        <v>6.8867008013007158E-5</v>
      </c>
      <c r="X155" s="8">
        <f t="shared" si="139"/>
        <v>1.1909834791890006E-2</v>
      </c>
      <c r="Y155" s="2">
        <f t="shared" si="140"/>
        <v>1.1909834791890006E-2</v>
      </c>
      <c r="AD155" s="8" t="e">
        <f t="shared" si="141"/>
        <v>#DIV/0!</v>
      </c>
      <c r="AE155" s="2" t="e">
        <f t="shared" si="142"/>
        <v>#DIV/0!</v>
      </c>
      <c r="AG155" s="2" t="e">
        <f t="shared" si="116"/>
        <v>#DIV/0!</v>
      </c>
      <c r="AH155" s="2" t="e">
        <f t="shared" si="117"/>
        <v>#DIV/0!</v>
      </c>
      <c r="AJ155" s="8" t="e">
        <f t="shared" si="143"/>
        <v>#DIV/0!</v>
      </c>
      <c r="AK155" s="2" t="e">
        <f t="shared" si="144"/>
        <v>#DIV/0!</v>
      </c>
      <c r="AM155" s="2" t="e">
        <f t="shared" si="118"/>
        <v>#DIV/0!</v>
      </c>
      <c r="AN155" s="2" t="e">
        <f t="shared" si="119"/>
        <v>#DIV/0!</v>
      </c>
      <c r="AP155" s="8" t="e">
        <f t="shared" si="145"/>
        <v>#DIV/0!</v>
      </c>
      <c r="AQ155" s="2" t="e">
        <f t="shared" si="146"/>
        <v>#DIV/0!</v>
      </c>
      <c r="AS155" s="2" t="e">
        <f t="shared" si="120"/>
        <v>#DIV/0!</v>
      </c>
      <c r="AT155" s="16" t="e">
        <f t="shared" si="121"/>
        <v>#DIV/0!</v>
      </c>
      <c r="AV155" s="8" t="e">
        <f t="shared" si="147"/>
        <v>#DIV/0!</v>
      </c>
      <c r="AW155" s="2" t="e">
        <f t="shared" si="148"/>
        <v>#DIV/0!</v>
      </c>
      <c r="AY155" s="2" t="e">
        <f t="shared" si="122"/>
        <v>#DIV/0!</v>
      </c>
      <c r="AZ155" s="2" t="e">
        <f t="shared" si="123"/>
        <v>#DIV/0!</v>
      </c>
      <c r="BD155" s="8" t="e">
        <f t="shared" si="149"/>
        <v>#DIV/0!</v>
      </c>
      <c r="BE155" s="2" t="e">
        <f t="shared" si="150"/>
        <v>#DIV/0!</v>
      </c>
      <c r="BG155" s="2" t="e">
        <f t="shared" si="124"/>
        <v>#DIV/0!</v>
      </c>
      <c r="BH155" s="2" t="e">
        <f t="shared" si="125"/>
        <v>#DIV/0!</v>
      </c>
      <c r="BL155" s="8" t="e">
        <f t="shared" si="151"/>
        <v>#DIV/0!</v>
      </c>
      <c r="BM155" s="2" t="e">
        <f t="shared" si="152"/>
        <v>#DIV/0!</v>
      </c>
      <c r="BO155" s="2" t="e">
        <f t="shared" si="126"/>
        <v>#DIV/0!</v>
      </c>
      <c r="BP155" s="2" t="e">
        <f t="shared" si="127"/>
        <v>#DIV/0!</v>
      </c>
    </row>
    <row r="156" spans="1:68" x14ac:dyDescent="0.2">
      <c r="A156" s="2">
        <f t="shared" si="114"/>
        <v>9.6666666666666661</v>
      </c>
      <c r="B156" s="2">
        <f t="shared" si="115"/>
        <v>6.3360706074559649E-5</v>
      </c>
      <c r="C156" s="2">
        <f t="shared" si="128"/>
        <v>6.3360706074559649E-5</v>
      </c>
      <c r="D156" s="8">
        <f t="shared" si="129"/>
        <v>6.3360706074559649E-5</v>
      </c>
      <c r="E156" s="2">
        <f t="shared" si="130"/>
        <v>6.3360706074559649E-5</v>
      </c>
      <c r="H156" s="8" t="e">
        <f t="shared" si="131"/>
        <v>#DIV/0!</v>
      </c>
      <c r="I156" s="2" t="e">
        <f t="shared" si="132"/>
        <v>#DIV/0!</v>
      </c>
      <c r="L156" s="8">
        <f t="shared" si="133"/>
        <v>1.1643788596800708E-2</v>
      </c>
      <c r="M156" s="2">
        <f t="shared" si="134"/>
        <v>1.1643788596800708E-2</v>
      </c>
      <c r="P156" s="8">
        <f t="shared" si="135"/>
        <v>9.375E-2</v>
      </c>
      <c r="Q156" s="2">
        <f t="shared" si="136"/>
        <v>9.375E-2</v>
      </c>
      <c r="T156" s="8">
        <f t="shared" si="137"/>
        <v>6.3360706074599982E-5</v>
      </c>
      <c r="U156" s="2">
        <f t="shared" si="138"/>
        <v>6.3360706074599982E-5</v>
      </c>
      <c r="X156" s="8">
        <f t="shared" si="139"/>
        <v>1.1643788596800708E-2</v>
      </c>
      <c r="Y156" s="2">
        <f t="shared" si="140"/>
        <v>1.1643788596800708E-2</v>
      </c>
      <c r="AD156" s="8" t="e">
        <f t="shared" si="141"/>
        <v>#DIV/0!</v>
      </c>
      <c r="AE156" s="2" t="e">
        <f t="shared" si="142"/>
        <v>#DIV/0!</v>
      </c>
      <c r="AG156" s="2" t="e">
        <f t="shared" si="116"/>
        <v>#DIV/0!</v>
      </c>
      <c r="AH156" s="2" t="e">
        <f t="shared" si="117"/>
        <v>#DIV/0!</v>
      </c>
      <c r="AJ156" s="8" t="e">
        <f t="shared" si="143"/>
        <v>#DIV/0!</v>
      </c>
      <c r="AK156" s="2" t="e">
        <f t="shared" si="144"/>
        <v>#DIV/0!</v>
      </c>
      <c r="AM156" s="2" t="e">
        <f t="shared" si="118"/>
        <v>#DIV/0!</v>
      </c>
      <c r="AN156" s="2" t="e">
        <f t="shared" si="119"/>
        <v>#DIV/0!</v>
      </c>
      <c r="AP156" s="8" t="e">
        <f t="shared" si="145"/>
        <v>#DIV/0!</v>
      </c>
      <c r="AQ156" s="2" t="e">
        <f t="shared" si="146"/>
        <v>#DIV/0!</v>
      </c>
      <c r="AS156" s="2" t="e">
        <f t="shared" si="120"/>
        <v>#DIV/0!</v>
      </c>
      <c r="AT156" s="16" t="e">
        <f t="shared" si="121"/>
        <v>#DIV/0!</v>
      </c>
      <c r="AV156" s="8" t="e">
        <f t="shared" si="147"/>
        <v>#DIV/0!</v>
      </c>
      <c r="AW156" s="2" t="e">
        <f t="shared" si="148"/>
        <v>#DIV/0!</v>
      </c>
      <c r="AY156" s="2" t="e">
        <f t="shared" si="122"/>
        <v>#DIV/0!</v>
      </c>
      <c r="AZ156" s="2" t="e">
        <f t="shared" si="123"/>
        <v>#DIV/0!</v>
      </c>
      <c r="BD156" s="8" t="e">
        <f t="shared" si="149"/>
        <v>#DIV/0!</v>
      </c>
      <c r="BE156" s="2" t="e">
        <f t="shared" si="150"/>
        <v>#DIV/0!</v>
      </c>
      <c r="BG156" s="2" t="e">
        <f t="shared" si="124"/>
        <v>#DIV/0!</v>
      </c>
      <c r="BH156" s="2" t="e">
        <f t="shared" si="125"/>
        <v>#DIV/0!</v>
      </c>
      <c r="BL156" s="8" t="e">
        <f t="shared" si="151"/>
        <v>#DIV/0!</v>
      </c>
      <c r="BM156" s="2" t="e">
        <f t="shared" si="152"/>
        <v>#DIV/0!</v>
      </c>
      <c r="BO156" s="2" t="e">
        <f t="shared" si="126"/>
        <v>#DIV/0!</v>
      </c>
      <c r="BP156" s="2" t="e">
        <f t="shared" si="127"/>
        <v>#DIV/0!</v>
      </c>
    </row>
    <row r="157" spans="1:68" x14ac:dyDescent="0.2">
      <c r="A157" s="2">
        <f t="shared" si="114"/>
        <v>9.75</v>
      </c>
      <c r="B157" s="2">
        <f t="shared" si="115"/>
        <v>5.8294663730868811E-5</v>
      </c>
      <c r="C157" s="2">
        <f t="shared" si="128"/>
        <v>5.8294663730868811E-5</v>
      </c>
      <c r="D157" s="8">
        <f t="shared" si="129"/>
        <v>5.8294663730868811E-5</v>
      </c>
      <c r="E157" s="2">
        <f t="shared" si="130"/>
        <v>5.8294663730868811E-5</v>
      </c>
      <c r="H157" s="8" t="e">
        <f t="shared" si="131"/>
        <v>#DIV/0!</v>
      </c>
      <c r="I157" s="2" t="e">
        <f t="shared" si="132"/>
        <v>#DIV/0!</v>
      </c>
      <c r="L157" s="8">
        <f t="shared" si="133"/>
        <v>1.138513464670976E-2</v>
      </c>
      <c r="M157" s="2">
        <f t="shared" si="134"/>
        <v>1.138513464670976E-2</v>
      </c>
      <c r="P157" s="8">
        <f t="shared" si="135"/>
        <v>9.3023255813953543E-2</v>
      </c>
      <c r="Q157" s="2">
        <f t="shared" si="136"/>
        <v>9.3023255813953543E-2</v>
      </c>
      <c r="T157" s="8">
        <f t="shared" si="137"/>
        <v>5.8294663730862339E-5</v>
      </c>
      <c r="U157" s="2">
        <f t="shared" si="138"/>
        <v>5.8294663730862339E-5</v>
      </c>
      <c r="X157" s="8">
        <f t="shared" si="139"/>
        <v>1.138513464670976E-2</v>
      </c>
      <c r="Y157" s="2">
        <f t="shared" si="140"/>
        <v>1.138513464670976E-2</v>
      </c>
      <c r="AD157" s="8" t="e">
        <f t="shared" si="141"/>
        <v>#DIV/0!</v>
      </c>
      <c r="AE157" s="2" t="e">
        <f t="shared" si="142"/>
        <v>#DIV/0!</v>
      </c>
      <c r="AG157" s="2" t="e">
        <f t="shared" si="116"/>
        <v>#DIV/0!</v>
      </c>
      <c r="AH157" s="2" t="e">
        <f t="shared" si="117"/>
        <v>#DIV/0!</v>
      </c>
      <c r="AJ157" s="8" t="e">
        <f t="shared" si="143"/>
        <v>#DIV/0!</v>
      </c>
      <c r="AK157" s="2" t="e">
        <f t="shared" si="144"/>
        <v>#DIV/0!</v>
      </c>
      <c r="AM157" s="2" t="e">
        <f t="shared" si="118"/>
        <v>#DIV/0!</v>
      </c>
      <c r="AN157" s="2" t="e">
        <f t="shared" si="119"/>
        <v>#DIV/0!</v>
      </c>
      <c r="AP157" s="8" t="e">
        <f t="shared" si="145"/>
        <v>#DIV/0!</v>
      </c>
      <c r="AQ157" s="2" t="e">
        <f t="shared" si="146"/>
        <v>#DIV/0!</v>
      </c>
      <c r="AS157" s="2" t="e">
        <f t="shared" si="120"/>
        <v>#DIV/0!</v>
      </c>
      <c r="AT157" s="16" t="e">
        <f t="shared" si="121"/>
        <v>#DIV/0!</v>
      </c>
      <c r="AV157" s="8" t="e">
        <f t="shared" si="147"/>
        <v>#DIV/0!</v>
      </c>
      <c r="AW157" s="2" t="e">
        <f t="shared" si="148"/>
        <v>#DIV/0!</v>
      </c>
      <c r="AY157" s="2" t="e">
        <f t="shared" si="122"/>
        <v>#DIV/0!</v>
      </c>
      <c r="AZ157" s="2" t="e">
        <f t="shared" si="123"/>
        <v>#DIV/0!</v>
      </c>
      <c r="BD157" s="8" t="e">
        <f t="shared" si="149"/>
        <v>#DIV/0!</v>
      </c>
      <c r="BE157" s="2" t="e">
        <f t="shared" si="150"/>
        <v>#DIV/0!</v>
      </c>
      <c r="BG157" s="2" t="e">
        <f t="shared" si="124"/>
        <v>#DIV/0!</v>
      </c>
      <c r="BH157" s="2" t="e">
        <f t="shared" si="125"/>
        <v>#DIV/0!</v>
      </c>
      <c r="BL157" s="8" t="e">
        <f t="shared" si="151"/>
        <v>#DIV/0!</v>
      </c>
      <c r="BM157" s="2" t="e">
        <f t="shared" si="152"/>
        <v>#DIV/0!</v>
      </c>
      <c r="BO157" s="2" t="e">
        <f t="shared" si="126"/>
        <v>#DIV/0!</v>
      </c>
      <c r="BP157" s="2" t="e">
        <f t="shared" si="127"/>
        <v>#DIV/0!</v>
      </c>
    </row>
    <row r="158" spans="1:68" x14ac:dyDescent="0.2">
      <c r="A158" s="2">
        <f t="shared" si="114"/>
        <v>9.8333333333333339</v>
      </c>
      <c r="B158" s="2">
        <f t="shared" si="115"/>
        <v>5.3633679768280402E-5</v>
      </c>
      <c r="C158" s="2">
        <f t="shared" si="128"/>
        <v>5.3633679768280402E-5</v>
      </c>
      <c r="D158" s="8">
        <f t="shared" si="129"/>
        <v>5.3633679768280402E-5</v>
      </c>
      <c r="E158" s="2">
        <f t="shared" si="130"/>
        <v>5.3633679768280402E-5</v>
      </c>
      <c r="H158" s="8" t="e">
        <f t="shared" si="131"/>
        <v>#DIV/0!</v>
      </c>
      <c r="I158" s="2" t="e">
        <f t="shared" si="132"/>
        <v>#DIV/0!</v>
      </c>
      <c r="L158" s="8">
        <f t="shared" si="133"/>
        <v>1.113362542303642E-2</v>
      </c>
      <c r="M158" s="2">
        <f t="shared" si="134"/>
        <v>1.113362542303642E-2</v>
      </c>
      <c r="P158" s="8">
        <f t="shared" si="135"/>
        <v>9.2307692307692313E-2</v>
      </c>
      <c r="Q158" s="2">
        <f t="shared" si="136"/>
        <v>9.2307692307692313E-2</v>
      </c>
      <c r="T158" s="8">
        <f t="shared" si="137"/>
        <v>5.3633679768294584E-5</v>
      </c>
      <c r="U158" s="2">
        <f t="shared" si="138"/>
        <v>5.3633679768294584E-5</v>
      </c>
      <c r="X158" s="8">
        <f t="shared" si="139"/>
        <v>1.113362542303642E-2</v>
      </c>
      <c r="Y158" s="2">
        <f t="shared" si="140"/>
        <v>1.113362542303642E-2</v>
      </c>
      <c r="AD158" s="8" t="e">
        <f t="shared" si="141"/>
        <v>#DIV/0!</v>
      </c>
      <c r="AE158" s="2" t="e">
        <f t="shared" si="142"/>
        <v>#DIV/0!</v>
      </c>
      <c r="AG158" s="2" t="e">
        <f t="shared" si="116"/>
        <v>#DIV/0!</v>
      </c>
      <c r="AH158" s="2" t="e">
        <f t="shared" si="117"/>
        <v>#DIV/0!</v>
      </c>
      <c r="AJ158" s="8" t="e">
        <f t="shared" si="143"/>
        <v>#DIV/0!</v>
      </c>
      <c r="AK158" s="2" t="e">
        <f t="shared" si="144"/>
        <v>#DIV/0!</v>
      </c>
      <c r="AM158" s="2" t="e">
        <f t="shared" si="118"/>
        <v>#DIV/0!</v>
      </c>
      <c r="AN158" s="2" t="e">
        <f t="shared" si="119"/>
        <v>#DIV/0!</v>
      </c>
      <c r="AP158" s="8" t="e">
        <f t="shared" si="145"/>
        <v>#DIV/0!</v>
      </c>
      <c r="AQ158" s="2" t="e">
        <f t="shared" si="146"/>
        <v>#DIV/0!</v>
      </c>
      <c r="AS158" s="2" t="e">
        <f t="shared" si="120"/>
        <v>#DIV/0!</v>
      </c>
      <c r="AT158" s="16" t="e">
        <f t="shared" si="121"/>
        <v>#DIV/0!</v>
      </c>
      <c r="AV158" s="8" t="e">
        <f t="shared" si="147"/>
        <v>#DIV/0!</v>
      </c>
      <c r="AW158" s="2" t="e">
        <f t="shared" si="148"/>
        <v>#DIV/0!</v>
      </c>
      <c r="AY158" s="2" t="e">
        <f t="shared" si="122"/>
        <v>#DIV/0!</v>
      </c>
      <c r="AZ158" s="2" t="e">
        <f t="shared" si="123"/>
        <v>#DIV/0!</v>
      </c>
      <c r="BD158" s="8" t="e">
        <f t="shared" si="149"/>
        <v>#DIV/0!</v>
      </c>
      <c r="BE158" s="2" t="e">
        <f t="shared" si="150"/>
        <v>#DIV/0!</v>
      </c>
      <c r="BG158" s="2" t="e">
        <f t="shared" si="124"/>
        <v>#DIV/0!</v>
      </c>
      <c r="BH158" s="2" t="e">
        <f t="shared" si="125"/>
        <v>#DIV/0!</v>
      </c>
      <c r="BL158" s="8" t="e">
        <f t="shared" si="151"/>
        <v>#DIV/0!</v>
      </c>
      <c r="BM158" s="2" t="e">
        <f t="shared" si="152"/>
        <v>#DIV/0!</v>
      </c>
      <c r="BO158" s="2" t="e">
        <f t="shared" si="126"/>
        <v>#DIV/0!</v>
      </c>
      <c r="BP158" s="2" t="e">
        <f t="shared" si="127"/>
        <v>#DIV/0!</v>
      </c>
    </row>
    <row r="159" spans="1:68" x14ac:dyDescent="0.2">
      <c r="A159" s="2">
        <f t="shared" si="114"/>
        <v>9.9166666666666679</v>
      </c>
      <c r="B159" s="2">
        <f t="shared" si="115"/>
        <v>4.9345367506824088E-5</v>
      </c>
      <c r="C159" s="2">
        <f t="shared" si="128"/>
        <v>4.9345367506824088E-5</v>
      </c>
      <c r="D159" s="8">
        <f t="shared" si="129"/>
        <v>4.9345367506824088E-5</v>
      </c>
      <c r="E159" s="2">
        <f t="shared" si="130"/>
        <v>4.9345367506824088E-5</v>
      </c>
      <c r="H159" s="8" t="e">
        <f t="shared" si="131"/>
        <v>#DIV/0!</v>
      </c>
      <c r="I159" s="2" t="e">
        <f t="shared" si="132"/>
        <v>#DIV/0!</v>
      </c>
      <c r="L159" s="8">
        <f t="shared" si="133"/>
        <v>1.0889023147729326E-2</v>
      </c>
      <c r="M159" s="2">
        <f t="shared" si="134"/>
        <v>1.0889023147729326E-2</v>
      </c>
      <c r="P159" s="8">
        <f t="shared" si="135"/>
        <v>9.1603053435114545E-2</v>
      </c>
      <c r="Q159" s="2">
        <f t="shared" si="136"/>
        <v>9.1603053435114545E-2</v>
      </c>
      <c r="T159" s="8">
        <f t="shared" si="137"/>
        <v>4.9345367506781201E-5</v>
      </c>
      <c r="U159" s="2">
        <f t="shared" si="138"/>
        <v>4.9345367506781201E-5</v>
      </c>
      <c r="X159" s="8">
        <f t="shared" si="139"/>
        <v>1.0889023147729326E-2</v>
      </c>
      <c r="Y159" s="2">
        <f t="shared" si="140"/>
        <v>1.0889023147729326E-2</v>
      </c>
      <c r="AD159" s="8" t="e">
        <f t="shared" si="141"/>
        <v>#DIV/0!</v>
      </c>
      <c r="AE159" s="2" t="e">
        <f t="shared" si="142"/>
        <v>#DIV/0!</v>
      </c>
      <c r="AG159" s="2" t="e">
        <f t="shared" si="116"/>
        <v>#DIV/0!</v>
      </c>
      <c r="AH159" s="2" t="e">
        <f t="shared" si="117"/>
        <v>#DIV/0!</v>
      </c>
      <c r="AJ159" s="8" t="e">
        <f t="shared" si="143"/>
        <v>#DIV/0!</v>
      </c>
      <c r="AK159" s="2" t="e">
        <f t="shared" si="144"/>
        <v>#DIV/0!</v>
      </c>
      <c r="AM159" s="2" t="e">
        <f t="shared" si="118"/>
        <v>#DIV/0!</v>
      </c>
      <c r="AN159" s="2" t="e">
        <f t="shared" si="119"/>
        <v>#DIV/0!</v>
      </c>
      <c r="AP159" s="8" t="e">
        <f t="shared" si="145"/>
        <v>#DIV/0!</v>
      </c>
      <c r="AQ159" s="2" t="e">
        <f t="shared" si="146"/>
        <v>#DIV/0!</v>
      </c>
      <c r="AS159" s="2" t="e">
        <f t="shared" si="120"/>
        <v>#DIV/0!</v>
      </c>
      <c r="AT159" s="16" t="e">
        <f t="shared" si="121"/>
        <v>#DIV/0!</v>
      </c>
      <c r="AV159" s="8" t="e">
        <f t="shared" si="147"/>
        <v>#DIV/0!</v>
      </c>
      <c r="AW159" s="2" t="e">
        <f t="shared" si="148"/>
        <v>#DIV/0!</v>
      </c>
      <c r="AY159" s="2" t="e">
        <f t="shared" si="122"/>
        <v>#DIV/0!</v>
      </c>
      <c r="AZ159" s="2" t="e">
        <f t="shared" si="123"/>
        <v>#DIV/0!</v>
      </c>
      <c r="BD159" s="8" t="e">
        <f t="shared" si="149"/>
        <v>#DIV/0!</v>
      </c>
      <c r="BE159" s="2" t="e">
        <f t="shared" si="150"/>
        <v>#DIV/0!</v>
      </c>
      <c r="BG159" s="2" t="e">
        <f t="shared" si="124"/>
        <v>#DIV/0!</v>
      </c>
      <c r="BH159" s="2" t="e">
        <f t="shared" si="125"/>
        <v>#DIV/0!</v>
      </c>
      <c r="BL159" s="8" t="e">
        <f t="shared" si="151"/>
        <v>#DIV/0!</v>
      </c>
      <c r="BM159" s="2" t="e">
        <f t="shared" si="152"/>
        <v>#DIV/0!</v>
      </c>
      <c r="BO159" s="2" t="e">
        <f t="shared" si="126"/>
        <v>#DIV/0!</v>
      </c>
      <c r="BP159" s="2" t="e">
        <f t="shared" si="127"/>
        <v>#DIV/0!</v>
      </c>
    </row>
    <row r="160" spans="1:68" x14ac:dyDescent="0.2">
      <c r="A160" s="2">
        <f t="shared" si="114"/>
        <v>10.000000000000002</v>
      </c>
      <c r="B160" s="2">
        <f t="shared" si="115"/>
        <v>4.5399929762484773E-5</v>
      </c>
      <c r="C160" s="2">
        <f t="shared" si="128"/>
        <v>4.5399929762484773E-5</v>
      </c>
      <c r="D160" s="8">
        <f t="shared" si="129"/>
        <v>4.5399929762484773E-5</v>
      </c>
      <c r="E160" s="2">
        <f t="shared" si="130"/>
        <v>4.5399929762484773E-5</v>
      </c>
      <c r="H160" s="8" t="e">
        <f t="shared" si="131"/>
        <v>#DIV/0!</v>
      </c>
      <c r="I160" s="2" t="e">
        <f t="shared" si="132"/>
        <v>#DIV/0!</v>
      </c>
      <c r="L160" s="8">
        <f t="shared" si="133"/>
        <v>1.0651099341700165E-2</v>
      </c>
      <c r="M160" s="2">
        <f t="shared" si="134"/>
        <v>1.0651099341700165E-2</v>
      </c>
      <c r="P160" s="8">
        <f t="shared" si="135"/>
        <v>9.0909090909090939E-2</v>
      </c>
      <c r="Q160" s="2">
        <f t="shared" si="136"/>
        <v>9.0909090909090939E-2</v>
      </c>
      <c r="T160" s="8">
        <f t="shared" si="137"/>
        <v>4.5399929762490743E-5</v>
      </c>
      <c r="U160" s="2">
        <f t="shared" si="138"/>
        <v>4.5399929762490743E-5</v>
      </c>
      <c r="X160" s="8">
        <f t="shared" si="139"/>
        <v>1.0651099341700165E-2</v>
      </c>
      <c r="Y160" s="2">
        <f t="shared" si="140"/>
        <v>1.0651099341700165E-2</v>
      </c>
      <c r="AD160" s="8" t="e">
        <f t="shared" si="141"/>
        <v>#DIV/0!</v>
      </c>
      <c r="AE160" s="2" t="e">
        <f t="shared" si="142"/>
        <v>#DIV/0!</v>
      </c>
      <c r="AG160" s="2" t="e">
        <f t="shared" si="116"/>
        <v>#DIV/0!</v>
      </c>
      <c r="AH160" s="2" t="e">
        <f t="shared" si="117"/>
        <v>#DIV/0!</v>
      </c>
      <c r="AJ160" s="8" t="e">
        <f t="shared" si="143"/>
        <v>#DIV/0!</v>
      </c>
      <c r="AK160" s="2" t="e">
        <f t="shared" si="144"/>
        <v>#DIV/0!</v>
      </c>
      <c r="AM160" s="2" t="e">
        <f t="shared" si="118"/>
        <v>#DIV/0!</v>
      </c>
      <c r="AN160" s="2" t="e">
        <f t="shared" si="119"/>
        <v>#DIV/0!</v>
      </c>
      <c r="AP160" s="8" t="e">
        <f t="shared" si="145"/>
        <v>#DIV/0!</v>
      </c>
      <c r="AQ160" s="2" t="e">
        <f t="shared" si="146"/>
        <v>#DIV/0!</v>
      </c>
      <c r="AS160" s="2" t="e">
        <f t="shared" si="120"/>
        <v>#DIV/0!</v>
      </c>
      <c r="AT160" s="16" t="e">
        <f t="shared" si="121"/>
        <v>#DIV/0!</v>
      </c>
      <c r="AV160" s="8" t="e">
        <f t="shared" si="147"/>
        <v>#DIV/0!</v>
      </c>
      <c r="AW160" s="2" t="e">
        <f t="shared" si="148"/>
        <v>#DIV/0!</v>
      </c>
      <c r="AY160" s="2" t="e">
        <f t="shared" si="122"/>
        <v>#DIV/0!</v>
      </c>
      <c r="AZ160" s="2" t="e">
        <f t="shared" si="123"/>
        <v>#DIV/0!</v>
      </c>
      <c r="BD160" s="8" t="e">
        <f t="shared" si="149"/>
        <v>#DIV/0!</v>
      </c>
      <c r="BE160" s="2" t="e">
        <f t="shared" si="150"/>
        <v>#DIV/0!</v>
      </c>
      <c r="BG160" s="2" t="e">
        <f t="shared" si="124"/>
        <v>#DIV/0!</v>
      </c>
      <c r="BH160" s="2" t="e">
        <f t="shared" si="125"/>
        <v>#DIV/0!</v>
      </c>
      <c r="BL160" s="8" t="e">
        <f t="shared" si="151"/>
        <v>#DIV/0!</v>
      </c>
      <c r="BM160" s="2" t="e">
        <f t="shared" si="152"/>
        <v>#DIV/0!</v>
      </c>
      <c r="BO160" s="2" t="e">
        <f t="shared" si="126"/>
        <v>#DIV/0!</v>
      </c>
      <c r="BP160" s="2" t="e">
        <f t="shared" si="127"/>
        <v>#DIV/0!</v>
      </c>
    </row>
  </sheetData>
  <conditionalFormatting sqref="A11:XFD18">
    <cfRule type="cellIs" dxfId="5" priority="3" operator="equal">
      <formula>0</formula>
    </cfRule>
  </conditionalFormatting>
  <conditionalFormatting sqref="A21:A28">
    <cfRule type="cellIs" dxfId="4" priority="2" operator="equal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J156"/>
  <sheetViews>
    <sheetView workbookViewId="0">
      <pane xSplit="1" ySplit="3" topLeftCell="B4" activePane="bottomRight" state="frozenSplit"/>
      <selection pane="topRight" activeCell="B1" sqref="B1"/>
      <selection pane="bottomLeft" activeCell="A4" sqref="A4"/>
      <selection pane="bottomRight" activeCell="B4" sqref="B4"/>
    </sheetView>
  </sheetViews>
  <sheetFormatPr defaultRowHeight="12.75" x14ac:dyDescent="0.2"/>
  <cols>
    <col min="1" max="1" width="20.28515625" style="2" customWidth="1"/>
    <col min="2" max="4" width="18" style="2" customWidth="1"/>
    <col min="5" max="5" width="18" style="8" customWidth="1"/>
    <col min="6" max="8" width="18" style="2" customWidth="1"/>
    <col min="9" max="9" width="18" style="8" customWidth="1"/>
    <col min="10" max="12" width="18" style="2" customWidth="1"/>
    <col min="13" max="13" width="18" style="8" customWidth="1"/>
    <col min="14" max="16" width="18" style="2" customWidth="1"/>
    <col min="17" max="17" width="18" style="8" customWidth="1"/>
    <col min="18" max="20" width="18" style="2" customWidth="1"/>
    <col min="21" max="21" width="18" style="8" customWidth="1"/>
    <col min="22" max="24" width="18" style="2" customWidth="1"/>
    <col min="25" max="25" width="18" style="8" customWidth="1"/>
    <col min="26" max="29" width="18" style="2" customWidth="1"/>
    <col min="30" max="30" width="18" style="8" customWidth="1"/>
    <col min="31" max="34" width="18" style="2" customWidth="1"/>
    <col min="35" max="35" width="18" style="8" customWidth="1"/>
    <col min="36" max="39" width="18" style="2" customWidth="1"/>
    <col min="40" max="40" width="18" style="8" customWidth="1"/>
    <col min="41" max="44" width="18" style="2" customWidth="1"/>
    <col min="45" max="45" width="18" style="8" customWidth="1"/>
    <col min="46" max="50" width="18" style="2" customWidth="1"/>
    <col min="51" max="51" width="18" style="8" customWidth="1"/>
    <col min="52" max="56" width="18" style="2" customWidth="1"/>
    <col min="57" max="57" width="18" style="8" customWidth="1"/>
    <col min="58" max="62" width="18" style="2" customWidth="1"/>
    <col min="63" max="16384" width="9.140625" style="2"/>
  </cols>
  <sheetData>
    <row r="1" spans="1:57" s="4" customFormat="1" x14ac:dyDescent="0.2">
      <c r="E1" s="7"/>
      <c r="I1" s="7"/>
      <c r="M1" s="7"/>
      <c r="Q1" s="7"/>
      <c r="U1" s="7"/>
      <c r="Y1" s="7"/>
      <c r="AD1" s="7"/>
      <c r="AI1" s="7"/>
      <c r="AN1" s="7"/>
      <c r="AS1" s="7"/>
      <c r="AY1" s="7"/>
      <c r="BE1" s="7"/>
    </row>
    <row r="2" spans="1:57" s="4" customFormat="1" x14ac:dyDescent="0.2">
      <c r="E2" s="7"/>
      <c r="I2" s="7"/>
      <c r="M2" s="7"/>
      <c r="Q2" s="7"/>
      <c r="U2" s="7"/>
      <c r="Y2" s="7"/>
      <c r="AD2" s="7"/>
      <c r="AI2" s="7"/>
      <c r="AN2" s="7"/>
      <c r="AS2" s="7"/>
      <c r="AY2" s="7"/>
      <c r="BE2" s="7"/>
    </row>
    <row r="3" spans="1:57" s="4" customFormat="1" x14ac:dyDescent="0.2">
      <c r="E3" s="7"/>
      <c r="I3" s="7"/>
      <c r="M3" s="7"/>
      <c r="Q3" s="7"/>
      <c r="U3" s="7"/>
      <c r="Y3" s="7"/>
      <c r="AD3" s="7"/>
      <c r="AI3" s="7"/>
      <c r="AN3" s="7"/>
      <c r="AS3" s="7"/>
      <c r="AY3" s="7"/>
      <c r="BE3" s="7"/>
    </row>
    <row r="4" spans="1:57" x14ac:dyDescent="0.2">
      <c r="A4" s="1"/>
    </row>
    <row r="5" spans="1:57" x14ac:dyDescent="0.2">
      <c r="A5" s="1"/>
    </row>
    <row r="6" spans="1:57" x14ac:dyDescent="0.2">
      <c r="A6" s="1"/>
    </row>
    <row r="7" spans="1:57" x14ac:dyDescent="0.2">
      <c r="A7" s="1"/>
    </row>
    <row r="8" spans="1:57" x14ac:dyDescent="0.2">
      <c r="A8" s="1"/>
    </row>
    <row r="9" spans="1:57" x14ac:dyDescent="0.2">
      <c r="A9" s="1"/>
    </row>
    <row r="10" spans="1:57" x14ac:dyDescent="0.2">
      <c r="A10" s="1"/>
    </row>
    <row r="11" spans="1:57" x14ac:dyDescent="0.2">
      <c r="A11" s="12"/>
    </row>
    <row r="12" spans="1:57" x14ac:dyDescent="0.2">
      <c r="A12" s="12"/>
    </row>
    <row r="13" spans="1:57" x14ac:dyDescent="0.2">
      <c r="A13" s="12"/>
    </row>
    <row r="14" spans="1:57" x14ac:dyDescent="0.2">
      <c r="A14" s="12"/>
    </row>
    <row r="15" spans="1:57" x14ac:dyDescent="0.2">
      <c r="A15" s="12"/>
    </row>
    <row r="16" spans="1:57" s="5" customFormat="1" ht="13.5" thickBot="1" x14ac:dyDescent="0.25">
      <c r="A16" s="13"/>
      <c r="E16" s="9"/>
      <c r="I16" s="9"/>
      <c r="M16" s="9"/>
      <c r="Q16" s="9"/>
      <c r="U16" s="9"/>
      <c r="Y16" s="9"/>
      <c r="AD16" s="9"/>
      <c r="AI16" s="9"/>
      <c r="AN16" s="9"/>
      <c r="AS16" s="9"/>
      <c r="AY16" s="9"/>
      <c r="BE16" s="9"/>
    </row>
    <row r="17" spans="1:62" x14ac:dyDescent="0.2">
      <c r="A17" s="12"/>
    </row>
    <row r="18" spans="1:62" x14ac:dyDescent="0.2">
      <c r="A18" s="14" t="s">
        <v>10</v>
      </c>
    </row>
    <row r="19" spans="1:62" x14ac:dyDescent="0.2">
      <c r="A19" s="12">
        <v>1</v>
      </c>
      <c r="B19" s="8">
        <f>SQRT(B11)</f>
        <v>0</v>
      </c>
      <c r="E19" s="8">
        <f>SQRT(E11)</f>
        <v>0</v>
      </c>
      <c r="I19" s="8">
        <f>SQRT(I11)</f>
        <v>0</v>
      </c>
      <c r="M19" s="8">
        <f>SQRT(M11)</f>
        <v>0</v>
      </c>
      <c r="Q19" s="8">
        <f>SQRT(Q11)</f>
        <v>0</v>
      </c>
      <c r="U19" s="8">
        <f>SQRT(U11)</f>
        <v>0</v>
      </c>
      <c r="Y19" s="8">
        <f>SQRT(Y11)</f>
        <v>0</v>
      </c>
      <c r="AD19" s="8">
        <f>SQRT(AD11)</f>
        <v>0</v>
      </c>
      <c r="AI19" s="8">
        <f>SQRT(AI11)</f>
        <v>0</v>
      </c>
      <c r="AN19" s="8">
        <f>SQRT(AN11)</f>
        <v>0</v>
      </c>
      <c r="AS19" s="8">
        <f>SQRT(AS11)</f>
        <v>0</v>
      </c>
      <c r="AY19" s="8">
        <f>SQRT(AY11)</f>
        <v>0</v>
      </c>
      <c r="BE19" s="8">
        <f>SQRT(BE11)</f>
        <v>0</v>
      </c>
    </row>
    <row r="20" spans="1:62" x14ac:dyDescent="0.2">
      <c r="A20" s="12">
        <v>2</v>
      </c>
      <c r="B20" s="8" t="e">
        <f>B12/B19</f>
        <v>#DIV/0!</v>
      </c>
      <c r="C20" s="2" t="e">
        <f>SQRT(C12-B20^2)</f>
        <v>#DIV/0!</v>
      </c>
      <c r="E20" s="8" t="e">
        <f>E12/E19</f>
        <v>#DIV/0!</v>
      </c>
      <c r="F20" s="2" t="e">
        <f>SQRT(F12-E20^2)</f>
        <v>#DIV/0!</v>
      </c>
      <c r="I20" s="8" t="e">
        <f>I12/I19</f>
        <v>#DIV/0!</v>
      </c>
      <c r="J20" s="2" t="e">
        <f>SQRT(J12-I20^2)</f>
        <v>#DIV/0!</v>
      </c>
      <c r="M20" s="8" t="e">
        <f>M12/M19</f>
        <v>#DIV/0!</v>
      </c>
      <c r="N20" s="2" t="e">
        <f>SQRT(N12-M20^2)</f>
        <v>#DIV/0!</v>
      </c>
      <c r="Q20" s="8" t="e">
        <f>Q12/Q19</f>
        <v>#DIV/0!</v>
      </c>
      <c r="R20" s="2" t="e">
        <f>SQRT(R12-Q20^2)</f>
        <v>#DIV/0!</v>
      </c>
      <c r="U20" s="8" t="e">
        <f>U12/U19</f>
        <v>#DIV/0!</v>
      </c>
      <c r="V20" s="2" t="e">
        <f>SQRT(V12-U20^2)</f>
        <v>#DIV/0!</v>
      </c>
      <c r="Y20" s="8" t="e">
        <f>Y12/Y19</f>
        <v>#DIV/0!</v>
      </c>
      <c r="Z20" s="2" t="e">
        <f>SQRT(Z12-Y20^2)</f>
        <v>#DIV/0!</v>
      </c>
      <c r="AD20" s="8" t="e">
        <f>AD12/AD19</f>
        <v>#DIV/0!</v>
      </c>
      <c r="AE20" s="2" t="e">
        <f>SQRT(AE12-AD20^2)</f>
        <v>#DIV/0!</v>
      </c>
      <c r="AI20" s="8" t="e">
        <f>AI12/AI19</f>
        <v>#DIV/0!</v>
      </c>
      <c r="AJ20" s="2" t="e">
        <f>SQRT(AJ12-AI20^2)</f>
        <v>#DIV/0!</v>
      </c>
      <c r="AN20" s="8" t="e">
        <f>AN12/AN19</f>
        <v>#DIV/0!</v>
      </c>
      <c r="AO20" s="2" t="e">
        <f>SQRT(AO12-AN20^2)</f>
        <v>#DIV/0!</v>
      </c>
      <c r="AS20" s="8" t="e">
        <f>AS12/AS19</f>
        <v>#DIV/0!</v>
      </c>
      <c r="AT20" s="2" t="e">
        <f>SQRT(AT12-AS20^2)</f>
        <v>#DIV/0!</v>
      </c>
      <c r="AY20" s="8" t="e">
        <f>AY12/AY19</f>
        <v>#DIV/0!</v>
      </c>
      <c r="AZ20" s="2" t="e">
        <f>SQRT(AZ12-AY20^2)</f>
        <v>#DIV/0!</v>
      </c>
      <c r="BE20" s="8" t="e">
        <f>BE12/BE19</f>
        <v>#DIV/0!</v>
      </c>
      <c r="BF20" s="2" t="e">
        <f>SQRT(BF12-BE20^2)</f>
        <v>#DIV/0!</v>
      </c>
    </row>
    <row r="21" spans="1:62" x14ac:dyDescent="0.2">
      <c r="A21" s="12">
        <v>3</v>
      </c>
      <c r="B21" s="8" t="e">
        <f>B13/B19</f>
        <v>#DIV/0!</v>
      </c>
      <c r="C21" s="2" t="e">
        <f>(C13-B21*B20)/C20</f>
        <v>#DIV/0!</v>
      </c>
      <c r="D21" s="2" t="e">
        <f>SQRT(D13-B21^2-C21^2)</f>
        <v>#DIV/0!</v>
      </c>
      <c r="E21" s="8" t="e">
        <f>E13/E19</f>
        <v>#DIV/0!</v>
      </c>
      <c r="F21" s="2" t="e">
        <f>(F13-E21*E20)/F20</f>
        <v>#DIV/0!</v>
      </c>
      <c r="G21" s="2" t="e">
        <f>SQRT(G13-E21^2-F21^2)</f>
        <v>#DIV/0!</v>
      </c>
      <c r="I21" s="8" t="e">
        <f>I13/I19</f>
        <v>#DIV/0!</v>
      </c>
      <c r="J21" s="2" t="e">
        <f>(J13-I21*I20)/J20</f>
        <v>#DIV/0!</v>
      </c>
      <c r="K21" s="2" t="e">
        <f>SQRT(K13-I21^2-J21^2)</f>
        <v>#DIV/0!</v>
      </c>
      <c r="M21" s="8" t="e">
        <f>M13/M19</f>
        <v>#DIV/0!</v>
      </c>
      <c r="N21" s="2" t="e">
        <f>(N13-M21*M20)/N20</f>
        <v>#DIV/0!</v>
      </c>
      <c r="O21" s="2" t="e">
        <f>SQRT(O13-M21^2-N21^2)</f>
        <v>#DIV/0!</v>
      </c>
      <c r="Q21" s="8" t="e">
        <f>Q13/Q19</f>
        <v>#DIV/0!</v>
      </c>
      <c r="R21" s="2" t="e">
        <f>(R13-Q21*Q20)/R20</f>
        <v>#DIV/0!</v>
      </c>
      <c r="S21" s="2" t="e">
        <f>SQRT(S13-Q21^2-R21^2)</f>
        <v>#DIV/0!</v>
      </c>
      <c r="U21" s="8" t="e">
        <f>U13/U19</f>
        <v>#DIV/0!</v>
      </c>
      <c r="V21" s="2" t="e">
        <f>(V13-U21*U20)/V20</f>
        <v>#DIV/0!</v>
      </c>
      <c r="W21" s="2" t="e">
        <f>SQRT(W13-U21^2-V21^2)</f>
        <v>#DIV/0!</v>
      </c>
      <c r="Y21" s="8" t="e">
        <f>Y13/Y19</f>
        <v>#DIV/0!</v>
      </c>
      <c r="Z21" s="2" t="e">
        <f>(Z13-Y21*Y20)/Z20</f>
        <v>#DIV/0!</v>
      </c>
      <c r="AA21" s="2" t="e">
        <f>SQRT(AA13-Y21^2-Z21^2)</f>
        <v>#DIV/0!</v>
      </c>
      <c r="AD21" s="8" t="e">
        <f>AD13/AD19</f>
        <v>#DIV/0!</v>
      </c>
      <c r="AE21" s="2" t="e">
        <f>(AE13-AD21*AD20)/AE20</f>
        <v>#DIV/0!</v>
      </c>
      <c r="AF21" s="2" t="e">
        <f>SQRT(AF13-AD21^2-AE21^2)</f>
        <v>#DIV/0!</v>
      </c>
      <c r="AI21" s="8" t="e">
        <f>AI13/AI19</f>
        <v>#DIV/0!</v>
      </c>
      <c r="AJ21" s="2" t="e">
        <f>(AJ13-AI21*AI20)/AJ20</f>
        <v>#DIV/0!</v>
      </c>
      <c r="AK21" s="2" t="e">
        <f>SQRT(AK13-AI21^2-AJ21^2)</f>
        <v>#DIV/0!</v>
      </c>
      <c r="AN21" s="8" t="e">
        <f>AN13/AN19</f>
        <v>#DIV/0!</v>
      </c>
      <c r="AO21" s="2" t="e">
        <f>(AO13-AN21*AN20)/AO20</f>
        <v>#DIV/0!</v>
      </c>
      <c r="AP21" s="2" t="e">
        <f>SQRT(AP13-AN21^2-AO21^2)</f>
        <v>#DIV/0!</v>
      </c>
      <c r="AS21" s="8" t="e">
        <f>AS13/AS19</f>
        <v>#DIV/0!</v>
      </c>
      <c r="AT21" s="2" t="e">
        <f>(AT13-AS21*AS20)/AT20</f>
        <v>#DIV/0!</v>
      </c>
      <c r="AU21" s="2" t="e">
        <f>SQRT(AU13-AS21^2-AT21^2)</f>
        <v>#DIV/0!</v>
      </c>
      <c r="AY21" s="8" t="e">
        <f>AY13/AY19</f>
        <v>#DIV/0!</v>
      </c>
      <c r="AZ21" s="2" t="e">
        <f>(AZ13-AY21*AY20)/AZ20</f>
        <v>#DIV/0!</v>
      </c>
      <c r="BA21" s="2" t="e">
        <f>SQRT(BA13-AY21^2-AZ21^2)</f>
        <v>#DIV/0!</v>
      </c>
      <c r="BE21" s="8" t="e">
        <f>BE13/BE19</f>
        <v>#DIV/0!</v>
      </c>
      <c r="BF21" s="2" t="e">
        <f>(BF13-BE21*BE20)/BF20</f>
        <v>#DIV/0!</v>
      </c>
      <c r="BG21" s="2" t="e">
        <f>SQRT(BG13-BE21^2-BF21^2)</f>
        <v>#DIV/0!</v>
      </c>
    </row>
    <row r="22" spans="1:62" x14ac:dyDescent="0.2">
      <c r="A22" s="12">
        <v>4</v>
      </c>
      <c r="B22" s="8"/>
      <c r="E22" s="8" t="e">
        <f>E14/E19</f>
        <v>#DIV/0!</v>
      </c>
      <c r="F22" s="2" t="e">
        <f>(F14-E22*E20)/F20</f>
        <v>#DIV/0!</v>
      </c>
      <c r="G22" s="2" t="e">
        <f>(G14-E21*E22-F21*F22)/G21</f>
        <v>#DIV/0!</v>
      </c>
      <c r="H22" s="2" t="e">
        <f>SQRT(H14-E22^2-F22^2-G22^2)</f>
        <v>#DIV/0!</v>
      </c>
      <c r="I22" s="8" t="e">
        <f>I14/I19</f>
        <v>#DIV/0!</v>
      </c>
      <c r="J22" s="2" t="e">
        <f>(J14-I22*I20)/J20</f>
        <v>#DIV/0!</v>
      </c>
      <c r="K22" s="2" t="e">
        <f>(K14-I21*I22-J21*J22)/K21</f>
        <v>#DIV/0!</v>
      </c>
      <c r="L22" s="2" t="e">
        <f>SQRT(L14-I22^2-J22^2-K22^2)</f>
        <v>#DIV/0!</v>
      </c>
      <c r="M22" s="8" t="e">
        <f>M14/M19</f>
        <v>#DIV/0!</v>
      </c>
      <c r="N22" s="2" t="e">
        <f>(N14-M22*M20)/N20</f>
        <v>#DIV/0!</v>
      </c>
      <c r="O22" s="2" t="e">
        <f>(O14-M21*M22-N21*N22)/O21</f>
        <v>#DIV/0!</v>
      </c>
      <c r="P22" s="2" t="e">
        <f>SQRT(P14-M22^2-N22^2-O22^2)</f>
        <v>#DIV/0!</v>
      </c>
      <c r="Q22" s="8" t="e">
        <f>Q14/Q19</f>
        <v>#DIV/0!</v>
      </c>
      <c r="R22" s="2" t="e">
        <f>(R14-Q22*Q20)/R20</f>
        <v>#DIV/0!</v>
      </c>
      <c r="S22" s="2" t="e">
        <f>(S14-Q21*Q22-R21*R22)/S21</f>
        <v>#DIV/0!</v>
      </c>
      <c r="T22" s="2" t="e">
        <f>SQRT(T14-Q22^2-R22^2-S22^2)</f>
        <v>#DIV/0!</v>
      </c>
      <c r="U22" s="8" t="e">
        <f>U14/U19</f>
        <v>#DIV/0!</v>
      </c>
      <c r="V22" s="2" t="e">
        <f>(V14-U22*U20)/V20</f>
        <v>#DIV/0!</v>
      </c>
      <c r="W22" s="2" t="e">
        <f>(W14-U21*U22-V21*V22)/W21</f>
        <v>#DIV/0!</v>
      </c>
      <c r="X22" s="2" t="e">
        <f>SQRT(X14-U22^2-V22^2-W22^2)</f>
        <v>#DIV/0!</v>
      </c>
      <c r="Y22" s="8" t="e">
        <f>Y14/Y19</f>
        <v>#DIV/0!</v>
      </c>
      <c r="Z22" s="2" t="e">
        <f>(Z14-Y22*Y20)/Z20</f>
        <v>#DIV/0!</v>
      </c>
      <c r="AA22" s="2" t="e">
        <f>(AA14-Y21*Y22-Z21*Z22)/AA21</f>
        <v>#DIV/0!</v>
      </c>
      <c r="AB22" s="2" t="e">
        <f>SQRT(AB14-Y22^2-Z22^2-AA22^2)</f>
        <v>#DIV/0!</v>
      </c>
      <c r="AD22" s="8" t="e">
        <f>AD14/AD19</f>
        <v>#DIV/0!</v>
      </c>
      <c r="AE22" s="2" t="e">
        <f>(AE14-AD22*AD20)/AE20</f>
        <v>#DIV/0!</v>
      </c>
      <c r="AF22" s="2" t="e">
        <f>(AF14-AD21*AD22-AE21*AE22)/AF21</f>
        <v>#DIV/0!</v>
      </c>
      <c r="AG22" s="2" t="e">
        <f>SQRT(AG14-AD22^2-AE22^2-AF22^2)</f>
        <v>#DIV/0!</v>
      </c>
      <c r="AI22" s="8" t="e">
        <f>AI14/AI19</f>
        <v>#DIV/0!</v>
      </c>
      <c r="AJ22" s="2" t="e">
        <f>(AJ14-AI22*AI20)/AJ20</f>
        <v>#DIV/0!</v>
      </c>
      <c r="AK22" s="2" t="e">
        <f>(AK14-AI21*AI22-AJ21*AJ22)/AK21</f>
        <v>#DIV/0!</v>
      </c>
      <c r="AL22" s="2" t="e">
        <f>SQRT(AL14-AI22^2-AJ22^2-AK22^2)</f>
        <v>#DIV/0!</v>
      </c>
      <c r="AN22" s="8" t="e">
        <f>AN14/AN19</f>
        <v>#DIV/0!</v>
      </c>
      <c r="AO22" s="2" t="e">
        <f>(AO14-AN22*AN20)/AO20</f>
        <v>#DIV/0!</v>
      </c>
      <c r="AP22" s="2" t="e">
        <f>(AP14-AN21*AN22-AO21*AO22)/AP21</f>
        <v>#DIV/0!</v>
      </c>
      <c r="AQ22" s="2" t="e">
        <f>SQRT(AQ14-AN22^2-AO22^2-AP22^2)</f>
        <v>#DIV/0!</v>
      </c>
      <c r="AS22" s="8" t="e">
        <f>AS14/AS19</f>
        <v>#DIV/0!</v>
      </c>
      <c r="AT22" s="2" t="e">
        <f>(AT14-AS22*AS20)/AT20</f>
        <v>#DIV/0!</v>
      </c>
      <c r="AU22" s="2" t="e">
        <f>(AU14-AS21*AS22-AT21*AT22)/AU21</f>
        <v>#DIV/0!</v>
      </c>
      <c r="AV22" s="2" t="e">
        <f>SQRT(AV14-AS22^2-AT22^2-AU22^2)</f>
        <v>#DIV/0!</v>
      </c>
      <c r="AY22" s="8" t="e">
        <f>AY14/AY19</f>
        <v>#DIV/0!</v>
      </c>
      <c r="AZ22" s="2" t="e">
        <f>(AZ14-AY22*AY20)/AZ20</f>
        <v>#DIV/0!</v>
      </c>
      <c r="BA22" s="2" t="e">
        <f>(BA14-AY21*AY22-AZ21*AZ22)/BA21</f>
        <v>#DIV/0!</v>
      </c>
      <c r="BB22" s="2" t="e">
        <f>SQRT(BB14-AY22^2-AZ22^2-BA22^2)</f>
        <v>#DIV/0!</v>
      </c>
      <c r="BE22" s="8" t="e">
        <f>BE14/BE19</f>
        <v>#DIV/0!</v>
      </c>
      <c r="BF22" s="2" t="e">
        <f>(BF14-BE22*BE20)/BF20</f>
        <v>#DIV/0!</v>
      </c>
      <c r="BG22" s="2" t="e">
        <f>(BG14-BE21*BE22-BF21*BF22)/BG21</f>
        <v>#DIV/0!</v>
      </c>
      <c r="BH22" s="2" t="e">
        <f>SQRT(BH14-BE22^2-BF22^2-BG22^2)</f>
        <v>#DIV/0!</v>
      </c>
    </row>
    <row r="23" spans="1:62" x14ac:dyDescent="0.2">
      <c r="A23" s="12">
        <v>5</v>
      </c>
      <c r="B23" s="8"/>
      <c r="Y23" s="8" t="e">
        <f>Y15/Y19</f>
        <v>#DIV/0!</v>
      </c>
      <c r="Z23" s="2" t="e">
        <f>(Z15-Y23*Y20)/Z20</f>
        <v>#DIV/0!</v>
      </c>
      <c r="AA23" s="2" t="e">
        <f>(AA15-Y21*Y23-Z21*Z23)/AA21</f>
        <v>#DIV/0!</v>
      </c>
      <c r="AB23" s="2" t="e">
        <f>(AB15-Y22*Y23-Z22*Z23-AA22*AA23)/AB22</f>
        <v>#DIV/0!</v>
      </c>
      <c r="AC23" s="2" t="e">
        <f>SQRT(AC15-Y23^2-Z23^2-AA23^2-AB23^2)</f>
        <v>#DIV/0!</v>
      </c>
      <c r="AD23" s="8" t="e">
        <f>AD15/AD19</f>
        <v>#DIV/0!</v>
      </c>
      <c r="AE23" s="2" t="e">
        <f>(AE15-AD23*AD20)/AE20</f>
        <v>#DIV/0!</v>
      </c>
      <c r="AF23" s="2" t="e">
        <f>(AF15-AD21*AD23-AE21*AE23)/AF21</f>
        <v>#DIV/0!</v>
      </c>
      <c r="AG23" s="2" t="e">
        <f>(AG15-AD22*AD23-AE22*AE23-AF22*AF23)/AG22</f>
        <v>#DIV/0!</v>
      </c>
      <c r="AH23" s="2" t="e">
        <f>SQRT(AH15-AD23^2-AE23^2-AF23^2-AG23^2)</f>
        <v>#DIV/0!</v>
      </c>
      <c r="AI23" s="8" t="e">
        <f>AI15/AI19</f>
        <v>#DIV/0!</v>
      </c>
      <c r="AJ23" s="2" t="e">
        <f>(AJ15-AI23*AI20)/AJ20</f>
        <v>#DIV/0!</v>
      </c>
      <c r="AK23" s="2" t="e">
        <f>(AK15-AI21*AI23-AJ21*AJ23)/AK21</f>
        <v>#DIV/0!</v>
      </c>
      <c r="AL23" s="2" t="e">
        <f>(AL15-AI22*AI23-AJ22*AJ23-AK22*AK23)/AL22</f>
        <v>#DIV/0!</v>
      </c>
      <c r="AM23" s="2" t="e">
        <f>SQRT(AM15-AI23^2-AJ23^2-AK23^2-AL23^2)</f>
        <v>#DIV/0!</v>
      </c>
      <c r="AN23" s="8" t="e">
        <f>AN15/AN19</f>
        <v>#DIV/0!</v>
      </c>
      <c r="AO23" s="2" t="e">
        <f>(AO15-AN23*AN20)/AO20</f>
        <v>#DIV/0!</v>
      </c>
      <c r="AP23" s="2" t="e">
        <f>(AP15-AN21*AN23-AO21*AO23)/AP21</f>
        <v>#DIV/0!</v>
      </c>
      <c r="AQ23" s="2" t="e">
        <f>(AQ15-AN22*AN23-AO22*AO23-AP22*AP23)/AQ22</f>
        <v>#DIV/0!</v>
      </c>
      <c r="AR23" s="2" t="e">
        <f>SQRT(AR15-AN23^2-AO23^2-AP23^2-AQ23^2)</f>
        <v>#DIV/0!</v>
      </c>
      <c r="AS23" s="8" t="e">
        <f>AS15/AS19</f>
        <v>#DIV/0!</v>
      </c>
      <c r="AT23" s="2" t="e">
        <f>(AT15-AS23*AS20)/AT20</f>
        <v>#DIV/0!</v>
      </c>
      <c r="AU23" s="2" t="e">
        <f>(AU15-AS21*AS23-AT21*AT23)/AU21</f>
        <v>#DIV/0!</v>
      </c>
      <c r="AV23" s="2" t="e">
        <f>(AV15-AS22*AS23-AT22*AT23-AU22*AU23)/AV22</f>
        <v>#DIV/0!</v>
      </c>
      <c r="AW23" s="2" t="e">
        <f>SQRT(AW15-AS23^2-AT23^2-AU23^2-AV23^2)</f>
        <v>#DIV/0!</v>
      </c>
      <c r="AY23" s="8" t="e">
        <f>AY15/AY19</f>
        <v>#DIV/0!</v>
      </c>
      <c r="AZ23" s="2" t="e">
        <f>(AZ15-AY23*AY20)/AZ20</f>
        <v>#DIV/0!</v>
      </c>
      <c r="BA23" s="2" t="e">
        <f>(BA15-AY21*AY23-AZ21*AZ23)/BA21</f>
        <v>#DIV/0!</v>
      </c>
      <c r="BB23" s="2" t="e">
        <f>(BB15-AY22*AY23-AZ22*AZ23-BA22*BA23)/BB22</f>
        <v>#DIV/0!</v>
      </c>
      <c r="BC23" s="2" t="e">
        <f>SQRT(BC15-AY23^2-AZ23^2-BA23^2-BB23^2)</f>
        <v>#DIV/0!</v>
      </c>
      <c r="BE23" s="8" t="e">
        <f>BE15/BE19</f>
        <v>#DIV/0!</v>
      </c>
      <c r="BF23" s="2" t="e">
        <f>(BF15-BE23*BE20)/BF20</f>
        <v>#DIV/0!</v>
      </c>
      <c r="BG23" s="2" t="e">
        <f>(BG15-BE21*BE23-BF21*BF23)/BG21</f>
        <v>#DIV/0!</v>
      </c>
      <c r="BH23" s="2" t="e">
        <f>(BH15-BE22*BE23-BF22*BF23-BG22*BG23)/BH22</f>
        <v>#DIV/0!</v>
      </c>
      <c r="BI23" s="2" t="e">
        <f>SQRT(BI15-BE23^2-BF23^2-BG23^2-BH23^2)</f>
        <v>#DIV/0!</v>
      </c>
    </row>
    <row r="24" spans="1:62" x14ac:dyDescent="0.2">
      <c r="A24" s="15">
        <v>6</v>
      </c>
      <c r="B24" s="8"/>
      <c r="AS24" s="8" t="e">
        <f>AS16/AS19</f>
        <v>#DIV/0!</v>
      </c>
      <c r="AT24" s="2" t="e">
        <f>(AT16-AS24*AS20)/AT20</f>
        <v>#DIV/0!</v>
      </c>
      <c r="AU24" s="2" t="e">
        <f>(AU16-AS21*AS24-AT21*AT24)/AU21</f>
        <v>#DIV/0!</v>
      </c>
      <c r="AV24" s="2" t="e">
        <f>(AV16-AS22*AS24-AT22*AT24-AU22*AU24)/AV22</f>
        <v>#DIV/0!</v>
      </c>
      <c r="AW24" s="2" t="e">
        <f>(AW16-AS23*AS24-AT23*AT24-AU23*AU24-AV23*AV24)/AW23</f>
        <v>#DIV/0!</v>
      </c>
      <c r="AX24" s="2" t="e">
        <f>SQRT(AX16-AS24^2-AT24^2-AU24^2-AV24^2-AW24^2)</f>
        <v>#DIV/0!</v>
      </c>
      <c r="AY24" s="8" t="e">
        <f>AY16/AY19</f>
        <v>#DIV/0!</v>
      </c>
      <c r="AZ24" s="2" t="e">
        <f>(AZ16-AY24*AY20)/AZ20</f>
        <v>#DIV/0!</v>
      </c>
      <c r="BA24" s="2" t="e">
        <f>(BA16-AY21*AY24-AZ21*AZ24)/BA21</f>
        <v>#DIV/0!</v>
      </c>
      <c r="BB24" s="2" t="e">
        <f>(BB16-AY22*AY24-AZ22*AZ24-BA22*BA24)/BB22</f>
        <v>#DIV/0!</v>
      </c>
      <c r="BC24" s="2" t="e">
        <f>(BC16-AY23*AY24-AZ23*AZ24-BA23*BA24-BB23*BB24)/BC23</f>
        <v>#DIV/0!</v>
      </c>
      <c r="BD24" s="2" t="e">
        <f>SQRT(BD16-AY24^2-AZ24^2-BA24^2-BB24^2-BC24^2)</f>
        <v>#DIV/0!</v>
      </c>
      <c r="BE24" s="8" t="e">
        <f>BE16/BE19</f>
        <v>#DIV/0!</v>
      </c>
      <c r="BF24" s="2" t="e">
        <f>(BF16-BE24*BE20)/BF20</f>
        <v>#DIV/0!</v>
      </c>
      <c r="BG24" s="2" t="e">
        <f>(BG16-BE21*BE24-BF21*BF24)/BG21</f>
        <v>#DIV/0!</v>
      </c>
      <c r="BH24" s="2" t="e">
        <f>(BH16-BE22*BE24-BF22*BF24-BG22*BG24)/BH22</f>
        <v>#DIV/0!</v>
      </c>
      <c r="BI24" s="2" t="e">
        <f>(BI16-BE23*BE24-BF23*BF24-BG23*BG24-BH23*BH24)/BI23</f>
        <v>#DIV/0!</v>
      </c>
      <c r="BJ24" s="2" t="e">
        <f>SQRT(BJ16-BE24^2-BF24^2-BG24^2-BH24^2-BI24^2)</f>
        <v>#DIV/0!</v>
      </c>
    </row>
    <row r="25" spans="1:62" x14ac:dyDescent="0.2">
      <c r="A25" s="6"/>
      <c r="B25" s="8"/>
    </row>
    <row r="26" spans="1:62" x14ac:dyDescent="0.2">
      <c r="A26" s="6" t="s">
        <v>11</v>
      </c>
      <c r="B26" s="8">
        <f ca="1">NORMINV(RAND(),0,1)</f>
        <v>0.13134741475709855</v>
      </c>
      <c r="C26" s="2">
        <f t="shared" ref="C26:D26" ca="1" si="0">NORMINV(RAND(),0,1)</f>
        <v>0.41217782776297274</v>
      </c>
      <c r="D26" s="2">
        <f t="shared" ca="1" si="0"/>
        <v>1.0422835553368146</v>
      </c>
      <c r="E26" s="8">
        <f ca="1">NORMINV(RAND(),0,1)</f>
        <v>0.50191675678737913</v>
      </c>
      <c r="F26" s="2">
        <f t="shared" ref="F26:H26" ca="1" si="1">NORMINV(RAND(),0,1)</f>
        <v>0.54906376687601199</v>
      </c>
      <c r="G26" s="2">
        <f t="shared" ca="1" si="1"/>
        <v>1.1993646721554989</v>
      </c>
      <c r="H26" s="2">
        <f t="shared" ca="1" si="1"/>
        <v>0.21029991283475344</v>
      </c>
      <c r="I26" s="8">
        <f ca="1">NORMINV(RAND(),0,1)</f>
        <v>0.47641532826043992</v>
      </c>
      <c r="J26" s="2">
        <f t="shared" ref="J26:L26" ca="1" si="2">NORMINV(RAND(),0,1)</f>
        <v>1.006151004224648</v>
      </c>
      <c r="K26" s="2">
        <f t="shared" ca="1" si="2"/>
        <v>0.23457471912971514</v>
      </c>
      <c r="L26" s="2">
        <f t="shared" ca="1" si="2"/>
        <v>-0.40561587616472439</v>
      </c>
      <c r="M26" s="8">
        <f ca="1">NORMINV(RAND(),0,1)</f>
        <v>1.1463053700277888</v>
      </c>
      <c r="N26" s="2">
        <f t="shared" ref="N26:P26" ca="1" si="3">NORMINV(RAND(),0,1)</f>
        <v>1.782042393126456</v>
      </c>
      <c r="O26" s="2">
        <f t="shared" ca="1" si="3"/>
        <v>-1.4682773762000569</v>
      </c>
      <c r="P26" s="2">
        <f t="shared" ca="1" si="3"/>
        <v>-0.8424284270254907</v>
      </c>
      <c r="Q26" s="8">
        <f ca="1">NORMINV(RAND(),0,1)</f>
        <v>-0.51548066018944161</v>
      </c>
      <c r="R26" s="2">
        <f t="shared" ref="R26:T26" ca="1" si="4">NORMINV(RAND(),0,1)</f>
        <v>0.76183564010200422</v>
      </c>
      <c r="S26" s="2">
        <f t="shared" ca="1" si="4"/>
        <v>-0.95147878810422204</v>
      </c>
      <c r="T26" s="2">
        <f t="shared" ca="1" si="4"/>
        <v>-0.37228413973606195</v>
      </c>
      <c r="U26" s="8">
        <f ca="1">NORMINV(RAND(),0,1)</f>
        <v>-0.1346724915109869</v>
      </c>
      <c r="V26" s="2">
        <f t="shared" ref="V26:X26" ca="1" si="5">NORMINV(RAND(),0,1)</f>
        <v>0.77257458579371707</v>
      </c>
      <c r="W26" s="2">
        <f t="shared" ca="1" si="5"/>
        <v>2.4393030141560099</v>
      </c>
      <c r="X26" s="2">
        <f t="shared" ca="1" si="5"/>
        <v>-1.6282305078243215</v>
      </c>
      <c r="Y26" s="8">
        <f ca="1">NORMINV(RAND(),0,1)</f>
        <v>1.4577049518956204</v>
      </c>
      <c r="Z26" s="2">
        <f t="shared" ref="Z26:AC26" ca="1" si="6">NORMINV(RAND(),0,1)</f>
        <v>-1.6623501175633311</v>
      </c>
      <c r="AA26" s="2">
        <f t="shared" ca="1" si="6"/>
        <v>0.14125818975389035</v>
      </c>
      <c r="AB26" s="2">
        <f t="shared" ca="1" si="6"/>
        <v>-0.84728135551258155</v>
      </c>
      <c r="AC26" s="2">
        <f t="shared" ca="1" si="6"/>
        <v>-0.15919630938433327</v>
      </c>
      <c r="AD26" s="8">
        <f ca="1">NORMINV(RAND(),0,1)</f>
        <v>7.9492909662643996E-2</v>
      </c>
      <c r="AE26" s="2">
        <f t="shared" ref="AE26:AH26" ca="1" si="7">NORMINV(RAND(),0,1)</f>
        <v>0.12795734747283105</v>
      </c>
      <c r="AF26" s="2">
        <f t="shared" ca="1" si="7"/>
        <v>-0.45862164940789746</v>
      </c>
      <c r="AG26" s="2">
        <f t="shared" ca="1" si="7"/>
        <v>0.1012794430296448</v>
      </c>
      <c r="AH26" s="2">
        <f t="shared" ca="1" si="7"/>
        <v>1.151642963984421</v>
      </c>
      <c r="AI26" s="8">
        <f ca="1">NORMINV(RAND(),0,1)</f>
        <v>0.33748929509525644</v>
      </c>
      <c r="AJ26" s="2">
        <f t="shared" ref="AJ26:AM26" ca="1" si="8">NORMINV(RAND(),0,1)</f>
        <v>-0.40690773204935748</v>
      </c>
      <c r="AK26" s="2">
        <f t="shared" ca="1" si="8"/>
        <v>0.36691239078912474</v>
      </c>
      <c r="AL26" s="2">
        <f t="shared" ca="1" si="8"/>
        <v>0.85420941148894092</v>
      </c>
      <c r="AM26" s="2">
        <f t="shared" ca="1" si="8"/>
        <v>1.1204488721380219</v>
      </c>
      <c r="AN26" s="8">
        <f ca="1">NORMINV(RAND(),0,1)</f>
        <v>0.49920030639133806</v>
      </c>
      <c r="AO26" s="2">
        <f t="shared" ref="AO26:AR26" ca="1" si="9">NORMINV(RAND(),0,1)</f>
        <v>-1.4324534916916545</v>
      </c>
      <c r="AP26" s="2">
        <f t="shared" ca="1" si="9"/>
        <v>4.483417231441373E-2</v>
      </c>
      <c r="AQ26" s="2">
        <f t="shared" ca="1" si="9"/>
        <v>-2.0766431277890818</v>
      </c>
      <c r="AR26" s="2">
        <f t="shared" ca="1" si="9"/>
        <v>0.88688639881198095</v>
      </c>
      <c r="AS26" s="8">
        <f ca="1">NORMINV(RAND(),0,1)</f>
        <v>-0.44156034731125038</v>
      </c>
      <c r="AT26" s="2">
        <f t="shared" ref="AT26:AX26" ca="1" si="10">NORMINV(RAND(),0,1)</f>
        <v>0.63431568251026471</v>
      </c>
      <c r="AU26" s="2">
        <f t="shared" ca="1" si="10"/>
        <v>-1.2217046079128429</v>
      </c>
      <c r="AV26" s="2">
        <f t="shared" ca="1" si="10"/>
        <v>-0.74847366909884672</v>
      </c>
      <c r="AW26" s="2">
        <f t="shared" ca="1" si="10"/>
        <v>-1.4318116795166471</v>
      </c>
      <c r="AX26" s="2">
        <f t="shared" ca="1" si="10"/>
        <v>-0.42712850747215281</v>
      </c>
      <c r="AY26" s="8">
        <f ca="1">NORMINV(RAND(),0,1)</f>
        <v>-1.6688567960900773</v>
      </c>
      <c r="AZ26" s="2">
        <f t="shared" ref="AZ26:BD26" ca="1" si="11">NORMINV(RAND(),0,1)</f>
        <v>-0.30245982633946622</v>
      </c>
      <c r="BA26" s="2">
        <f t="shared" ca="1" si="11"/>
        <v>0.60660311885697782</v>
      </c>
      <c r="BB26" s="2">
        <f t="shared" ca="1" si="11"/>
        <v>-0.91595324139930256</v>
      </c>
      <c r="BC26" s="2">
        <f t="shared" ca="1" si="11"/>
        <v>-0.19666291889213655</v>
      </c>
      <c r="BD26" s="2">
        <f t="shared" ca="1" si="11"/>
        <v>0.70313144799000282</v>
      </c>
      <c r="BE26" s="8">
        <f ca="1">NORMINV(RAND(),0,1)</f>
        <v>-0.67923308794657855</v>
      </c>
      <c r="BF26" s="2">
        <f t="shared" ref="BF26:BJ26" ca="1" si="12">NORMINV(RAND(),0,1)</f>
        <v>-1.9300774328708223</v>
      </c>
      <c r="BG26" s="2">
        <f t="shared" ca="1" si="12"/>
        <v>-0.74163486866020845</v>
      </c>
      <c r="BH26" s="2">
        <f t="shared" ca="1" si="12"/>
        <v>-2.1262911453480342</v>
      </c>
      <c r="BI26" s="2">
        <f t="shared" ca="1" si="12"/>
        <v>1.3093536276953917</v>
      </c>
      <c r="BJ26" s="2">
        <f t="shared" ca="1" si="12"/>
        <v>-1.1264525579380826</v>
      </c>
    </row>
    <row r="27" spans="1:62" x14ac:dyDescent="0.2">
      <c r="A27" s="6" t="s">
        <v>12</v>
      </c>
      <c r="B27" s="8">
        <f ca="1">SUMPRODUCT(B19:B19,B26:B26)</f>
        <v>0</v>
      </c>
      <c r="C27" s="2" t="e">
        <f>SUMPRODUCT(B20:C20,B26:C26)</f>
        <v>#DIV/0!</v>
      </c>
      <c r="D27" s="2" t="e">
        <f>SUMPRODUCT(B21:D21,B26:D26)</f>
        <v>#DIV/0!</v>
      </c>
      <c r="E27" s="8">
        <f ca="1">SUMPRODUCT(E19:E19,E26:E26)</f>
        <v>0</v>
      </c>
      <c r="F27" s="2" t="e">
        <f>SUMPRODUCT(E20:F20,E26:F26)</f>
        <v>#DIV/0!</v>
      </c>
      <c r="G27" s="2" t="e">
        <f>SUMPRODUCT(E21:G21,E26:G26)</f>
        <v>#DIV/0!</v>
      </c>
      <c r="H27" s="2" t="e">
        <f>SUMPRODUCT(E22:H22,E26:H26)</f>
        <v>#DIV/0!</v>
      </c>
      <c r="I27" s="8">
        <f ca="1">SUMPRODUCT(I19:I19,I26:I26)</f>
        <v>0</v>
      </c>
      <c r="J27" s="2" t="e">
        <f>SUMPRODUCT(I20:J20,I26:J26)</f>
        <v>#DIV/0!</v>
      </c>
      <c r="K27" s="2" t="e">
        <f>SUMPRODUCT(I21:K21,I26:K26)</f>
        <v>#DIV/0!</v>
      </c>
      <c r="L27" s="2" t="e">
        <f>SUMPRODUCT(I22:L22,I26:L26)</f>
        <v>#DIV/0!</v>
      </c>
      <c r="M27" s="8">
        <f ca="1">SUMPRODUCT(M19:M19,M26:M26)</f>
        <v>0</v>
      </c>
      <c r="N27" s="2" t="e">
        <f>SUMPRODUCT(M20:N20,M26:N26)</f>
        <v>#DIV/0!</v>
      </c>
      <c r="O27" s="2" t="e">
        <f>SUMPRODUCT(M21:O21,M26:O26)</f>
        <v>#DIV/0!</v>
      </c>
      <c r="P27" s="2" t="e">
        <f>SUMPRODUCT(M22:P22,M26:P26)</f>
        <v>#DIV/0!</v>
      </c>
      <c r="Q27" s="8">
        <f ca="1">SUMPRODUCT(Q19:Q19,Q26:Q26)</f>
        <v>0</v>
      </c>
      <c r="R27" s="2" t="e">
        <f>SUMPRODUCT(Q20:R20,Q26:R26)</f>
        <v>#DIV/0!</v>
      </c>
      <c r="S27" s="2" t="e">
        <f>SUMPRODUCT(Q21:S21,Q26:S26)</f>
        <v>#DIV/0!</v>
      </c>
      <c r="T27" s="2" t="e">
        <f>SUMPRODUCT(Q22:T22,Q26:T26)</f>
        <v>#DIV/0!</v>
      </c>
      <c r="U27" s="8">
        <f ca="1">SUMPRODUCT(U19:U19,U26:U26)</f>
        <v>0</v>
      </c>
      <c r="V27" s="2" t="e">
        <f>SUMPRODUCT(U20:V20,U26:V26)</f>
        <v>#DIV/0!</v>
      </c>
      <c r="W27" s="2" t="e">
        <f>SUMPRODUCT(U21:W21,U26:W26)</f>
        <v>#DIV/0!</v>
      </c>
      <c r="X27" s="2" t="e">
        <f>SUMPRODUCT(U22:X22,U26:X26)</f>
        <v>#DIV/0!</v>
      </c>
      <c r="Y27" s="8">
        <f ca="1">SUMPRODUCT(Y19:Y19,Y26:Y26)</f>
        <v>0</v>
      </c>
      <c r="Z27" s="2" t="e">
        <f>SUMPRODUCT(Y20:Z20,Y26:Z26)</f>
        <v>#DIV/0!</v>
      </c>
      <c r="AA27" s="2" t="e">
        <f>SUMPRODUCT(Y21:AA21,Y26:AA26)</f>
        <v>#DIV/0!</v>
      </c>
      <c r="AB27" s="2" t="e">
        <f>SUMPRODUCT(Y22:AB22,Y26:AB26)</f>
        <v>#DIV/0!</v>
      </c>
      <c r="AC27" s="2" t="e">
        <f>SUMPRODUCT(Y23:AC23,Y26:AC26)</f>
        <v>#DIV/0!</v>
      </c>
      <c r="AD27" s="8">
        <f ca="1">SUMPRODUCT(AD19:AD19,AD26:AD26)</f>
        <v>0</v>
      </c>
      <c r="AE27" s="2" t="e">
        <f>SUMPRODUCT(AD20:AE20,AD26:AE26)</f>
        <v>#DIV/0!</v>
      </c>
      <c r="AF27" s="2" t="e">
        <f>SUMPRODUCT(AD21:AF21,AD26:AF26)</f>
        <v>#DIV/0!</v>
      </c>
      <c r="AG27" s="2" t="e">
        <f>SUMPRODUCT(AD22:AG22,AD26:AG26)</f>
        <v>#DIV/0!</v>
      </c>
      <c r="AH27" s="2" t="e">
        <f>SUMPRODUCT(AD23:AH23,AD26:AH26)</f>
        <v>#DIV/0!</v>
      </c>
      <c r="AI27" s="8">
        <f ca="1">SUMPRODUCT(AI19:AI19,AI26:AI26)</f>
        <v>0</v>
      </c>
      <c r="AJ27" s="2" t="e">
        <f>SUMPRODUCT(AI20:AJ20,AI26:AJ26)</f>
        <v>#DIV/0!</v>
      </c>
      <c r="AK27" s="2" t="e">
        <f>SUMPRODUCT(AI21:AK21,AI26:AK26)</f>
        <v>#DIV/0!</v>
      </c>
      <c r="AL27" s="2" t="e">
        <f>SUMPRODUCT(AI22:AL22,AI26:AL26)</f>
        <v>#DIV/0!</v>
      </c>
      <c r="AM27" s="2" t="e">
        <f>SUMPRODUCT(AI23:AM23,AI26:AM26)</f>
        <v>#DIV/0!</v>
      </c>
      <c r="AN27" s="8">
        <f ca="1">SUMPRODUCT(AN19:AN19,AN26:AN26)</f>
        <v>0</v>
      </c>
      <c r="AO27" s="2" t="e">
        <f>SUMPRODUCT(AN20:AO20,AN26:AO26)</f>
        <v>#DIV/0!</v>
      </c>
      <c r="AP27" s="2" t="e">
        <f>SUMPRODUCT(AN21:AP21,AN26:AP26)</f>
        <v>#DIV/0!</v>
      </c>
      <c r="AQ27" s="2" t="e">
        <f>SUMPRODUCT(AN22:AQ22,AN26:AQ26)</f>
        <v>#DIV/0!</v>
      </c>
      <c r="AR27" s="2" t="e">
        <f>SUMPRODUCT(AN23:AR23,AN26:AR26)</f>
        <v>#DIV/0!</v>
      </c>
      <c r="AS27" s="8">
        <f ca="1">SUMPRODUCT(AS19:AS19,AS26:AS26)</f>
        <v>0</v>
      </c>
      <c r="AT27" s="2" t="e">
        <f>SUMPRODUCT(AS20:AT20,AS26:AT26)</f>
        <v>#DIV/0!</v>
      </c>
      <c r="AU27" s="2" t="e">
        <f>SUMPRODUCT(AS21:AU21,AS26:AU26)</f>
        <v>#DIV/0!</v>
      </c>
      <c r="AV27" s="2" t="e">
        <f>SUMPRODUCT(AS22:AV22,AS26:AV26)</f>
        <v>#DIV/0!</v>
      </c>
      <c r="AW27" s="2" t="e">
        <f>SUMPRODUCT(AS23:AW23,AS26:AW26)</f>
        <v>#DIV/0!</v>
      </c>
      <c r="AX27" s="2" t="e">
        <f>SUMPRODUCT(AS24:AX24,AS26:AX26)</f>
        <v>#DIV/0!</v>
      </c>
      <c r="AY27" s="8">
        <f ca="1">SUMPRODUCT(AY19:AY19,AY26:AY26)</f>
        <v>0</v>
      </c>
      <c r="AZ27" s="2" t="e">
        <f>SUMPRODUCT(AY20:AZ20,AY26:AZ26)</f>
        <v>#DIV/0!</v>
      </c>
      <c r="BA27" s="2" t="e">
        <f>SUMPRODUCT(AY21:BA21,AY26:BA26)</f>
        <v>#DIV/0!</v>
      </c>
      <c r="BB27" s="2" t="e">
        <f>SUMPRODUCT(AY22:BB22,AY26:BB26)</f>
        <v>#DIV/0!</v>
      </c>
      <c r="BC27" s="2" t="e">
        <f>SUMPRODUCT(AY23:BC23,AY26:BC26)</f>
        <v>#DIV/0!</v>
      </c>
      <c r="BD27" s="2" t="e">
        <f>SUMPRODUCT(AY24:BD24,AY26:BD26)</f>
        <v>#DIV/0!</v>
      </c>
      <c r="BE27" s="8">
        <f ca="1">SUMPRODUCT(BE19:BE19,BE26:BE26)</f>
        <v>0</v>
      </c>
      <c r="BF27" s="2" t="e">
        <f>SUMPRODUCT(BE20:BF20,BE26:BF26)</f>
        <v>#DIV/0!</v>
      </c>
      <c r="BG27" s="2" t="e">
        <f>SUMPRODUCT(BE21:BG21,BE26:BG26)</f>
        <v>#DIV/0!</v>
      </c>
      <c r="BH27" s="2" t="e">
        <f>SUMPRODUCT(BE22:BH22,BE26:BH26)</f>
        <v>#DIV/0!</v>
      </c>
      <c r="BI27" s="2" t="e">
        <f>SUMPRODUCT(BE23:BI23,BE26:BI26)</f>
        <v>#DIV/0!</v>
      </c>
      <c r="BJ27" s="2" t="e">
        <f>SUMPRODUCT(BE24:BJ24,BE26:BJ26)</f>
        <v>#DIV/0!</v>
      </c>
    </row>
    <row r="28" spans="1:62" x14ac:dyDescent="0.2">
      <c r="A28" s="6"/>
      <c r="B28" s="8"/>
    </row>
    <row r="29" spans="1:62" x14ac:dyDescent="0.2">
      <c r="A29" s="1" t="s">
        <v>7</v>
      </c>
      <c r="B29" s="8">
        <f t="shared" ref="B29:AG29" ca="1" si="13">B27+B4</f>
        <v>0</v>
      </c>
      <c r="C29" s="2" t="e">
        <f t="shared" si="13"/>
        <v>#DIV/0!</v>
      </c>
      <c r="D29" s="2" t="e">
        <f t="shared" si="13"/>
        <v>#DIV/0!</v>
      </c>
      <c r="E29" s="8">
        <f t="shared" ca="1" si="13"/>
        <v>0</v>
      </c>
      <c r="F29" s="2" t="e">
        <f t="shared" si="13"/>
        <v>#DIV/0!</v>
      </c>
      <c r="G29" s="2" t="e">
        <f t="shared" si="13"/>
        <v>#DIV/0!</v>
      </c>
      <c r="H29" s="2" t="e">
        <f t="shared" si="13"/>
        <v>#DIV/0!</v>
      </c>
      <c r="I29" s="8">
        <f t="shared" ca="1" si="13"/>
        <v>0</v>
      </c>
      <c r="J29" s="2" t="e">
        <f t="shared" si="13"/>
        <v>#DIV/0!</v>
      </c>
      <c r="K29" s="2" t="e">
        <f t="shared" si="13"/>
        <v>#DIV/0!</v>
      </c>
      <c r="L29" s="2" t="e">
        <f t="shared" si="13"/>
        <v>#DIV/0!</v>
      </c>
      <c r="M29" s="8">
        <f t="shared" ca="1" si="13"/>
        <v>0</v>
      </c>
      <c r="N29" s="2" t="e">
        <f t="shared" si="13"/>
        <v>#DIV/0!</v>
      </c>
      <c r="O29" s="2" t="e">
        <f t="shared" si="13"/>
        <v>#DIV/0!</v>
      </c>
      <c r="P29" s="2" t="e">
        <f t="shared" si="13"/>
        <v>#DIV/0!</v>
      </c>
      <c r="Q29" s="8">
        <f t="shared" ca="1" si="13"/>
        <v>0</v>
      </c>
      <c r="R29" s="2" t="e">
        <f t="shared" si="13"/>
        <v>#DIV/0!</v>
      </c>
      <c r="S29" s="2" t="e">
        <f t="shared" si="13"/>
        <v>#DIV/0!</v>
      </c>
      <c r="T29" s="2" t="e">
        <f t="shared" si="13"/>
        <v>#DIV/0!</v>
      </c>
      <c r="U29" s="8">
        <f t="shared" ca="1" si="13"/>
        <v>0</v>
      </c>
      <c r="V29" s="2" t="e">
        <f t="shared" si="13"/>
        <v>#DIV/0!</v>
      </c>
      <c r="W29" s="2" t="e">
        <f t="shared" si="13"/>
        <v>#DIV/0!</v>
      </c>
      <c r="X29" s="2" t="e">
        <f t="shared" si="13"/>
        <v>#DIV/0!</v>
      </c>
      <c r="Y29" s="8">
        <f t="shared" ca="1" si="13"/>
        <v>0</v>
      </c>
      <c r="Z29" s="2" t="e">
        <f t="shared" si="13"/>
        <v>#DIV/0!</v>
      </c>
      <c r="AA29" s="2" t="e">
        <f t="shared" si="13"/>
        <v>#DIV/0!</v>
      </c>
      <c r="AB29" s="2" t="e">
        <f t="shared" si="13"/>
        <v>#DIV/0!</v>
      </c>
      <c r="AC29" s="2" t="e">
        <f t="shared" si="13"/>
        <v>#DIV/0!</v>
      </c>
      <c r="AD29" s="8">
        <f t="shared" ca="1" si="13"/>
        <v>0</v>
      </c>
      <c r="AE29" s="2" t="e">
        <f t="shared" si="13"/>
        <v>#DIV/0!</v>
      </c>
      <c r="AF29" s="2" t="e">
        <f t="shared" si="13"/>
        <v>#DIV/0!</v>
      </c>
      <c r="AG29" s="2" t="e">
        <f t="shared" si="13"/>
        <v>#DIV/0!</v>
      </c>
      <c r="AH29" s="2" t="e">
        <f t="shared" ref="AH29:BJ29" si="14">AH27+AH4</f>
        <v>#DIV/0!</v>
      </c>
      <c r="AI29" s="8">
        <f t="shared" ca="1" si="14"/>
        <v>0</v>
      </c>
      <c r="AJ29" s="2" t="e">
        <f t="shared" si="14"/>
        <v>#DIV/0!</v>
      </c>
      <c r="AK29" s="2" t="e">
        <f t="shared" si="14"/>
        <v>#DIV/0!</v>
      </c>
      <c r="AL29" s="2" t="e">
        <f t="shared" si="14"/>
        <v>#DIV/0!</v>
      </c>
      <c r="AM29" s="2" t="e">
        <f t="shared" si="14"/>
        <v>#DIV/0!</v>
      </c>
      <c r="AN29" s="8">
        <f t="shared" ca="1" si="14"/>
        <v>0</v>
      </c>
      <c r="AO29" s="2" t="e">
        <f t="shared" si="14"/>
        <v>#DIV/0!</v>
      </c>
      <c r="AP29" s="2" t="e">
        <f t="shared" si="14"/>
        <v>#DIV/0!</v>
      </c>
      <c r="AQ29" s="2" t="e">
        <f t="shared" si="14"/>
        <v>#DIV/0!</v>
      </c>
      <c r="AR29" s="2" t="e">
        <f t="shared" si="14"/>
        <v>#DIV/0!</v>
      </c>
      <c r="AS29" s="8">
        <f t="shared" ca="1" si="14"/>
        <v>0</v>
      </c>
      <c r="AT29" s="2" t="e">
        <f t="shared" si="14"/>
        <v>#DIV/0!</v>
      </c>
      <c r="AU29" s="2" t="e">
        <f t="shared" si="14"/>
        <v>#DIV/0!</v>
      </c>
      <c r="AV29" s="2" t="e">
        <f t="shared" si="14"/>
        <v>#DIV/0!</v>
      </c>
      <c r="AW29" s="2" t="e">
        <f t="shared" si="14"/>
        <v>#DIV/0!</v>
      </c>
      <c r="AX29" s="2" t="e">
        <f t="shared" si="14"/>
        <v>#DIV/0!</v>
      </c>
      <c r="AY29" s="8">
        <f t="shared" ca="1" si="14"/>
        <v>0</v>
      </c>
      <c r="AZ29" s="2" t="e">
        <f t="shared" si="14"/>
        <v>#DIV/0!</v>
      </c>
      <c r="BA29" s="2" t="e">
        <f t="shared" si="14"/>
        <v>#DIV/0!</v>
      </c>
      <c r="BB29" s="2" t="e">
        <f t="shared" si="14"/>
        <v>#DIV/0!</v>
      </c>
      <c r="BC29" s="2" t="e">
        <f t="shared" si="14"/>
        <v>#DIV/0!</v>
      </c>
      <c r="BD29" s="2" t="e">
        <f t="shared" si="14"/>
        <v>#DIV/0!</v>
      </c>
      <c r="BE29" s="8">
        <f t="shared" ca="1" si="14"/>
        <v>0</v>
      </c>
      <c r="BF29" s="2" t="e">
        <f t="shared" si="14"/>
        <v>#DIV/0!</v>
      </c>
      <c r="BG29" s="2" t="e">
        <f t="shared" si="14"/>
        <v>#DIV/0!</v>
      </c>
      <c r="BH29" s="2" t="e">
        <f t="shared" si="14"/>
        <v>#DIV/0!</v>
      </c>
      <c r="BI29" s="2" t="e">
        <f t="shared" si="14"/>
        <v>#DIV/0!</v>
      </c>
      <c r="BJ29" s="2" t="e">
        <f t="shared" si="14"/>
        <v>#DIV/0!</v>
      </c>
    </row>
    <row r="30" spans="1:62" s="1" customFormat="1" x14ac:dyDescent="0.2">
      <c r="A30" s="1" t="s">
        <v>5</v>
      </c>
      <c r="B30" s="3">
        <f t="shared" ref="B30:AG30" si="15">B4</f>
        <v>0</v>
      </c>
      <c r="C30" s="3">
        <f t="shared" si="15"/>
        <v>0</v>
      </c>
      <c r="D30" s="3">
        <f t="shared" si="15"/>
        <v>0</v>
      </c>
      <c r="E30" s="10">
        <f t="shared" si="15"/>
        <v>0</v>
      </c>
      <c r="F30" s="3">
        <f t="shared" si="15"/>
        <v>0</v>
      </c>
      <c r="G30" s="3">
        <f t="shared" si="15"/>
        <v>0</v>
      </c>
      <c r="H30" s="3">
        <f t="shared" si="15"/>
        <v>0</v>
      </c>
      <c r="I30" s="10">
        <f t="shared" si="15"/>
        <v>0</v>
      </c>
      <c r="J30" s="3">
        <f t="shared" si="15"/>
        <v>0</v>
      </c>
      <c r="K30" s="3">
        <f t="shared" si="15"/>
        <v>0</v>
      </c>
      <c r="L30" s="3">
        <f t="shared" si="15"/>
        <v>0</v>
      </c>
      <c r="M30" s="10">
        <f t="shared" si="15"/>
        <v>0</v>
      </c>
      <c r="N30" s="3">
        <f t="shared" si="15"/>
        <v>0</v>
      </c>
      <c r="O30" s="3">
        <f t="shared" si="15"/>
        <v>0</v>
      </c>
      <c r="P30" s="3">
        <f t="shared" si="15"/>
        <v>0</v>
      </c>
      <c r="Q30" s="10">
        <f t="shared" si="15"/>
        <v>0</v>
      </c>
      <c r="R30" s="3">
        <f t="shared" si="15"/>
        <v>0</v>
      </c>
      <c r="S30" s="3">
        <f t="shared" si="15"/>
        <v>0</v>
      </c>
      <c r="T30" s="3">
        <f t="shared" si="15"/>
        <v>0</v>
      </c>
      <c r="U30" s="10">
        <f t="shared" si="15"/>
        <v>0</v>
      </c>
      <c r="V30" s="3">
        <f t="shared" si="15"/>
        <v>0</v>
      </c>
      <c r="W30" s="3">
        <f t="shared" si="15"/>
        <v>0</v>
      </c>
      <c r="X30" s="3">
        <f t="shared" si="15"/>
        <v>0</v>
      </c>
      <c r="Y30" s="10">
        <f t="shared" si="15"/>
        <v>0</v>
      </c>
      <c r="Z30" s="3">
        <f t="shared" si="15"/>
        <v>0</v>
      </c>
      <c r="AA30" s="3">
        <f t="shared" si="15"/>
        <v>0</v>
      </c>
      <c r="AB30" s="3">
        <f t="shared" si="15"/>
        <v>0</v>
      </c>
      <c r="AC30" s="3">
        <f t="shared" si="15"/>
        <v>0</v>
      </c>
      <c r="AD30" s="10">
        <f t="shared" si="15"/>
        <v>0</v>
      </c>
      <c r="AE30" s="3">
        <f t="shared" si="15"/>
        <v>0</v>
      </c>
      <c r="AF30" s="3">
        <f t="shared" si="15"/>
        <v>0</v>
      </c>
      <c r="AG30" s="3">
        <f t="shared" si="15"/>
        <v>0</v>
      </c>
      <c r="AH30" s="3">
        <f t="shared" ref="AH30:BJ30" si="16">AH4</f>
        <v>0</v>
      </c>
      <c r="AI30" s="10">
        <f t="shared" si="16"/>
        <v>0</v>
      </c>
      <c r="AJ30" s="3">
        <f t="shared" si="16"/>
        <v>0</v>
      </c>
      <c r="AK30" s="3">
        <f t="shared" si="16"/>
        <v>0</v>
      </c>
      <c r="AL30" s="3">
        <f t="shared" si="16"/>
        <v>0</v>
      </c>
      <c r="AM30" s="3">
        <f t="shared" si="16"/>
        <v>0</v>
      </c>
      <c r="AN30" s="10">
        <f t="shared" si="16"/>
        <v>0</v>
      </c>
      <c r="AO30" s="3">
        <f t="shared" si="16"/>
        <v>0</v>
      </c>
      <c r="AP30" s="3">
        <f t="shared" si="16"/>
        <v>0</v>
      </c>
      <c r="AQ30" s="3">
        <f t="shared" si="16"/>
        <v>0</v>
      </c>
      <c r="AR30" s="3">
        <f t="shared" si="16"/>
        <v>0</v>
      </c>
      <c r="AS30" s="10">
        <f t="shared" si="16"/>
        <v>0</v>
      </c>
      <c r="AT30" s="3">
        <f t="shared" si="16"/>
        <v>0</v>
      </c>
      <c r="AU30" s="3">
        <f t="shared" si="16"/>
        <v>0</v>
      </c>
      <c r="AV30" s="3">
        <f t="shared" si="16"/>
        <v>0</v>
      </c>
      <c r="AW30" s="3">
        <f t="shared" si="16"/>
        <v>0</v>
      </c>
      <c r="AX30" s="3">
        <f t="shared" si="16"/>
        <v>0</v>
      </c>
      <c r="AY30" s="10">
        <f t="shared" si="16"/>
        <v>0</v>
      </c>
      <c r="AZ30" s="3">
        <f t="shared" si="16"/>
        <v>0</v>
      </c>
      <c r="BA30" s="3">
        <f t="shared" si="16"/>
        <v>0</v>
      </c>
      <c r="BB30" s="3">
        <f t="shared" si="16"/>
        <v>0</v>
      </c>
      <c r="BC30" s="3">
        <f t="shared" si="16"/>
        <v>0</v>
      </c>
      <c r="BD30" s="3">
        <f t="shared" si="16"/>
        <v>0</v>
      </c>
      <c r="BE30" s="10">
        <f t="shared" si="16"/>
        <v>0</v>
      </c>
      <c r="BF30" s="3">
        <f t="shared" si="16"/>
        <v>0</v>
      </c>
      <c r="BG30" s="3">
        <f t="shared" si="16"/>
        <v>0</v>
      </c>
      <c r="BH30" s="3">
        <f t="shared" si="16"/>
        <v>0</v>
      </c>
      <c r="BI30" s="3">
        <f t="shared" si="16"/>
        <v>0</v>
      </c>
      <c r="BJ30" s="3">
        <f t="shared" si="16"/>
        <v>0</v>
      </c>
    </row>
    <row r="31" spans="1:62" s="1" customFormat="1" x14ac:dyDescent="0.2">
      <c r="A31" s="1" t="s">
        <v>16</v>
      </c>
      <c r="B31" s="1">
        <f>EXP(B30)</f>
        <v>1</v>
      </c>
      <c r="C31" s="1">
        <f>EXP(C30)</f>
        <v>1</v>
      </c>
      <c r="D31" s="1">
        <f>EXP(D30)</f>
        <v>1</v>
      </c>
      <c r="E31" s="11">
        <f>EXP(E30)</f>
        <v>1</v>
      </c>
      <c r="F31" s="1">
        <f>1/EXP(F30)</f>
        <v>1</v>
      </c>
      <c r="G31" s="1">
        <f t="shared" ref="G31:H31" si="17">1/EXP(G30)</f>
        <v>1</v>
      </c>
      <c r="H31" s="1">
        <f t="shared" si="17"/>
        <v>1</v>
      </c>
      <c r="I31" s="11">
        <f>I30</f>
        <v>0</v>
      </c>
      <c r="J31" s="1">
        <f t="shared" ref="J31:N31" si="18">EXP(J30)</f>
        <v>1</v>
      </c>
      <c r="K31" s="1">
        <f t="shared" si="18"/>
        <v>1</v>
      </c>
      <c r="L31" s="1">
        <f t="shared" si="18"/>
        <v>1</v>
      </c>
      <c r="M31" s="11">
        <f>M30</f>
        <v>0</v>
      </c>
      <c r="N31" s="1">
        <f t="shared" si="18"/>
        <v>1</v>
      </c>
      <c r="O31" s="1">
        <f t="shared" ref="O31:P31" si="19">O30</f>
        <v>0</v>
      </c>
      <c r="P31" s="1">
        <f t="shared" si="19"/>
        <v>0</v>
      </c>
      <c r="Q31" s="11">
        <f t="shared" ref="Q31" si="20">EXP(Q30)</f>
        <v>1</v>
      </c>
      <c r="R31" s="1">
        <f t="shared" ref="R31" si="21">EXP(R30)</f>
        <v>1</v>
      </c>
      <c r="S31" s="1">
        <f t="shared" ref="S31" si="22">EXP(S30)</f>
        <v>1</v>
      </c>
      <c r="T31" s="1">
        <f t="shared" ref="T31" si="23">EXP(T30)</f>
        <v>1</v>
      </c>
      <c r="U31" s="11">
        <f t="shared" ref="U31" si="24">EXP(U30)</f>
        <v>1</v>
      </c>
      <c r="V31" s="1">
        <f t="shared" ref="V31" si="25">EXP(V30)</f>
        <v>1</v>
      </c>
      <c r="W31" s="1">
        <f t="shared" ref="W31" si="26">EXP(W30)</f>
        <v>1</v>
      </c>
      <c r="X31" s="1">
        <f t="shared" ref="X31" si="27">EXP(X30)</f>
        <v>1</v>
      </c>
      <c r="Y31" s="11">
        <f>Y30</f>
        <v>0</v>
      </c>
      <c r="Z31" s="1">
        <f t="shared" ref="Z31" si="28">EXP(Z30)</f>
        <v>1</v>
      </c>
      <c r="AA31" s="1">
        <f t="shared" ref="AA31:AC31" si="29">AA30</f>
        <v>0</v>
      </c>
      <c r="AB31" s="1">
        <f t="shared" si="29"/>
        <v>0</v>
      </c>
      <c r="AC31" s="1">
        <f t="shared" si="29"/>
        <v>0</v>
      </c>
      <c r="AD31" s="11">
        <f>AD30</f>
        <v>0</v>
      </c>
      <c r="AE31" s="1">
        <f t="shared" ref="AE31:BJ31" si="30">AE30</f>
        <v>0</v>
      </c>
      <c r="AF31" s="1">
        <f t="shared" si="30"/>
        <v>0</v>
      </c>
      <c r="AG31" s="1">
        <f t="shared" si="30"/>
        <v>0</v>
      </c>
      <c r="AH31" s="1">
        <f t="shared" si="30"/>
        <v>0</v>
      </c>
      <c r="AI31" s="11">
        <f t="shared" si="30"/>
        <v>0</v>
      </c>
      <c r="AJ31" s="1">
        <f t="shared" si="30"/>
        <v>0</v>
      </c>
      <c r="AK31" s="1">
        <f t="shared" si="30"/>
        <v>0</v>
      </c>
      <c r="AL31" s="1">
        <f t="shared" si="30"/>
        <v>0</v>
      </c>
      <c r="AM31" s="1">
        <f t="shared" si="30"/>
        <v>0</v>
      </c>
      <c r="AN31" s="11">
        <f t="shared" si="30"/>
        <v>0</v>
      </c>
      <c r="AO31" s="1">
        <f t="shared" si="30"/>
        <v>0</v>
      </c>
      <c r="AP31" s="1">
        <f t="shared" si="30"/>
        <v>0</v>
      </c>
      <c r="AQ31" s="1">
        <f t="shared" si="30"/>
        <v>0</v>
      </c>
      <c r="AR31" s="1">
        <f t="shared" si="30"/>
        <v>0</v>
      </c>
      <c r="AS31" s="11">
        <f t="shared" si="30"/>
        <v>0</v>
      </c>
      <c r="AT31" s="1">
        <f t="shared" si="30"/>
        <v>0</v>
      </c>
      <c r="AU31" s="1">
        <f t="shared" si="30"/>
        <v>0</v>
      </c>
      <c r="AV31" s="1">
        <f t="shared" si="30"/>
        <v>0</v>
      </c>
      <c r="AW31" s="1">
        <f t="shared" si="30"/>
        <v>0</v>
      </c>
      <c r="AX31" s="1">
        <f t="shared" si="30"/>
        <v>0</v>
      </c>
      <c r="AY31" s="11">
        <f t="shared" si="30"/>
        <v>0</v>
      </c>
      <c r="AZ31" s="1">
        <f t="shared" si="30"/>
        <v>0</v>
      </c>
      <c r="BA31" s="1">
        <f t="shared" si="30"/>
        <v>0</v>
      </c>
      <c r="BB31" s="1">
        <f t="shared" si="30"/>
        <v>0</v>
      </c>
      <c r="BC31" s="1">
        <f t="shared" si="30"/>
        <v>0</v>
      </c>
      <c r="BD31" s="1">
        <f t="shared" si="30"/>
        <v>0</v>
      </c>
      <c r="BE31" s="11">
        <f t="shared" si="30"/>
        <v>0</v>
      </c>
      <c r="BF31" s="1">
        <f t="shared" si="30"/>
        <v>0</v>
      </c>
      <c r="BG31" s="1">
        <f t="shared" si="30"/>
        <v>0</v>
      </c>
      <c r="BH31" s="1">
        <f t="shared" si="30"/>
        <v>0</v>
      </c>
      <c r="BI31" s="1">
        <f t="shared" si="30"/>
        <v>0</v>
      </c>
      <c r="BJ31" s="1">
        <f t="shared" si="30"/>
        <v>0</v>
      </c>
    </row>
    <row r="32" spans="1:62" s="1" customFormat="1" x14ac:dyDescent="0.2">
      <c r="E32" s="11"/>
      <c r="I32" s="11"/>
      <c r="M32" s="11"/>
      <c r="Q32" s="11"/>
      <c r="U32" s="11"/>
      <c r="Y32" s="11"/>
      <c r="AD32" s="11"/>
      <c r="AI32" s="11"/>
      <c r="AN32" s="11"/>
      <c r="AS32" s="11"/>
      <c r="AY32" s="11"/>
      <c r="BE32" s="11"/>
    </row>
    <row r="33" spans="1:60" s="4" customFormat="1" x14ac:dyDescent="0.2">
      <c r="A33" s="4" t="s">
        <v>0</v>
      </c>
      <c r="B33" s="4" t="s">
        <v>1</v>
      </c>
      <c r="E33" s="7" t="s">
        <v>1</v>
      </c>
      <c r="I33" s="7" t="s">
        <v>1</v>
      </c>
      <c r="M33" s="7" t="s">
        <v>1</v>
      </c>
      <c r="Q33" s="7" t="s">
        <v>1</v>
      </c>
      <c r="U33" s="7" t="s">
        <v>1</v>
      </c>
      <c r="Y33" s="7" t="s">
        <v>1</v>
      </c>
      <c r="AD33" s="7" t="s">
        <v>1</v>
      </c>
      <c r="AE33" s="4" t="s">
        <v>9</v>
      </c>
      <c r="AF33" s="4" t="e">
        <f>(MAX(AD9:AF9)-AE9)/(MAX(AD9:AF9)-MIN(AD9:AF9))</f>
        <v>#DIV/0!</v>
      </c>
      <c r="AI33" s="7" t="s">
        <v>1</v>
      </c>
      <c r="AJ33" s="4" t="s">
        <v>9</v>
      </c>
      <c r="AK33" s="4" t="e">
        <f>(MAX(AI9:AK9)-AJ9)/(MAX(AI9:AK9)-MIN(AI9:AK9))</f>
        <v>#DIV/0!</v>
      </c>
      <c r="AN33" s="7" t="s">
        <v>1</v>
      </c>
      <c r="AO33" s="4" t="s">
        <v>9</v>
      </c>
      <c r="AP33" s="4" t="e">
        <f>(MAX(AN9:AP9)-AO9)/(MAX(AN9:AP9)-MIN(AN9:AP9))</f>
        <v>#DIV/0!</v>
      </c>
      <c r="AS33" s="7" t="s">
        <v>1</v>
      </c>
      <c r="AT33" s="4" t="s">
        <v>9</v>
      </c>
      <c r="AU33" s="4" t="e">
        <f>(MAX(AS9:AV9)-AT9)/(MAX(AS9:AV9)-MIN(AS9:AV9))</f>
        <v>#DIV/0!</v>
      </c>
      <c r="AV33" s="4" t="e">
        <f>(MAX(AS9:AV9)-AU9)/(MAX(AS9:AV9)-MIN(AS9:AV9))</f>
        <v>#DIV/0!</v>
      </c>
      <c r="AY33" s="7" t="s">
        <v>1</v>
      </c>
      <c r="AZ33" s="4" t="s">
        <v>9</v>
      </c>
      <c r="BA33" s="4" t="e">
        <f>(MAX(AY9:BB9)-AZ9)/(MAX(AY9:BB9)-MIN(AY9:BB9))</f>
        <v>#DIV/0!</v>
      </c>
      <c r="BB33" s="4" t="e">
        <f>(MAX(AY9:BB9)-BA9)/(MAX(AY9:BB9)-MIN(AY9:BB9))</f>
        <v>#DIV/0!</v>
      </c>
      <c r="BE33" s="7" t="s">
        <v>1</v>
      </c>
      <c r="BF33" s="4" t="s">
        <v>9</v>
      </c>
      <c r="BG33" s="4" t="e">
        <f>(MAX(BE9:BH9)-BF9)/(MAX(BE9:BH9)-MIN(BE9:BH9))</f>
        <v>#DIV/0!</v>
      </c>
      <c r="BH33" s="4" t="e">
        <f>(MAX(BE9:BH9)-BG9)/(MAX(BE9:BH9)-MIN(BE9:BH9))</f>
        <v>#DIV/0!</v>
      </c>
    </row>
    <row r="34" spans="1:60" s="4" customFormat="1" x14ac:dyDescent="0.2">
      <c r="A34" s="4" t="s">
        <v>6</v>
      </c>
      <c r="B34" s="4">
        <f>B2</f>
        <v>0</v>
      </c>
      <c r="E34" s="7">
        <f>E2</f>
        <v>0</v>
      </c>
      <c r="I34" s="7">
        <f>I2</f>
        <v>0</v>
      </c>
      <c r="M34" s="7">
        <f>M2</f>
        <v>0</v>
      </c>
      <c r="Q34" s="7">
        <f>Q2</f>
        <v>0</v>
      </c>
      <c r="U34" s="7">
        <f>U2</f>
        <v>0</v>
      </c>
      <c r="Y34" s="7">
        <f>Y2</f>
        <v>0</v>
      </c>
      <c r="AD34" s="7">
        <f>AD2</f>
        <v>0</v>
      </c>
      <c r="AI34" s="7">
        <f>AI2</f>
        <v>0</v>
      </c>
      <c r="AN34" s="7">
        <f>AN2</f>
        <v>0</v>
      </c>
      <c r="AS34" s="7">
        <f>AS2</f>
        <v>0</v>
      </c>
      <c r="AY34" s="7">
        <f>AY2</f>
        <v>0</v>
      </c>
      <c r="BE34" s="7">
        <f>BE2</f>
        <v>0</v>
      </c>
    </row>
    <row r="35" spans="1:60" s="1" customFormat="1" x14ac:dyDescent="0.2">
      <c r="A35" s="3">
        <f>1/12</f>
        <v>8.3333333333333329E-2</v>
      </c>
      <c r="B35" s="1" t="s">
        <v>2</v>
      </c>
      <c r="C35" s="1" t="s">
        <v>3</v>
      </c>
      <c r="D35" s="1" t="s">
        <v>4</v>
      </c>
      <c r="E35" s="11" t="s">
        <v>2</v>
      </c>
      <c r="F35" s="1" t="s">
        <v>3</v>
      </c>
      <c r="G35" s="1" t="s">
        <v>4</v>
      </c>
      <c r="I35" s="11" t="s">
        <v>2</v>
      </c>
      <c r="J35" s="1" t="s">
        <v>3</v>
      </c>
      <c r="K35" s="1" t="s">
        <v>4</v>
      </c>
      <c r="M35" s="11" t="s">
        <v>2</v>
      </c>
      <c r="N35" s="1" t="s">
        <v>3</v>
      </c>
      <c r="O35" s="1" t="s">
        <v>4</v>
      </c>
      <c r="Q35" s="11" t="s">
        <v>2</v>
      </c>
      <c r="R35" s="1" t="s">
        <v>3</v>
      </c>
      <c r="S35" s="1" t="s">
        <v>4</v>
      </c>
      <c r="U35" s="11" t="s">
        <v>2</v>
      </c>
      <c r="V35" s="1" t="s">
        <v>3</v>
      </c>
      <c r="W35" s="1" t="s">
        <v>4</v>
      </c>
      <c r="Y35" s="11" t="s">
        <v>2</v>
      </c>
      <c r="Z35" s="1" t="s">
        <v>3</v>
      </c>
      <c r="AA35" s="1" t="s">
        <v>4</v>
      </c>
      <c r="AD35" s="11" t="s">
        <v>8</v>
      </c>
      <c r="AE35" s="1" t="s">
        <v>2</v>
      </c>
      <c r="AF35" s="1" t="s">
        <v>3</v>
      </c>
      <c r="AG35" s="1" t="s">
        <v>4</v>
      </c>
      <c r="AI35" s="11" t="s">
        <v>8</v>
      </c>
      <c r="AJ35" s="1" t="s">
        <v>2</v>
      </c>
      <c r="AK35" s="1" t="s">
        <v>3</v>
      </c>
      <c r="AL35" s="1" t="s">
        <v>4</v>
      </c>
      <c r="AN35" s="11" t="s">
        <v>8</v>
      </c>
      <c r="AO35" s="1" t="s">
        <v>2</v>
      </c>
      <c r="AP35" s="1" t="s">
        <v>3</v>
      </c>
      <c r="AQ35" s="1" t="s">
        <v>4</v>
      </c>
      <c r="AS35" s="11" t="s">
        <v>8</v>
      </c>
      <c r="AT35" s="1" t="s">
        <v>2</v>
      </c>
      <c r="AU35" s="1" t="s">
        <v>3</v>
      </c>
      <c r="AV35" s="1" t="s">
        <v>4</v>
      </c>
      <c r="AY35" s="11" t="s">
        <v>8</v>
      </c>
      <c r="AZ35" s="1" t="s">
        <v>2</v>
      </c>
      <c r="BA35" s="1" t="s">
        <v>3</v>
      </c>
      <c r="BB35" s="1" t="s">
        <v>4</v>
      </c>
      <c r="BE35" s="11" t="s">
        <v>8</v>
      </c>
      <c r="BF35" s="1" t="s">
        <v>2</v>
      </c>
      <c r="BG35" s="1" t="s">
        <v>3</v>
      </c>
      <c r="BH35" s="1" t="s">
        <v>4</v>
      </c>
    </row>
    <row r="36" spans="1:60" x14ac:dyDescent="0.2">
      <c r="A36" s="2">
        <v>0</v>
      </c>
      <c r="B36" s="2">
        <v>1</v>
      </c>
      <c r="C36" s="2">
        <v>1</v>
      </c>
      <c r="D36" s="2">
        <v>1</v>
      </c>
      <c r="E36" s="8">
        <v>1</v>
      </c>
      <c r="F36" s="2">
        <v>1</v>
      </c>
      <c r="G36" s="2">
        <v>1</v>
      </c>
      <c r="I36" s="8">
        <v>1</v>
      </c>
      <c r="J36" s="2">
        <v>1</v>
      </c>
      <c r="K36" s="2">
        <v>1</v>
      </c>
      <c r="M36" s="8">
        <v>1</v>
      </c>
      <c r="N36" s="2">
        <v>1</v>
      </c>
      <c r="O36" s="2">
        <v>1</v>
      </c>
      <c r="Q36" s="8">
        <v>1</v>
      </c>
      <c r="R36" s="2">
        <v>1</v>
      </c>
      <c r="S36" s="2">
        <v>1</v>
      </c>
      <c r="U36" s="8">
        <v>1</v>
      </c>
      <c r="V36" s="2">
        <v>1</v>
      </c>
      <c r="W36" s="2">
        <v>1</v>
      </c>
      <c r="Y36" s="8">
        <v>1</v>
      </c>
      <c r="Z36" s="2">
        <v>1</v>
      </c>
      <c r="AA36" s="2">
        <v>1</v>
      </c>
      <c r="AE36" s="2">
        <v>1</v>
      </c>
      <c r="AF36" s="2">
        <v>1</v>
      </c>
      <c r="AG36" s="2">
        <v>1</v>
      </c>
      <c r="AJ36" s="2">
        <v>1</v>
      </c>
      <c r="AK36" s="2">
        <v>1</v>
      </c>
      <c r="AL36" s="2">
        <v>1</v>
      </c>
      <c r="AO36" s="2">
        <v>1</v>
      </c>
      <c r="AP36" s="2">
        <v>1</v>
      </c>
      <c r="AQ36" s="2">
        <v>1</v>
      </c>
      <c r="AT36" s="2">
        <v>1</v>
      </c>
      <c r="AU36" s="2">
        <v>1</v>
      </c>
      <c r="AV36" s="2">
        <v>1</v>
      </c>
      <c r="AZ36" s="2">
        <v>1</v>
      </c>
      <c r="BA36" s="2">
        <v>1</v>
      </c>
      <c r="BB36" s="2">
        <v>1</v>
      </c>
      <c r="BF36" s="2">
        <v>1</v>
      </c>
      <c r="BG36" s="2">
        <v>1</v>
      </c>
      <c r="BH36" s="2">
        <v>1</v>
      </c>
    </row>
    <row r="37" spans="1:60" x14ac:dyDescent="0.2">
      <c r="A37" s="2">
        <f>A36+$A$35</f>
        <v>8.3333333333333329E-2</v>
      </c>
      <c r="B37" s="2">
        <f>EXP(-$A37*$B$31)</f>
        <v>0.92004441462932329</v>
      </c>
      <c r="C37" s="2">
        <f>EXP(-$A37*$B$31*C$31)</f>
        <v>0.92004441462932329</v>
      </c>
      <c r="D37" s="2">
        <f>EXP(-$A37*$B$31*D$31)</f>
        <v>0.92004441462932329</v>
      </c>
      <c r="E37" s="8">
        <f>EXP(-(($A37*$F$31)^$E$31))</f>
        <v>0.92004441462932329</v>
      </c>
      <c r="F37" s="2">
        <f>EXP(-(($A37*$F$31*G$31)^$E$31))</f>
        <v>0.92004441462932329</v>
      </c>
      <c r="G37" s="2">
        <f>EXP(-(($A37*$F$31*H$31)^$E$31))</f>
        <v>0.92004441462932329</v>
      </c>
      <c r="I37" s="8" t="e">
        <f>EXP(-(($J$31)/$I$31)*(EXP($I$31*$A37)-1))</f>
        <v>#DIV/0!</v>
      </c>
      <c r="J37" s="2" t="e">
        <f>EXP(-(($J$31*K$31)/$I$31)*(EXP($I$31*$A37)-1))</f>
        <v>#DIV/0!</v>
      </c>
      <c r="K37" s="2" t="e">
        <f>EXP(-(($J$31*L$31)/$I$31)*(EXP($I$31*$A37)-1))</f>
        <v>#DIV/0!</v>
      </c>
      <c r="M37" s="8">
        <f>1-_xlfn.NORM.S.DIST((LN($A37)-$M$31)/$N$31,TRUE)</f>
        <v>0.99352072946647285</v>
      </c>
      <c r="N37" s="2">
        <f>1-_xlfn.NORM.S.DIST((LN($A37)-$M$31-O$31)/$N$31,TRUE)</f>
        <v>0.99352072946647285</v>
      </c>
      <c r="O37" s="2">
        <f>1-_xlfn.NORM.S.DIST((LN($A37)-$M$31-P$31)/$N$31,TRUE)</f>
        <v>0.99352072946647285</v>
      </c>
      <c r="Q37" s="8">
        <f>1-(1/(1+($A37/($R$31))^(-$Q$31)))</f>
        <v>0.92307692307692313</v>
      </c>
      <c r="R37" s="2">
        <f>1-(1/(1+($A37/($R$31*S$31))^(-$Q$31)))</f>
        <v>0.92307692307692313</v>
      </c>
      <c r="S37" s="2">
        <f>1-(1/(1+($A37/($R$31*T$31))^(-$Q$31)))</f>
        <v>0.92307692307692313</v>
      </c>
      <c r="U37" s="8">
        <f>1-(_xlfn.GAMMA.DIST($V$31*$A37,$U$31,1,TRUE)*EXP(GAMMALN($U$31)))/EXP(GAMMALN($U$31))</f>
        <v>0.92004441462932329</v>
      </c>
      <c r="V37" s="2">
        <f>1-(_xlfn.GAMMA.DIST($V$31*W$31*$A37,$U$31,1,TRUE)*EXP(GAMMALN($U$31)))/EXP(GAMMALN($U$31))</f>
        <v>0.92004441462932329</v>
      </c>
      <c r="W37" s="2">
        <f t="shared" ref="W37:W100" si="31">1-(_xlfn.GAMMA.DIST($V$31*X$31*$A37,$U$31,1,TRUE)*EXP(GAMMALN($U$31)))/EXP(GAMMALN($U$31))</f>
        <v>0.92004441462932329</v>
      </c>
      <c r="Y37" s="8">
        <f>IF(ABS($AA$31)&lt;0.05,
        1-_xlfn.NORM.S.DIST((LN($A37)-$Y$31)/$Z$31,TRUE),
        IF(0=1-
            IF($AA$31&gt;0,
                    _xlfn.GAMMA.DIST(EXP($AA$31*((LN($A37)-$Y$31)/$Z$31))*($AA$31^(-2)),($AA$31^(-2)),1, TRUE),
                    1-_xlfn.GAMMA.DIST(EXP($AA$31*((LN($A37)-$Y$31)/$Z$31))*($AA$31^(-2)),($AA$31^(-2)),1, TRUE)),
            0,
            EXP(LN(1-
                IF($AA$31&gt;0,
                    _xlfn.GAMMA.DIST(EXP($AA$31*((LN($A37)-$Y$31)/$Z$31))*($AA$31^(-2)),($AA$31^(-2)),1, TRUE),
                    1-_xlfn.GAMMA.DIST(EXP($AA$31*((LN($A37)-$Y$31)/$Z$31))*($AA$31^(-2)),($AA$31^(-2)),1, TRUE))))))</f>
        <v>0.99352072946647285</v>
      </c>
      <c r="Z37" s="2">
        <f>IF(ABS($AA$31)&lt;0.05,
        1-_xlfn.NORM.S.DIST((LN($A37)-($Y$31+AB$31))/$Z$31,TRUE),
        IF(0=1-
            IF($AA$31&gt;0,
                    _xlfn.GAMMA.DIST(EXP($AA$31*((LN($A37)-($Y$31+AB$31))/$Z$31))*($AA$31^(-2)),($AA$31^(-2)),1, TRUE),
                    1-_xlfn.GAMMA.DIST(EXP($AA$31*((LN($A37)-($Y$31+AB$31))/$Z$31))*($AA$31^(-2)),($AA$31^(-2)),1, TRUE)),
            0,
            EXP(LN(1-
                IF($AA$31&gt;0,
                    _xlfn.GAMMA.DIST(EXP($AA$31*((LN($A37)-($Y$31+AB$31))/$Z$31))*($AA$31^(-2)),($AA$31^(-2)),1, TRUE),
                    1-_xlfn.GAMMA.DIST(EXP($AA$31*((LN($A37)-($Y$31+AB$31))/$Z$31))*($AA$31^(-2)),($AA$31^(-2)),1, TRUE))))))</f>
        <v>0.99352072946647285</v>
      </c>
      <c r="AA37" s="2">
        <f t="shared" ref="AA37:AA42" si="32">IF(ABS($AA$31)&lt;0.05,
        1-_xlfn.NORM.S.DIST((LN($A37)-($Y$31+AC$31))/$Z$31,TRUE),
        IF(0=1-
            IF($AA$31&gt;0,
                    _xlfn.GAMMA.DIST(EXP($AA$31*((LN($A37)-($Y$31+AC$31))/$Z$31))*($AA$31^(-2)),($AA$31^(-2)),1, TRUE),
                    1-_xlfn.GAMMA.DIST(EXP($AA$31*((LN($A37)-($Y$31+AC$31))/$Z$31))*($AA$31^(-2)),($AA$31^(-2)),1, TRUE)),
            0,
            EXP(LN(1-
                IF($AA$31&gt;0,
                    _xlfn.GAMMA.DIST(EXP($AA$31*((LN($A37)-($Y$31+AC$31))/$Z$31))*($AA$31^(-2)),($AA$31^(-2)),1, TRUE),
                    1-_xlfn.GAMMA.DIST(EXP($AA$31*((LN($A37)-($Y$31+AC$31))/$Z$31))*($AA$31^(-2)),($AA$31^(-2)),1, TRUE))))))</f>
        <v>0.99352072946647285</v>
      </c>
      <c r="AD37" s="8" t="e">
        <f t="shared" ref="AD37:AD68" si="33">AD$31+
AE$31*LN($A37)+
AF$31*(MAX(LN($A37)-AE$9,0)^3-AF$33*MAX(LN($A37)-AD$9,0)^3-(1-AF$33)*MAX(LN($A37)-AF$9,0)^3)</f>
        <v>#DIV/0!</v>
      </c>
      <c r="AE37" s="2" t="e">
        <f>EXP(-EXP($AD37))</f>
        <v>#DIV/0!</v>
      </c>
      <c r="AF37" s="2" t="e">
        <f>EXP(-EXP($AD37+AG$31))</f>
        <v>#DIV/0!</v>
      </c>
      <c r="AG37" s="2" t="e">
        <f>EXP(-EXP($AD37+AH$31))</f>
        <v>#DIV/0!</v>
      </c>
      <c r="AI37" s="8" t="e">
        <f t="shared" ref="AI37:AI68" si="34">AI$31+
AJ$31*LN($A37)+
AK$31*(MAX(LN($A37)-AJ$9,0)^3-AK$33*MAX(LN($A37)-AI$9,0)^3-(1-AK$33)*MAX(LN($A37)-AK$9,0)^3)</f>
        <v>#DIV/0!</v>
      </c>
      <c r="AJ37" s="2" t="e">
        <f>1-(EXP($AI37)/(1 + EXP($AI37)))</f>
        <v>#DIV/0!</v>
      </c>
      <c r="AK37" s="2" t="e">
        <f>1-(EXP($AI37+AL$31)/(1 + EXP($AI37+AL$31)))</f>
        <v>#DIV/0!</v>
      </c>
      <c r="AL37" s="2" t="e">
        <f>1-(EXP($AI37+AM$31)/(1 + EXP($AI37+AM$31)))</f>
        <v>#DIV/0!</v>
      </c>
      <c r="AN37" s="8" t="e">
        <f t="shared" ref="AN37:AN68" si="35">AN$31+
AO$31*LN($A37)+
AP$31*(MAX(LN($A37)-AO$9,0)^3-AP$33*MAX(LN($A37)-AN$9,0)^3-(1-AP$33)*MAX(LN($A37)-AP$9,0)^3)</f>
        <v>#DIV/0!</v>
      </c>
      <c r="AO37" s="2" t="e">
        <f>1-NORMSDIST($AN37)</f>
        <v>#DIV/0!</v>
      </c>
      <c r="AP37" s="2" t="e">
        <f>1-NORMSDIST($AN37+AQ$31)</f>
        <v>#DIV/0!</v>
      </c>
      <c r="AQ37" s="2" t="e">
        <f>1-NORMSDIST($AN37+AR$31)</f>
        <v>#DIV/0!</v>
      </c>
      <c r="AS37" s="8" t="e">
        <f t="shared" ref="AS37:AS68" si="36">AS$31+
AT$31*LN($A37)+
AU$31*(MAX(LN($A37)-AT$9,0)^3-AU$33*MAX(LN($A37)-AS$9,0)^3-(1-AU$33)*MAX(LN($A37)-AV$9,0)^3)+
AV$31*(MAX(LN($A37)-AU$9,0)^3-AV$33*MAX(LN($A37)-AS$9,0)^3-(1-AV$33)*MAX(LN($A37)-AV$9,0)^3)</f>
        <v>#DIV/0!</v>
      </c>
      <c r="AT37" s="2" t="e">
        <f>EXP(-EXP($AS37))</f>
        <v>#DIV/0!</v>
      </c>
      <c r="AU37" s="2" t="e">
        <f>EXP(-EXP($AS37+AW$31))</f>
        <v>#DIV/0!</v>
      </c>
      <c r="AV37" s="2" t="e">
        <f t="shared" ref="AV37:AV42" si="37">EXP(-EXP($AS37+AX$31))</f>
        <v>#DIV/0!</v>
      </c>
      <c r="AY37" s="8" t="e">
        <f t="shared" ref="AY37:AY68" si="38">AY$31+
AZ$31*LN($A37)+
BA$31*(MAX(LN($A37)-AZ$9,0)^3-BA$33*MAX(LN($A37)-AY$9,0)^3-(1-BA$33)*MAX(LN($A37)-BB$9,0)^3)+
BB$31*(MAX(LN($A37)-BA$9,0)^3-BB$33*MAX(LN($A37)-AY$9,0)^3-(1-BB$33)*MAX(LN($A37)-BB$9,0)^3)</f>
        <v>#DIV/0!</v>
      </c>
      <c r="AZ37" s="2" t="e">
        <f>1-(EXP($AY37)/(1 + EXP($AY37)))</f>
        <v>#DIV/0!</v>
      </c>
      <c r="BA37" s="2" t="e">
        <f>1-(EXP($AY37+BC$31)/(1 + EXP($AY37+BC$31)))</f>
        <v>#DIV/0!</v>
      </c>
      <c r="BB37" s="2" t="e">
        <f>1-(EXP($AY37+BD$31)/(1 + EXP($AY37+BD$31)))</f>
        <v>#DIV/0!</v>
      </c>
      <c r="BE37" s="8" t="e">
        <f t="shared" ref="BE37:BE68" si="39">BE$31+
BF$31*LN($A37)+
BG$31*(MAX(LN($A37)-BF$9,0)^3-BG$33*MAX(LN($A37)-BE$9,0)^3-(1-BG$33)*MAX(LN($A37)-BH$9,0)^3)+
BH$31*(MAX(LN($A37)-BG$9,0)^3-BH$33*MAX(LN($A37)-BE$9,0)^3-(1-BH$33)*MAX(LN($A37)-BH$9,0)^3)</f>
        <v>#DIV/0!</v>
      </c>
      <c r="BF37" s="2" t="e">
        <f>1-NORMSDIST($BE37)</f>
        <v>#DIV/0!</v>
      </c>
      <c r="BG37" s="2" t="e">
        <f>1-NORMSDIST($BE37+BI$31)</f>
        <v>#DIV/0!</v>
      </c>
      <c r="BH37" s="2" t="e">
        <f>1-NORMSDIST($BE37+BJ$31)</f>
        <v>#DIV/0!</v>
      </c>
    </row>
    <row r="38" spans="1:60" x14ac:dyDescent="0.2">
      <c r="A38" s="2">
        <f t="shared" ref="A38:A42" si="40">A37+$A$35</f>
        <v>0.16666666666666666</v>
      </c>
      <c r="B38" s="2">
        <f t="shared" ref="B38:B101" si="41">EXP(-$A38*$B$31)</f>
        <v>0.84648172489061413</v>
      </c>
      <c r="C38" s="2">
        <f t="shared" ref="C38:D53" si="42">EXP(-$A38*$B$31*C$31)</f>
        <v>0.84648172489061413</v>
      </c>
      <c r="D38" s="2">
        <f t="shared" si="42"/>
        <v>0.84648172489061413</v>
      </c>
      <c r="E38" s="8">
        <f t="shared" ref="E38:E101" si="43">EXP(-(($A38*$F$31)^$E$31))</f>
        <v>0.84648172489061413</v>
      </c>
      <c r="F38" s="2">
        <f t="shared" ref="F38:G38" si="44">EXP(-(($A38*$F$31*G$31)^$E$31))</f>
        <v>0.84648172489061413</v>
      </c>
      <c r="G38" s="2">
        <f t="shared" si="44"/>
        <v>0.84648172489061413</v>
      </c>
      <c r="I38" s="8" t="e">
        <f t="shared" ref="I38:I101" si="45">EXP(-(($J$31)/$I$31)*(EXP($I$31*$A38)-1))</f>
        <v>#DIV/0!</v>
      </c>
      <c r="J38" s="2" t="e">
        <f t="shared" ref="J38:K38" si="46">EXP(-(($J$31*K$31)/$I$31)*(EXP($I$31*$A38)-1))</f>
        <v>#DIV/0!</v>
      </c>
      <c r="K38" s="2" t="e">
        <f t="shared" si="46"/>
        <v>#DIV/0!</v>
      </c>
      <c r="M38" s="8">
        <f t="shared" ref="M38:M101" si="47">1-_xlfn.NORM.S.DIST((LN($A38)-$M$31)/$N$31,TRUE)</f>
        <v>0.96341424808295706</v>
      </c>
      <c r="N38" s="2">
        <f t="shared" ref="N38:O38" si="48">1-_xlfn.NORM.S.DIST((LN($A38)-$M$31-O$31)/$N$31,TRUE)</f>
        <v>0.96341424808295706</v>
      </c>
      <c r="O38" s="2">
        <f t="shared" si="48"/>
        <v>0.96341424808295706</v>
      </c>
      <c r="Q38" s="8">
        <f t="shared" ref="Q38:Q101" si="49">1-(1/(1+($A38/($R$31))^(-$Q$31)))</f>
        <v>0.85714285714285721</v>
      </c>
      <c r="R38" s="2">
        <f t="shared" ref="R38:S38" si="50">1-(1/(1+($A38/($R$31*S$31))^(-$Q$31)))</f>
        <v>0.85714285714285721</v>
      </c>
      <c r="S38" s="2">
        <f t="shared" si="50"/>
        <v>0.85714285714285721</v>
      </c>
      <c r="U38" s="8">
        <f t="shared" ref="U38:U101" si="51">1-(_xlfn.GAMMA.DIST($V$31*$A38,$U$31,1,TRUE)*EXP(GAMMALN($U$31)))/EXP(GAMMALN($U$31))</f>
        <v>0.84648172489061402</v>
      </c>
      <c r="V38" s="2">
        <f t="shared" ref="V38" si="52">1-(_xlfn.GAMMA.DIST($V$31*W$31*$A38,$U$31,1,TRUE)*EXP(GAMMALN($U$31)))/EXP(GAMMALN($U$31))</f>
        <v>0.84648172489061402</v>
      </c>
      <c r="W38" s="2">
        <f t="shared" si="31"/>
        <v>0.84648172489061402</v>
      </c>
      <c r="Y38" s="8">
        <f t="shared" ref="Y38:Y101" si="53">IF(ABS($AA$31)&lt;0.05,
        1-_xlfn.NORM.S.DIST((LN($A38)-$Y$31)/$Z$31,TRUE),
        IF(0=1-
            IF($AA$31&gt;0,
                    _xlfn.GAMMA.DIST(EXP($AA$31*((LN($A38)-$Y$31)/$Z$31))*($AA$31^(-2)),($AA$31^(-2)),1, TRUE),
                    1-_xlfn.GAMMA.DIST(EXP($AA$31*((LN($A38)-$Y$31)/$Z$31))*($AA$31^(-2)),($AA$31^(-2)),1, TRUE)),
            0,
            EXP(LN(1-
                IF($AA$31&gt;0,
                    _xlfn.GAMMA.DIST(EXP($AA$31*((LN($A38)-$Y$31)/$Z$31))*($AA$31^(-2)),($AA$31^(-2)),1, TRUE),
                    1-_xlfn.GAMMA.DIST(EXP($AA$31*((LN($A38)-$Y$31)/$Z$31))*($AA$31^(-2)),($AA$31^(-2)),1, TRUE))))))</f>
        <v>0.96341424808295706</v>
      </c>
      <c r="Z38" s="2">
        <f t="shared" ref="Z38:Z42" si="54">IF(ABS($AA$31)&lt;0.05,
        1-_xlfn.NORM.S.DIST((LN($A38)-($Y$31+AB$31))/$Z$31,TRUE),
        IF(0=1-
            IF($AA$31&gt;0,
                    _xlfn.GAMMA.DIST(EXP($AA$31*((LN($A38)-($Y$31+AB$31))/$Z$31))*($AA$31^(-2)),($AA$31^(-2)),1, TRUE),
                    1-_xlfn.GAMMA.DIST(EXP($AA$31*((LN($A38)-($Y$31+AB$31))/$Z$31))*($AA$31^(-2)),($AA$31^(-2)),1, TRUE)),
            0,
            EXP(LN(1-
                IF($AA$31&gt;0,
                    _xlfn.GAMMA.DIST(EXP($AA$31*((LN($A38)-($Y$31+AB$31))/$Z$31))*($AA$31^(-2)),($AA$31^(-2)),1, TRUE),
                    1-_xlfn.GAMMA.DIST(EXP($AA$31*((LN($A38)-($Y$31+AB$31))/$Z$31))*($AA$31^(-2)),($AA$31^(-2)),1, TRUE))))))</f>
        <v>0.96341424808295706</v>
      </c>
      <c r="AA38" s="2">
        <f t="shared" si="32"/>
        <v>0.96341424808295706</v>
      </c>
      <c r="AD38" s="8" t="e">
        <f t="shared" si="33"/>
        <v>#DIV/0!</v>
      </c>
      <c r="AE38" s="2" t="e">
        <f t="shared" ref="AE38:AE101" si="55">EXP(-EXP($AD38))</f>
        <v>#DIV/0!</v>
      </c>
      <c r="AF38" s="2" t="e">
        <f t="shared" ref="AF38:AG38" si="56">EXP(-EXP($AD38+AG$31))</f>
        <v>#DIV/0!</v>
      </c>
      <c r="AG38" s="2" t="e">
        <f t="shared" si="56"/>
        <v>#DIV/0!</v>
      </c>
      <c r="AI38" s="8" t="e">
        <f t="shared" si="34"/>
        <v>#DIV/0!</v>
      </c>
      <c r="AJ38" s="2" t="e">
        <f t="shared" ref="AJ38:AJ101" si="57">1-(EXP($AI38)/(1 + EXP($AI38)))</f>
        <v>#DIV/0!</v>
      </c>
      <c r="AK38" s="2" t="e">
        <f t="shared" ref="AK38:AL38" si="58">1-(EXP($AI38+AL$31)/(1 + EXP($AI38+AL$31)))</f>
        <v>#DIV/0!</v>
      </c>
      <c r="AL38" s="2" t="e">
        <f t="shared" si="58"/>
        <v>#DIV/0!</v>
      </c>
      <c r="AN38" s="8" t="e">
        <f t="shared" si="35"/>
        <v>#DIV/0!</v>
      </c>
      <c r="AO38" s="2" t="e">
        <f t="shared" ref="AO38:AO101" si="59">1-NORMSDIST($AN38)</f>
        <v>#DIV/0!</v>
      </c>
      <c r="AP38" s="2" t="e">
        <f t="shared" ref="AP38:AQ38" si="60">1-NORMSDIST($AN38+AQ$31)</f>
        <v>#DIV/0!</v>
      </c>
      <c r="AQ38" s="2" t="e">
        <f t="shared" si="60"/>
        <v>#DIV/0!</v>
      </c>
      <c r="AS38" s="8" t="e">
        <f t="shared" si="36"/>
        <v>#DIV/0!</v>
      </c>
      <c r="AT38" s="2" t="e">
        <f t="shared" ref="AT38:AT101" si="61">EXP(-EXP($AS38))</f>
        <v>#DIV/0!</v>
      </c>
      <c r="AU38" s="2" t="e">
        <f t="shared" ref="AU38:AU42" si="62">EXP(-EXP($AS38+AW$31))</f>
        <v>#DIV/0!</v>
      </c>
      <c r="AV38" s="2" t="e">
        <f t="shared" si="37"/>
        <v>#DIV/0!</v>
      </c>
      <c r="AY38" s="8" t="e">
        <f t="shared" si="38"/>
        <v>#DIV/0!</v>
      </c>
      <c r="AZ38" s="2" t="e">
        <f t="shared" ref="AZ38:AZ101" si="63">1-(EXP($AY38)/(1 + EXP($AY38)))</f>
        <v>#DIV/0!</v>
      </c>
      <c r="BA38" s="2" t="e">
        <f t="shared" ref="BA38:BB42" si="64">1-(EXP($AY38+BC$31)/(1 + EXP($AY38+BC$31)))</f>
        <v>#DIV/0!</v>
      </c>
      <c r="BB38" s="2" t="e">
        <f t="shared" si="64"/>
        <v>#DIV/0!</v>
      </c>
      <c r="BE38" s="8" t="e">
        <f t="shared" si="39"/>
        <v>#DIV/0!</v>
      </c>
      <c r="BF38" s="2" t="e">
        <f t="shared" ref="BF38:BF101" si="65">1-NORMSDIST($BE38)</f>
        <v>#DIV/0!</v>
      </c>
      <c r="BG38" s="2" t="e">
        <f t="shared" ref="BG38:BG101" si="66">1-NORMSDIST($BE38+BI$31)</f>
        <v>#DIV/0!</v>
      </c>
      <c r="BH38" s="2" t="e">
        <f t="shared" ref="BH38:BH101" si="67">1-NORMSDIST($BE38+BJ$31)</f>
        <v>#DIV/0!</v>
      </c>
    </row>
    <row r="39" spans="1:60" x14ac:dyDescent="0.2">
      <c r="A39" s="2">
        <f t="shared" si="40"/>
        <v>0.25</v>
      </c>
      <c r="B39" s="2">
        <f t="shared" si="41"/>
        <v>0.77880078307140488</v>
      </c>
      <c r="C39" s="2">
        <f t="shared" si="42"/>
        <v>0.77880078307140488</v>
      </c>
      <c r="D39" s="2">
        <f t="shared" si="42"/>
        <v>0.77880078307140488</v>
      </c>
      <c r="E39" s="8">
        <f t="shared" si="43"/>
        <v>0.77880078307140488</v>
      </c>
      <c r="F39" s="2">
        <f t="shared" ref="F39:G39" si="68">EXP(-(($A39*$F$31*G$31)^$E$31))</f>
        <v>0.77880078307140488</v>
      </c>
      <c r="G39" s="2">
        <f t="shared" si="68"/>
        <v>0.77880078307140488</v>
      </c>
      <c r="I39" s="8" t="e">
        <f t="shared" si="45"/>
        <v>#DIV/0!</v>
      </c>
      <c r="J39" s="2" t="e">
        <f t="shared" ref="J39:K39" si="69">EXP(-(($J$31*K$31)/$I$31)*(EXP($I$31*$A39)-1))</f>
        <v>#DIV/0!</v>
      </c>
      <c r="K39" s="2" t="e">
        <f t="shared" si="69"/>
        <v>#DIV/0!</v>
      </c>
      <c r="M39" s="8">
        <f t="shared" si="47"/>
        <v>0.91717148099830148</v>
      </c>
      <c r="N39" s="2">
        <f t="shared" ref="N39:O39" si="70">1-_xlfn.NORM.S.DIST((LN($A39)-$M$31-O$31)/$N$31,TRUE)</f>
        <v>0.91717148099830148</v>
      </c>
      <c r="O39" s="2">
        <f t="shared" si="70"/>
        <v>0.91717148099830148</v>
      </c>
      <c r="Q39" s="8">
        <f t="shared" si="49"/>
        <v>0.8</v>
      </c>
      <c r="R39" s="2">
        <f t="shared" ref="R39:S39" si="71">1-(1/(1+($A39/($R$31*S$31))^(-$Q$31)))</f>
        <v>0.8</v>
      </c>
      <c r="S39" s="2">
        <f t="shared" si="71"/>
        <v>0.8</v>
      </c>
      <c r="U39" s="8">
        <f t="shared" si="51"/>
        <v>0.77880078307140488</v>
      </c>
      <c r="V39" s="2">
        <f t="shared" ref="V39" si="72">1-(_xlfn.GAMMA.DIST($V$31*W$31*$A39,$U$31,1,TRUE)*EXP(GAMMALN($U$31)))/EXP(GAMMALN($U$31))</f>
        <v>0.77880078307140488</v>
      </c>
      <c r="W39" s="2">
        <f t="shared" si="31"/>
        <v>0.77880078307140488</v>
      </c>
      <c r="Y39" s="8">
        <f t="shared" si="53"/>
        <v>0.91717148099830148</v>
      </c>
      <c r="Z39" s="2">
        <f t="shared" si="54"/>
        <v>0.91717148099830148</v>
      </c>
      <c r="AA39" s="2">
        <f t="shared" si="32"/>
        <v>0.91717148099830148</v>
      </c>
      <c r="AD39" s="8" t="e">
        <f t="shared" si="33"/>
        <v>#DIV/0!</v>
      </c>
      <c r="AE39" s="2" t="e">
        <f t="shared" si="55"/>
        <v>#DIV/0!</v>
      </c>
      <c r="AF39" s="2" t="e">
        <f t="shared" ref="AF39:AG39" si="73">EXP(-EXP($AD39+AG$31))</f>
        <v>#DIV/0!</v>
      </c>
      <c r="AG39" s="2" t="e">
        <f t="shared" si="73"/>
        <v>#DIV/0!</v>
      </c>
      <c r="AI39" s="8" t="e">
        <f t="shared" si="34"/>
        <v>#DIV/0!</v>
      </c>
      <c r="AJ39" s="2" t="e">
        <f t="shared" si="57"/>
        <v>#DIV/0!</v>
      </c>
      <c r="AK39" s="2" t="e">
        <f t="shared" ref="AK39:AL39" si="74">1-(EXP($AI39+AL$31)/(1 + EXP($AI39+AL$31)))</f>
        <v>#DIV/0!</v>
      </c>
      <c r="AL39" s="2" t="e">
        <f t="shared" si="74"/>
        <v>#DIV/0!</v>
      </c>
      <c r="AN39" s="8" t="e">
        <f t="shared" si="35"/>
        <v>#DIV/0!</v>
      </c>
      <c r="AO39" s="2" t="e">
        <f t="shared" si="59"/>
        <v>#DIV/0!</v>
      </c>
      <c r="AP39" s="2" t="e">
        <f t="shared" ref="AP39:AQ39" si="75">1-NORMSDIST($AN39+AQ$31)</f>
        <v>#DIV/0!</v>
      </c>
      <c r="AQ39" s="2" t="e">
        <f t="shared" si="75"/>
        <v>#DIV/0!</v>
      </c>
      <c r="AS39" s="8" t="e">
        <f t="shared" si="36"/>
        <v>#DIV/0!</v>
      </c>
      <c r="AT39" s="2" t="e">
        <f t="shared" si="61"/>
        <v>#DIV/0!</v>
      </c>
      <c r="AU39" s="2" t="e">
        <f t="shared" si="62"/>
        <v>#DIV/0!</v>
      </c>
      <c r="AV39" s="2" t="e">
        <f t="shared" si="37"/>
        <v>#DIV/0!</v>
      </c>
      <c r="AY39" s="8" t="e">
        <f t="shared" si="38"/>
        <v>#DIV/0!</v>
      </c>
      <c r="AZ39" s="2" t="e">
        <f t="shared" si="63"/>
        <v>#DIV/0!</v>
      </c>
      <c r="BA39" s="2" t="e">
        <f t="shared" si="64"/>
        <v>#DIV/0!</v>
      </c>
      <c r="BB39" s="2" t="e">
        <f t="shared" si="64"/>
        <v>#DIV/0!</v>
      </c>
      <c r="BE39" s="8" t="e">
        <f t="shared" si="39"/>
        <v>#DIV/0!</v>
      </c>
      <c r="BF39" s="2" t="e">
        <f t="shared" si="65"/>
        <v>#DIV/0!</v>
      </c>
      <c r="BG39" s="2" t="e">
        <f t="shared" si="66"/>
        <v>#DIV/0!</v>
      </c>
      <c r="BH39" s="2" t="e">
        <f t="shared" si="67"/>
        <v>#DIV/0!</v>
      </c>
    </row>
    <row r="40" spans="1:60" x14ac:dyDescent="0.2">
      <c r="A40" s="2">
        <f t="shared" si="40"/>
        <v>0.33333333333333331</v>
      </c>
      <c r="B40" s="2">
        <f t="shared" si="41"/>
        <v>0.71653131057378927</v>
      </c>
      <c r="C40" s="2">
        <f t="shared" si="42"/>
        <v>0.71653131057378927</v>
      </c>
      <c r="D40" s="2">
        <f t="shared" si="42"/>
        <v>0.71653131057378927</v>
      </c>
      <c r="E40" s="8">
        <f t="shared" si="43"/>
        <v>0.71653131057378927</v>
      </c>
      <c r="F40" s="2">
        <f t="shared" ref="F40:G40" si="76">EXP(-(($A40*$F$31*G$31)^$E$31))</f>
        <v>0.71653131057378927</v>
      </c>
      <c r="G40" s="2">
        <f t="shared" si="76"/>
        <v>0.71653131057378927</v>
      </c>
      <c r="I40" s="8" t="e">
        <f t="shared" si="45"/>
        <v>#DIV/0!</v>
      </c>
      <c r="J40" s="2" t="e">
        <f t="shared" ref="J40:K40" si="77">EXP(-(($J$31*K$31)/$I$31)*(EXP($I$31*$A40)-1))</f>
        <v>#DIV/0!</v>
      </c>
      <c r="K40" s="2" t="e">
        <f t="shared" si="77"/>
        <v>#DIV/0!</v>
      </c>
      <c r="M40" s="8">
        <f t="shared" si="47"/>
        <v>0.86403139235857551</v>
      </c>
      <c r="N40" s="2">
        <f t="shared" ref="N40:O40" si="78">1-_xlfn.NORM.S.DIST((LN($A40)-$M$31-O$31)/$N$31,TRUE)</f>
        <v>0.86403139235857551</v>
      </c>
      <c r="O40" s="2">
        <f t="shared" si="78"/>
        <v>0.86403139235857551</v>
      </c>
      <c r="Q40" s="8">
        <f t="shared" si="49"/>
        <v>0.75</v>
      </c>
      <c r="R40" s="2">
        <f t="shared" ref="R40:S40" si="79">1-(1/(1+($A40/($R$31*S$31))^(-$Q$31)))</f>
        <v>0.75</v>
      </c>
      <c r="S40" s="2">
        <f t="shared" si="79"/>
        <v>0.75</v>
      </c>
      <c r="U40" s="8">
        <f t="shared" si="51"/>
        <v>0.71653131057378927</v>
      </c>
      <c r="V40" s="2">
        <f t="shared" ref="V40" si="80">1-(_xlfn.GAMMA.DIST($V$31*W$31*$A40,$U$31,1,TRUE)*EXP(GAMMALN($U$31)))/EXP(GAMMALN($U$31))</f>
        <v>0.71653131057378927</v>
      </c>
      <c r="W40" s="2">
        <f t="shared" si="31"/>
        <v>0.71653131057378927</v>
      </c>
      <c r="Y40" s="8">
        <f t="shared" si="53"/>
        <v>0.86403139235857551</v>
      </c>
      <c r="Z40" s="2">
        <f t="shared" si="54"/>
        <v>0.86403139235857551</v>
      </c>
      <c r="AA40" s="2">
        <f t="shared" si="32"/>
        <v>0.86403139235857551</v>
      </c>
      <c r="AD40" s="8" t="e">
        <f t="shared" si="33"/>
        <v>#DIV/0!</v>
      </c>
      <c r="AE40" s="2" t="e">
        <f t="shared" si="55"/>
        <v>#DIV/0!</v>
      </c>
      <c r="AF40" s="2" t="e">
        <f t="shared" ref="AF40:AG40" si="81">EXP(-EXP($AD40+AG$31))</f>
        <v>#DIV/0!</v>
      </c>
      <c r="AG40" s="2" t="e">
        <f t="shared" si="81"/>
        <v>#DIV/0!</v>
      </c>
      <c r="AI40" s="8" t="e">
        <f t="shared" si="34"/>
        <v>#DIV/0!</v>
      </c>
      <c r="AJ40" s="2" t="e">
        <f t="shared" si="57"/>
        <v>#DIV/0!</v>
      </c>
      <c r="AK40" s="2" t="e">
        <f t="shared" ref="AK40:AL40" si="82">1-(EXP($AI40+AL$31)/(1 + EXP($AI40+AL$31)))</f>
        <v>#DIV/0!</v>
      </c>
      <c r="AL40" s="2" t="e">
        <f t="shared" si="82"/>
        <v>#DIV/0!</v>
      </c>
      <c r="AN40" s="8" t="e">
        <f t="shared" si="35"/>
        <v>#DIV/0!</v>
      </c>
      <c r="AO40" s="2" t="e">
        <f t="shared" si="59"/>
        <v>#DIV/0!</v>
      </c>
      <c r="AP40" s="2" t="e">
        <f t="shared" ref="AP40:AQ40" si="83">1-NORMSDIST($AN40+AQ$31)</f>
        <v>#DIV/0!</v>
      </c>
      <c r="AQ40" s="2" t="e">
        <f t="shared" si="83"/>
        <v>#DIV/0!</v>
      </c>
      <c r="AS40" s="8" t="e">
        <f t="shared" si="36"/>
        <v>#DIV/0!</v>
      </c>
      <c r="AT40" s="2" t="e">
        <f t="shared" si="61"/>
        <v>#DIV/0!</v>
      </c>
      <c r="AU40" s="2" t="e">
        <f t="shared" si="62"/>
        <v>#DIV/0!</v>
      </c>
      <c r="AV40" s="2" t="e">
        <f t="shared" si="37"/>
        <v>#DIV/0!</v>
      </c>
      <c r="AY40" s="8" t="e">
        <f t="shared" si="38"/>
        <v>#DIV/0!</v>
      </c>
      <c r="AZ40" s="2" t="e">
        <f t="shared" si="63"/>
        <v>#DIV/0!</v>
      </c>
      <c r="BA40" s="2" t="e">
        <f t="shared" si="64"/>
        <v>#DIV/0!</v>
      </c>
      <c r="BB40" s="2" t="e">
        <f t="shared" si="64"/>
        <v>#DIV/0!</v>
      </c>
      <c r="BE40" s="8" t="e">
        <f t="shared" si="39"/>
        <v>#DIV/0!</v>
      </c>
      <c r="BF40" s="2" t="e">
        <f t="shared" si="65"/>
        <v>#DIV/0!</v>
      </c>
      <c r="BG40" s="2" t="e">
        <f t="shared" si="66"/>
        <v>#DIV/0!</v>
      </c>
      <c r="BH40" s="2" t="e">
        <f t="shared" si="67"/>
        <v>#DIV/0!</v>
      </c>
    </row>
    <row r="41" spans="1:60" x14ac:dyDescent="0.2">
      <c r="A41" s="2">
        <f t="shared" si="40"/>
        <v>0.41666666666666663</v>
      </c>
      <c r="B41" s="2">
        <f t="shared" si="41"/>
        <v>0.65924063020044377</v>
      </c>
      <c r="C41" s="2">
        <f t="shared" si="42"/>
        <v>0.65924063020044377</v>
      </c>
      <c r="D41" s="2">
        <f t="shared" si="42"/>
        <v>0.65924063020044377</v>
      </c>
      <c r="E41" s="8">
        <f t="shared" si="43"/>
        <v>0.65924063020044377</v>
      </c>
      <c r="F41" s="2">
        <f t="shared" ref="F41:G41" si="84">EXP(-(($A41*$F$31*G$31)^$E$31))</f>
        <v>0.65924063020044377</v>
      </c>
      <c r="G41" s="2">
        <f t="shared" si="84"/>
        <v>0.65924063020044377</v>
      </c>
      <c r="I41" s="8" t="e">
        <f t="shared" si="45"/>
        <v>#DIV/0!</v>
      </c>
      <c r="J41" s="2" t="e">
        <f t="shared" ref="J41:K41" si="85">EXP(-(($J$31*K$31)/$I$31)*(EXP($I$31*$A41)-1))</f>
        <v>#DIV/0!</v>
      </c>
      <c r="K41" s="2" t="e">
        <f t="shared" si="85"/>
        <v>#DIV/0!</v>
      </c>
      <c r="M41" s="8">
        <f t="shared" si="47"/>
        <v>0.8093405433351144</v>
      </c>
      <c r="N41" s="2">
        <f t="shared" ref="N41:O41" si="86">1-_xlfn.NORM.S.DIST((LN($A41)-$M$31-O$31)/$N$31,TRUE)</f>
        <v>0.8093405433351144</v>
      </c>
      <c r="O41" s="2">
        <f t="shared" si="86"/>
        <v>0.8093405433351144</v>
      </c>
      <c r="Q41" s="8">
        <f t="shared" si="49"/>
        <v>0.70588235294117652</v>
      </c>
      <c r="R41" s="2">
        <f t="shared" ref="R41:S41" si="87">1-(1/(1+($A41/($R$31*S$31))^(-$Q$31)))</f>
        <v>0.70588235294117652</v>
      </c>
      <c r="S41" s="2">
        <f t="shared" si="87"/>
        <v>0.70588235294117652</v>
      </c>
      <c r="U41" s="8">
        <f t="shared" si="51"/>
        <v>0.65924063020044377</v>
      </c>
      <c r="V41" s="2">
        <f t="shared" ref="V41" si="88">1-(_xlfn.GAMMA.DIST($V$31*W$31*$A41,$U$31,1,TRUE)*EXP(GAMMALN($U$31)))/EXP(GAMMALN($U$31))</f>
        <v>0.65924063020044377</v>
      </c>
      <c r="W41" s="2">
        <f t="shared" si="31"/>
        <v>0.65924063020044377</v>
      </c>
      <c r="Y41" s="8">
        <f t="shared" si="53"/>
        <v>0.8093405433351144</v>
      </c>
      <c r="Z41" s="2">
        <f t="shared" si="54"/>
        <v>0.8093405433351144</v>
      </c>
      <c r="AA41" s="2">
        <f t="shared" si="32"/>
        <v>0.8093405433351144</v>
      </c>
      <c r="AD41" s="8" t="e">
        <f t="shared" si="33"/>
        <v>#DIV/0!</v>
      </c>
      <c r="AE41" s="2" t="e">
        <f t="shared" si="55"/>
        <v>#DIV/0!</v>
      </c>
      <c r="AF41" s="2" t="e">
        <f t="shared" ref="AF41:AG41" si="89">EXP(-EXP($AD41+AG$31))</f>
        <v>#DIV/0!</v>
      </c>
      <c r="AG41" s="2" t="e">
        <f t="shared" si="89"/>
        <v>#DIV/0!</v>
      </c>
      <c r="AI41" s="8" t="e">
        <f t="shared" si="34"/>
        <v>#DIV/0!</v>
      </c>
      <c r="AJ41" s="2" t="e">
        <f t="shared" si="57"/>
        <v>#DIV/0!</v>
      </c>
      <c r="AK41" s="2" t="e">
        <f t="shared" ref="AK41:AL41" si="90">1-(EXP($AI41+AL$31)/(1 + EXP($AI41+AL$31)))</f>
        <v>#DIV/0!</v>
      </c>
      <c r="AL41" s="2" t="e">
        <f t="shared" si="90"/>
        <v>#DIV/0!</v>
      </c>
      <c r="AN41" s="8" t="e">
        <f t="shared" si="35"/>
        <v>#DIV/0!</v>
      </c>
      <c r="AO41" s="2" t="e">
        <f t="shared" si="59"/>
        <v>#DIV/0!</v>
      </c>
      <c r="AP41" s="2" t="e">
        <f t="shared" ref="AP41:AQ41" si="91">1-NORMSDIST($AN41+AQ$31)</f>
        <v>#DIV/0!</v>
      </c>
      <c r="AQ41" s="2" t="e">
        <f t="shared" si="91"/>
        <v>#DIV/0!</v>
      </c>
      <c r="AS41" s="8" t="e">
        <f t="shared" si="36"/>
        <v>#DIV/0!</v>
      </c>
      <c r="AT41" s="2" t="e">
        <f t="shared" si="61"/>
        <v>#DIV/0!</v>
      </c>
      <c r="AU41" s="2" t="e">
        <f t="shared" si="62"/>
        <v>#DIV/0!</v>
      </c>
      <c r="AV41" s="2" t="e">
        <f t="shared" si="37"/>
        <v>#DIV/0!</v>
      </c>
      <c r="AY41" s="8" t="e">
        <f t="shared" si="38"/>
        <v>#DIV/0!</v>
      </c>
      <c r="AZ41" s="2" t="e">
        <f t="shared" si="63"/>
        <v>#DIV/0!</v>
      </c>
      <c r="BA41" s="2" t="e">
        <f t="shared" si="64"/>
        <v>#DIV/0!</v>
      </c>
      <c r="BB41" s="2" t="e">
        <f t="shared" si="64"/>
        <v>#DIV/0!</v>
      </c>
      <c r="BE41" s="8" t="e">
        <f t="shared" si="39"/>
        <v>#DIV/0!</v>
      </c>
      <c r="BF41" s="2" t="e">
        <f t="shared" si="65"/>
        <v>#DIV/0!</v>
      </c>
      <c r="BG41" s="2" t="e">
        <f t="shared" si="66"/>
        <v>#DIV/0!</v>
      </c>
      <c r="BH41" s="2" t="e">
        <f t="shared" si="67"/>
        <v>#DIV/0!</v>
      </c>
    </row>
    <row r="42" spans="1:60" x14ac:dyDescent="0.2">
      <c r="A42" s="2">
        <f t="shared" si="40"/>
        <v>0.49999999999999994</v>
      </c>
      <c r="B42" s="2">
        <f t="shared" si="41"/>
        <v>0.60653065971263342</v>
      </c>
      <c r="C42" s="2">
        <f t="shared" si="42"/>
        <v>0.60653065971263342</v>
      </c>
      <c r="D42" s="2">
        <f t="shared" si="42"/>
        <v>0.60653065971263342</v>
      </c>
      <c r="E42" s="8">
        <f t="shared" si="43"/>
        <v>0.60653065971263342</v>
      </c>
      <c r="F42" s="2">
        <f t="shared" ref="F42:G42" si="92">EXP(-(($A42*$F$31*G$31)^$E$31))</f>
        <v>0.60653065971263342</v>
      </c>
      <c r="G42" s="2">
        <f t="shared" si="92"/>
        <v>0.60653065971263342</v>
      </c>
      <c r="I42" s="8" t="e">
        <f t="shared" si="45"/>
        <v>#DIV/0!</v>
      </c>
      <c r="J42" s="2" t="e">
        <f t="shared" ref="J42:K42" si="93">EXP(-(($J$31*K$31)/$I$31)*(EXP($I$31*$A42)-1))</f>
        <v>#DIV/0!</v>
      </c>
      <c r="K42" s="2" t="e">
        <f t="shared" si="93"/>
        <v>#DIV/0!</v>
      </c>
      <c r="M42" s="8">
        <f t="shared" si="47"/>
        <v>0.75589140421441736</v>
      </c>
      <c r="N42" s="2">
        <f t="shared" ref="N42:O42" si="94">1-_xlfn.NORM.S.DIST((LN($A42)-$M$31-O$31)/$N$31,TRUE)</f>
        <v>0.75589140421441736</v>
      </c>
      <c r="O42" s="2">
        <f t="shared" si="94"/>
        <v>0.75589140421441736</v>
      </c>
      <c r="Q42" s="8">
        <f t="shared" si="49"/>
        <v>0.66666666666666674</v>
      </c>
      <c r="R42" s="2">
        <f t="shared" ref="R42:S42" si="95">1-(1/(1+($A42/($R$31*S$31))^(-$Q$31)))</f>
        <v>0.66666666666666674</v>
      </c>
      <c r="S42" s="2">
        <f t="shared" si="95"/>
        <v>0.66666666666666674</v>
      </c>
      <c r="U42" s="8">
        <f t="shared" si="51"/>
        <v>0.60653065971263342</v>
      </c>
      <c r="V42" s="2">
        <f t="shared" ref="V42" si="96">1-(_xlfn.GAMMA.DIST($V$31*W$31*$A42,$U$31,1,TRUE)*EXP(GAMMALN($U$31)))/EXP(GAMMALN($U$31))</f>
        <v>0.60653065971263342</v>
      </c>
      <c r="W42" s="2">
        <f t="shared" si="31"/>
        <v>0.60653065971263342</v>
      </c>
      <c r="Y42" s="8">
        <f t="shared" si="53"/>
        <v>0.75589140421441736</v>
      </c>
      <c r="Z42" s="2">
        <f t="shared" si="54"/>
        <v>0.75589140421441736</v>
      </c>
      <c r="AA42" s="2">
        <f t="shared" si="32"/>
        <v>0.75589140421441736</v>
      </c>
      <c r="AD42" s="8" t="e">
        <f t="shared" si="33"/>
        <v>#DIV/0!</v>
      </c>
      <c r="AE42" s="2" t="e">
        <f t="shared" si="55"/>
        <v>#DIV/0!</v>
      </c>
      <c r="AF42" s="2" t="e">
        <f t="shared" ref="AF42:AG42" si="97">EXP(-EXP($AD42+AG$31))</f>
        <v>#DIV/0!</v>
      </c>
      <c r="AG42" s="2" t="e">
        <f t="shared" si="97"/>
        <v>#DIV/0!</v>
      </c>
      <c r="AI42" s="8" t="e">
        <f t="shared" si="34"/>
        <v>#DIV/0!</v>
      </c>
      <c r="AJ42" s="2" t="e">
        <f t="shared" si="57"/>
        <v>#DIV/0!</v>
      </c>
      <c r="AK42" s="2" t="e">
        <f t="shared" ref="AK42:AL42" si="98">1-(EXP($AI42+AL$31)/(1 + EXP($AI42+AL$31)))</f>
        <v>#DIV/0!</v>
      </c>
      <c r="AL42" s="2" t="e">
        <f t="shared" si="98"/>
        <v>#DIV/0!</v>
      </c>
      <c r="AN42" s="8" t="e">
        <f t="shared" si="35"/>
        <v>#DIV/0!</v>
      </c>
      <c r="AO42" s="2" t="e">
        <f t="shared" si="59"/>
        <v>#DIV/0!</v>
      </c>
      <c r="AP42" s="2" t="e">
        <f t="shared" ref="AP42:AQ42" si="99">1-NORMSDIST($AN42+AQ$31)</f>
        <v>#DIV/0!</v>
      </c>
      <c r="AQ42" s="2" t="e">
        <f t="shared" si="99"/>
        <v>#DIV/0!</v>
      </c>
      <c r="AS42" s="8" t="e">
        <f t="shared" si="36"/>
        <v>#DIV/0!</v>
      </c>
      <c r="AT42" s="2" t="e">
        <f t="shared" si="61"/>
        <v>#DIV/0!</v>
      </c>
      <c r="AU42" s="2" t="e">
        <f t="shared" si="62"/>
        <v>#DIV/0!</v>
      </c>
      <c r="AV42" s="2" t="e">
        <f t="shared" si="37"/>
        <v>#DIV/0!</v>
      </c>
      <c r="AY42" s="8" t="e">
        <f t="shared" si="38"/>
        <v>#DIV/0!</v>
      </c>
      <c r="AZ42" s="2" t="e">
        <f t="shared" si="63"/>
        <v>#DIV/0!</v>
      </c>
      <c r="BA42" s="2" t="e">
        <f t="shared" si="64"/>
        <v>#DIV/0!</v>
      </c>
      <c r="BB42" s="2" t="e">
        <f t="shared" si="64"/>
        <v>#DIV/0!</v>
      </c>
      <c r="BE42" s="8" t="e">
        <f t="shared" si="39"/>
        <v>#DIV/0!</v>
      </c>
      <c r="BF42" s="2" t="e">
        <f t="shared" si="65"/>
        <v>#DIV/0!</v>
      </c>
      <c r="BG42" s="2" t="e">
        <f t="shared" si="66"/>
        <v>#DIV/0!</v>
      </c>
      <c r="BH42" s="2" t="e">
        <f t="shared" si="67"/>
        <v>#DIV/0!</v>
      </c>
    </row>
    <row r="43" spans="1:60" x14ac:dyDescent="0.2">
      <c r="A43" s="2">
        <f t="shared" ref="A43:A106" si="100">A42+$A$35</f>
        <v>0.58333333333333326</v>
      </c>
      <c r="B43" s="2">
        <f t="shared" si="41"/>
        <v>0.55803514577004709</v>
      </c>
      <c r="C43" s="2">
        <f t="shared" si="42"/>
        <v>0.55803514577004709</v>
      </c>
      <c r="D43" s="2">
        <f t="shared" si="42"/>
        <v>0.55803514577004709</v>
      </c>
      <c r="E43" s="8">
        <f t="shared" si="43"/>
        <v>0.55803514577004709</v>
      </c>
      <c r="F43" s="2">
        <f t="shared" ref="F43:G43" si="101">EXP(-(($A43*$F$31*G$31)^$E$31))</f>
        <v>0.55803514577004709</v>
      </c>
      <c r="G43" s="2">
        <f t="shared" si="101"/>
        <v>0.55803514577004709</v>
      </c>
      <c r="I43" s="8" t="e">
        <f t="shared" si="45"/>
        <v>#DIV/0!</v>
      </c>
      <c r="J43" s="2" t="e">
        <f t="shared" ref="J43:K43" si="102">EXP(-(($J$31*K$31)/$I$31)*(EXP($I$31*$A43)-1))</f>
        <v>#DIV/0!</v>
      </c>
      <c r="K43" s="2" t="e">
        <f t="shared" si="102"/>
        <v>#DIV/0!</v>
      </c>
      <c r="M43" s="8">
        <f t="shared" si="47"/>
        <v>0.70505536546009306</v>
      </c>
      <c r="N43" s="2">
        <f t="shared" ref="N43:O43" si="103">1-_xlfn.NORM.S.DIST((LN($A43)-$M$31-O$31)/$N$31,TRUE)</f>
        <v>0.70505536546009306</v>
      </c>
      <c r="O43" s="2">
        <f t="shared" si="103"/>
        <v>0.70505536546009306</v>
      </c>
      <c r="Q43" s="8">
        <f t="shared" si="49"/>
        <v>0.63157894736842102</v>
      </c>
      <c r="R43" s="2">
        <f t="shared" ref="R43:S43" si="104">1-(1/(1+($A43/($R$31*S$31))^(-$Q$31)))</f>
        <v>0.63157894736842102</v>
      </c>
      <c r="S43" s="2">
        <f t="shared" si="104"/>
        <v>0.63157894736842102</v>
      </c>
      <c r="U43" s="8">
        <f t="shared" si="51"/>
        <v>0.55803514577004709</v>
      </c>
      <c r="V43" s="2">
        <f t="shared" ref="V43" si="105">1-(_xlfn.GAMMA.DIST($V$31*W$31*$A43,$U$31,1,TRUE)*EXP(GAMMALN($U$31)))/EXP(GAMMALN($U$31))</f>
        <v>0.55803514577004709</v>
      </c>
      <c r="W43" s="2">
        <f t="shared" si="31"/>
        <v>0.55803514577004709</v>
      </c>
      <c r="Y43" s="8">
        <f t="shared" si="53"/>
        <v>0.70505536546009306</v>
      </c>
      <c r="Z43" s="2">
        <f t="shared" ref="Z43:Z106" si="106">IF(ABS($AA$31)&lt;0.05,
        1-_xlfn.NORM.S.DIST((LN($A43)-($Y$31+AB$31))/$Z$31,TRUE),
        IF(0=1-
            IF($AA$31&gt;0,
                    _xlfn.GAMMA.DIST(EXP($AA$31*((LN($A43)-($Y$31+AB$31))/$Z$31))*($AA$31^(-2)),($AA$31^(-2)),1, TRUE),
                    1-_xlfn.GAMMA.DIST(EXP($AA$31*((LN($A43)-($Y$31+AB$31))/$Z$31))*($AA$31^(-2)),($AA$31^(-2)),1, TRUE)),
            0,
            EXP(LN(1-
                IF($AA$31&gt;0,
                    _xlfn.GAMMA.DIST(EXP($AA$31*((LN($A43)-($Y$31+AB$31))/$Z$31))*($AA$31^(-2)),($AA$31^(-2)),1, TRUE),
                    1-_xlfn.GAMMA.DIST(EXP($AA$31*((LN($A43)-($Y$31+AB$31))/$Z$31))*($AA$31^(-2)),($AA$31^(-2)),1, TRUE))))))</f>
        <v>0.70505536546009306</v>
      </c>
      <c r="AA43" s="2">
        <f t="shared" ref="AA43:AA106" si="107">IF(ABS($AA$31)&lt;0.05,
        1-_xlfn.NORM.S.DIST((LN($A43)-($Y$31+AC$31))/$Z$31,TRUE),
        IF(0=1-
            IF($AA$31&gt;0,
                    _xlfn.GAMMA.DIST(EXP($AA$31*((LN($A43)-($Y$31+AC$31))/$Z$31))*($AA$31^(-2)),($AA$31^(-2)),1, TRUE),
                    1-_xlfn.GAMMA.DIST(EXP($AA$31*((LN($A43)-($Y$31+AC$31))/$Z$31))*($AA$31^(-2)),($AA$31^(-2)),1, TRUE)),
            0,
            EXP(LN(1-
                IF($AA$31&gt;0,
                    _xlfn.GAMMA.DIST(EXP($AA$31*((LN($A43)-($Y$31+AC$31))/$Z$31))*($AA$31^(-2)),($AA$31^(-2)),1, TRUE),
                    1-_xlfn.GAMMA.DIST(EXP($AA$31*((LN($A43)-($Y$31+AC$31))/$Z$31))*($AA$31^(-2)),($AA$31^(-2)),1, TRUE))))))</f>
        <v>0.70505536546009306</v>
      </c>
      <c r="AD43" s="8" t="e">
        <f t="shared" si="33"/>
        <v>#DIV/0!</v>
      </c>
      <c r="AE43" s="2" t="e">
        <f t="shared" si="55"/>
        <v>#DIV/0!</v>
      </c>
      <c r="AF43" s="2" t="e">
        <f t="shared" ref="AF43:AG43" si="108">EXP(-EXP($AD43+AG$31))</f>
        <v>#DIV/0!</v>
      </c>
      <c r="AG43" s="2" t="e">
        <f t="shared" si="108"/>
        <v>#DIV/0!</v>
      </c>
      <c r="AI43" s="8" t="e">
        <f t="shared" si="34"/>
        <v>#DIV/0!</v>
      </c>
      <c r="AJ43" s="2" t="e">
        <f t="shared" si="57"/>
        <v>#DIV/0!</v>
      </c>
      <c r="AK43" s="2" t="e">
        <f t="shared" ref="AK43:AL43" si="109">1-(EXP($AI43+AL$31)/(1 + EXP($AI43+AL$31)))</f>
        <v>#DIV/0!</v>
      </c>
      <c r="AL43" s="2" t="e">
        <f t="shared" si="109"/>
        <v>#DIV/0!</v>
      </c>
      <c r="AN43" s="8" t="e">
        <f t="shared" si="35"/>
        <v>#DIV/0!</v>
      </c>
      <c r="AO43" s="2" t="e">
        <f t="shared" si="59"/>
        <v>#DIV/0!</v>
      </c>
      <c r="AP43" s="2" t="e">
        <f t="shared" ref="AP43:AQ43" si="110">1-NORMSDIST($AN43+AQ$31)</f>
        <v>#DIV/0!</v>
      </c>
      <c r="AQ43" s="2" t="e">
        <f t="shared" si="110"/>
        <v>#DIV/0!</v>
      </c>
      <c r="AS43" s="8" t="e">
        <f t="shared" si="36"/>
        <v>#DIV/0!</v>
      </c>
      <c r="AT43" s="2" t="e">
        <f t="shared" si="61"/>
        <v>#DIV/0!</v>
      </c>
      <c r="AU43" s="2" t="e">
        <f t="shared" ref="AU43:AU106" si="111">EXP(-EXP($AS43+AW$31))</f>
        <v>#DIV/0!</v>
      </c>
      <c r="AV43" s="2" t="e">
        <f t="shared" ref="AV43:AV106" si="112">EXP(-EXP($AS43+AX$31))</f>
        <v>#DIV/0!</v>
      </c>
      <c r="AY43" s="8" t="e">
        <f t="shared" si="38"/>
        <v>#DIV/0!</v>
      </c>
      <c r="AZ43" s="2" t="e">
        <f t="shared" si="63"/>
        <v>#DIV/0!</v>
      </c>
      <c r="BA43" s="2" t="e">
        <f t="shared" ref="BA43:BA106" si="113">1-(EXP($AY43+BC$31)/(1 + EXP($AY43+BC$31)))</f>
        <v>#DIV/0!</v>
      </c>
      <c r="BB43" s="2" t="e">
        <f t="shared" ref="BB43:BB106" si="114">1-(EXP($AY43+BD$31)/(1 + EXP($AY43+BD$31)))</f>
        <v>#DIV/0!</v>
      </c>
      <c r="BE43" s="8" t="e">
        <f t="shared" si="39"/>
        <v>#DIV/0!</v>
      </c>
      <c r="BF43" s="2" t="e">
        <f t="shared" si="65"/>
        <v>#DIV/0!</v>
      </c>
      <c r="BG43" s="2" t="e">
        <f t="shared" si="66"/>
        <v>#DIV/0!</v>
      </c>
      <c r="BH43" s="2" t="e">
        <f t="shared" si="67"/>
        <v>#DIV/0!</v>
      </c>
    </row>
    <row r="44" spans="1:60" x14ac:dyDescent="0.2">
      <c r="A44" s="2">
        <f t="shared" si="100"/>
        <v>0.66666666666666663</v>
      </c>
      <c r="B44" s="2">
        <f t="shared" si="41"/>
        <v>0.51341711903259202</v>
      </c>
      <c r="C44" s="2">
        <f t="shared" si="42"/>
        <v>0.51341711903259202</v>
      </c>
      <c r="D44" s="2">
        <f t="shared" si="42"/>
        <v>0.51341711903259202</v>
      </c>
      <c r="E44" s="8">
        <f t="shared" si="43"/>
        <v>0.51341711903259202</v>
      </c>
      <c r="F44" s="2">
        <f t="shared" ref="F44:G44" si="115">EXP(-(($A44*$F$31*G$31)^$E$31))</f>
        <v>0.51341711903259202</v>
      </c>
      <c r="G44" s="2">
        <f t="shared" si="115"/>
        <v>0.51341711903259202</v>
      </c>
      <c r="I44" s="8" t="e">
        <f t="shared" si="45"/>
        <v>#DIV/0!</v>
      </c>
      <c r="J44" s="2" t="e">
        <f t="shared" ref="J44:K44" si="116">EXP(-(($J$31*K$31)/$I$31)*(EXP($I$31*$A44)-1))</f>
        <v>#DIV/0!</v>
      </c>
      <c r="K44" s="2" t="e">
        <f t="shared" si="116"/>
        <v>#DIV/0!</v>
      </c>
      <c r="M44" s="8">
        <f t="shared" si="47"/>
        <v>0.65743216948515415</v>
      </c>
      <c r="N44" s="2">
        <f t="shared" ref="N44:O44" si="117">1-_xlfn.NORM.S.DIST((LN($A44)-$M$31-O$31)/$N$31,TRUE)</f>
        <v>0.65743216948515415</v>
      </c>
      <c r="O44" s="2">
        <f t="shared" si="117"/>
        <v>0.65743216948515415</v>
      </c>
      <c r="Q44" s="8">
        <f t="shared" si="49"/>
        <v>0.6</v>
      </c>
      <c r="R44" s="2">
        <f t="shared" ref="R44:S44" si="118">1-(1/(1+($A44/($R$31*S$31))^(-$Q$31)))</f>
        <v>0.6</v>
      </c>
      <c r="S44" s="2">
        <f t="shared" si="118"/>
        <v>0.6</v>
      </c>
      <c r="U44" s="8">
        <f t="shared" si="51"/>
        <v>0.51341711903259202</v>
      </c>
      <c r="V44" s="2">
        <f t="shared" ref="V44" si="119">1-(_xlfn.GAMMA.DIST($V$31*W$31*$A44,$U$31,1,TRUE)*EXP(GAMMALN($U$31)))/EXP(GAMMALN($U$31))</f>
        <v>0.51341711903259202</v>
      </c>
      <c r="W44" s="2">
        <f t="shared" si="31"/>
        <v>0.51341711903259202</v>
      </c>
      <c r="Y44" s="8">
        <f t="shared" si="53"/>
        <v>0.65743216948515415</v>
      </c>
      <c r="Z44" s="2">
        <f t="shared" si="106"/>
        <v>0.65743216948515415</v>
      </c>
      <c r="AA44" s="2">
        <f t="shared" si="107"/>
        <v>0.65743216948515415</v>
      </c>
      <c r="AD44" s="8" t="e">
        <f t="shared" si="33"/>
        <v>#DIV/0!</v>
      </c>
      <c r="AE44" s="2" t="e">
        <f t="shared" si="55"/>
        <v>#DIV/0!</v>
      </c>
      <c r="AF44" s="2" t="e">
        <f t="shared" ref="AF44:AG44" si="120">EXP(-EXP($AD44+AG$31))</f>
        <v>#DIV/0!</v>
      </c>
      <c r="AG44" s="2" t="e">
        <f t="shared" si="120"/>
        <v>#DIV/0!</v>
      </c>
      <c r="AI44" s="8" t="e">
        <f t="shared" si="34"/>
        <v>#DIV/0!</v>
      </c>
      <c r="AJ44" s="2" t="e">
        <f t="shared" si="57"/>
        <v>#DIV/0!</v>
      </c>
      <c r="AK44" s="2" t="e">
        <f t="shared" ref="AK44:AL44" si="121">1-(EXP($AI44+AL$31)/(1 + EXP($AI44+AL$31)))</f>
        <v>#DIV/0!</v>
      </c>
      <c r="AL44" s="2" t="e">
        <f t="shared" si="121"/>
        <v>#DIV/0!</v>
      </c>
      <c r="AN44" s="8" t="e">
        <f t="shared" si="35"/>
        <v>#DIV/0!</v>
      </c>
      <c r="AO44" s="2" t="e">
        <f t="shared" si="59"/>
        <v>#DIV/0!</v>
      </c>
      <c r="AP44" s="2" t="e">
        <f t="shared" ref="AP44:AQ44" si="122">1-NORMSDIST($AN44+AQ$31)</f>
        <v>#DIV/0!</v>
      </c>
      <c r="AQ44" s="2" t="e">
        <f t="shared" si="122"/>
        <v>#DIV/0!</v>
      </c>
      <c r="AS44" s="8" t="e">
        <f t="shared" si="36"/>
        <v>#DIV/0!</v>
      </c>
      <c r="AT44" s="2" t="e">
        <f t="shared" si="61"/>
        <v>#DIV/0!</v>
      </c>
      <c r="AU44" s="2" t="e">
        <f t="shared" si="111"/>
        <v>#DIV/0!</v>
      </c>
      <c r="AV44" s="2" t="e">
        <f t="shared" si="112"/>
        <v>#DIV/0!</v>
      </c>
      <c r="AY44" s="8" t="e">
        <f t="shared" si="38"/>
        <v>#DIV/0!</v>
      </c>
      <c r="AZ44" s="2" t="e">
        <f t="shared" si="63"/>
        <v>#DIV/0!</v>
      </c>
      <c r="BA44" s="2" t="e">
        <f t="shared" si="113"/>
        <v>#DIV/0!</v>
      </c>
      <c r="BB44" s="2" t="e">
        <f t="shared" si="114"/>
        <v>#DIV/0!</v>
      </c>
      <c r="BE44" s="8" t="e">
        <f t="shared" si="39"/>
        <v>#DIV/0!</v>
      </c>
      <c r="BF44" s="2" t="e">
        <f t="shared" si="65"/>
        <v>#DIV/0!</v>
      </c>
      <c r="BG44" s="2" t="e">
        <f t="shared" si="66"/>
        <v>#DIV/0!</v>
      </c>
      <c r="BH44" s="2" t="e">
        <f t="shared" si="67"/>
        <v>#DIV/0!</v>
      </c>
    </row>
    <row r="45" spans="1:60" x14ac:dyDescent="0.2">
      <c r="A45" s="2">
        <f t="shared" si="100"/>
        <v>0.75</v>
      </c>
      <c r="B45" s="2">
        <f t="shared" si="41"/>
        <v>0.47236655274101469</v>
      </c>
      <c r="C45" s="2">
        <f t="shared" si="42"/>
        <v>0.47236655274101469</v>
      </c>
      <c r="D45" s="2">
        <f t="shared" si="42"/>
        <v>0.47236655274101469</v>
      </c>
      <c r="E45" s="8">
        <f t="shared" si="43"/>
        <v>0.47236655274101469</v>
      </c>
      <c r="F45" s="2">
        <f t="shared" ref="F45:G45" si="123">EXP(-(($A45*$F$31*G$31)^$E$31))</f>
        <v>0.47236655274101469</v>
      </c>
      <c r="G45" s="2">
        <f t="shared" si="123"/>
        <v>0.47236655274101469</v>
      </c>
      <c r="I45" s="8" t="e">
        <f t="shared" si="45"/>
        <v>#DIV/0!</v>
      </c>
      <c r="J45" s="2" t="e">
        <f t="shared" ref="J45:K45" si="124">EXP(-(($J$31*K$31)/$I$31)*(EXP($I$31*$A45)-1))</f>
        <v>#DIV/0!</v>
      </c>
      <c r="K45" s="2" t="e">
        <f t="shared" si="124"/>
        <v>#DIV/0!</v>
      </c>
      <c r="M45" s="8">
        <f t="shared" si="47"/>
        <v>0.61320494286590277</v>
      </c>
      <c r="N45" s="2">
        <f t="shared" ref="N45:O45" si="125">1-_xlfn.NORM.S.DIST((LN($A45)-$M$31-O$31)/$N$31,TRUE)</f>
        <v>0.61320494286590277</v>
      </c>
      <c r="O45" s="2">
        <f t="shared" si="125"/>
        <v>0.61320494286590277</v>
      </c>
      <c r="Q45" s="8">
        <f t="shared" si="49"/>
        <v>0.5714285714285714</v>
      </c>
      <c r="R45" s="2">
        <f t="shared" ref="R45:S45" si="126">1-(1/(1+($A45/($R$31*S$31))^(-$Q$31)))</f>
        <v>0.5714285714285714</v>
      </c>
      <c r="S45" s="2">
        <f t="shared" si="126"/>
        <v>0.5714285714285714</v>
      </c>
      <c r="U45" s="8">
        <f t="shared" si="51"/>
        <v>0.47236655274101469</v>
      </c>
      <c r="V45" s="2">
        <f t="shared" ref="V45" si="127">1-(_xlfn.GAMMA.DIST($V$31*W$31*$A45,$U$31,1,TRUE)*EXP(GAMMALN($U$31)))/EXP(GAMMALN($U$31))</f>
        <v>0.47236655274101469</v>
      </c>
      <c r="W45" s="2">
        <f t="shared" si="31"/>
        <v>0.47236655274101469</v>
      </c>
      <c r="Y45" s="8">
        <f t="shared" si="53"/>
        <v>0.61320494286590277</v>
      </c>
      <c r="Z45" s="2">
        <f t="shared" si="106"/>
        <v>0.61320494286590277</v>
      </c>
      <c r="AA45" s="2">
        <f t="shared" si="107"/>
        <v>0.61320494286590277</v>
      </c>
      <c r="AD45" s="8" t="e">
        <f t="shared" si="33"/>
        <v>#DIV/0!</v>
      </c>
      <c r="AE45" s="2" t="e">
        <f t="shared" si="55"/>
        <v>#DIV/0!</v>
      </c>
      <c r="AF45" s="2" t="e">
        <f t="shared" ref="AF45:AG45" si="128">EXP(-EXP($AD45+AG$31))</f>
        <v>#DIV/0!</v>
      </c>
      <c r="AG45" s="2" t="e">
        <f t="shared" si="128"/>
        <v>#DIV/0!</v>
      </c>
      <c r="AI45" s="8" t="e">
        <f t="shared" si="34"/>
        <v>#DIV/0!</v>
      </c>
      <c r="AJ45" s="2" t="e">
        <f t="shared" si="57"/>
        <v>#DIV/0!</v>
      </c>
      <c r="AK45" s="2" t="e">
        <f t="shared" ref="AK45:AL45" si="129">1-(EXP($AI45+AL$31)/(1 + EXP($AI45+AL$31)))</f>
        <v>#DIV/0!</v>
      </c>
      <c r="AL45" s="2" t="e">
        <f t="shared" si="129"/>
        <v>#DIV/0!</v>
      </c>
      <c r="AN45" s="8" t="e">
        <f t="shared" si="35"/>
        <v>#DIV/0!</v>
      </c>
      <c r="AO45" s="2" t="e">
        <f t="shared" si="59"/>
        <v>#DIV/0!</v>
      </c>
      <c r="AP45" s="2" t="e">
        <f t="shared" ref="AP45:AQ45" si="130">1-NORMSDIST($AN45+AQ$31)</f>
        <v>#DIV/0!</v>
      </c>
      <c r="AQ45" s="2" t="e">
        <f t="shared" si="130"/>
        <v>#DIV/0!</v>
      </c>
      <c r="AS45" s="8" t="e">
        <f t="shared" si="36"/>
        <v>#DIV/0!</v>
      </c>
      <c r="AT45" s="2" t="e">
        <f t="shared" si="61"/>
        <v>#DIV/0!</v>
      </c>
      <c r="AU45" s="2" t="e">
        <f t="shared" si="111"/>
        <v>#DIV/0!</v>
      </c>
      <c r="AV45" s="2" t="e">
        <f t="shared" si="112"/>
        <v>#DIV/0!</v>
      </c>
      <c r="AY45" s="8" t="e">
        <f t="shared" si="38"/>
        <v>#DIV/0!</v>
      </c>
      <c r="AZ45" s="2" t="e">
        <f t="shared" si="63"/>
        <v>#DIV/0!</v>
      </c>
      <c r="BA45" s="2" t="e">
        <f t="shared" si="113"/>
        <v>#DIV/0!</v>
      </c>
      <c r="BB45" s="2" t="e">
        <f t="shared" si="114"/>
        <v>#DIV/0!</v>
      </c>
      <c r="BE45" s="8" t="e">
        <f t="shared" si="39"/>
        <v>#DIV/0!</v>
      </c>
      <c r="BF45" s="2" t="e">
        <f t="shared" si="65"/>
        <v>#DIV/0!</v>
      </c>
      <c r="BG45" s="2" t="e">
        <f t="shared" si="66"/>
        <v>#DIV/0!</v>
      </c>
      <c r="BH45" s="2" t="e">
        <f t="shared" si="67"/>
        <v>#DIV/0!</v>
      </c>
    </row>
    <row r="46" spans="1:60" x14ac:dyDescent="0.2">
      <c r="A46" s="2">
        <f t="shared" si="100"/>
        <v>0.83333333333333337</v>
      </c>
      <c r="B46" s="2">
        <f t="shared" si="41"/>
        <v>0.4345982085070782</v>
      </c>
      <c r="C46" s="2">
        <f t="shared" si="42"/>
        <v>0.4345982085070782</v>
      </c>
      <c r="D46" s="2">
        <f t="shared" si="42"/>
        <v>0.4345982085070782</v>
      </c>
      <c r="E46" s="8">
        <f t="shared" si="43"/>
        <v>0.4345982085070782</v>
      </c>
      <c r="F46" s="2">
        <f t="shared" ref="F46:G46" si="131">EXP(-(($A46*$F$31*G$31)^$E$31))</f>
        <v>0.4345982085070782</v>
      </c>
      <c r="G46" s="2">
        <f t="shared" si="131"/>
        <v>0.4345982085070782</v>
      </c>
      <c r="I46" s="8" t="e">
        <f t="shared" si="45"/>
        <v>#DIV/0!</v>
      </c>
      <c r="J46" s="2" t="e">
        <f t="shared" ref="J46:K46" si="132">EXP(-(($J$31*K$31)/$I$31)*(EXP($I$31*$A46)-1))</f>
        <v>#DIV/0!</v>
      </c>
      <c r="K46" s="2" t="e">
        <f t="shared" si="132"/>
        <v>#DIV/0!</v>
      </c>
      <c r="M46" s="8">
        <f t="shared" si="47"/>
        <v>0.57233480883676835</v>
      </c>
      <c r="N46" s="2">
        <f t="shared" ref="N46:O46" si="133">1-_xlfn.NORM.S.DIST((LN($A46)-$M$31-O$31)/$N$31,TRUE)</f>
        <v>0.57233480883676835</v>
      </c>
      <c r="O46" s="2">
        <f t="shared" si="133"/>
        <v>0.57233480883676835</v>
      </c>
      <c r="Q46" s="8">
        <f t="shared" si="49"/>
        <v>0.54545454545454541</v>
      </c>
      <c r="R46" s="2">
        <f t="shared" ref="R46:S46" si="134">1-(1/(1+($A46/($R$31*S$31))^(-$Q$31)))</f>
        <v>0.54545454545454541</v>
      </c>
      <c r="S46" s="2">
        <f t="shared" si="134"/>
        <v>0.54545454545454541</v>
      </c>
      <c r="U46" s="8">
        <f t="shared" si="51"/>
        <v>0.4345982085070782</v>
      </c>
      <c r="V46" s="2">
        <f t="shared" ref="V46" si="135">1-(_xlfn.GAMMA.DIST($V$31*W$31*$A46,$U$31,1,TRUE)*EXP(GAMMALN($U$31)))/EXP(GAMMALN($U$31))</f>
        <v>0.4345982085070782</v>
      </c>
      <c r="W46" s="2">
        <f t="shared" si="31"/>
        <v>0.4345982085070782</v>
      </c>
      <c r="Y46" s="8">
        <f t="shared" si="53"/>
        <v>0.57233480883676835</v>
      </c>
      <c r="Z46" s="2">
        <f t="shared" si="106"/>
        <v>0.57233480883676835</v>
      </c>
      <c r="AA46" s="2">
        <f t="shared" si="107"/>
        <v>0.57233480883676835</v>
      </c>
      <c r="AD46" s="8" t="e">
        <f t="shared" si="33"/>
        <v>#DIV/0!</v>
      </c>
      <c r="AE46" s="2" t="e">
        <f t="shared" si="55"/>
        <v>#DIV/0!</v>
      </c>
      <c r="AF46" s="2" t="e">
        <f t="shared" ref="AF46:AG46" si="136">EXP(-EXP($AD46+AG$31))</f>
        <v>#DIV/0!</v>
      </c>
      <c r="AG46" s="2" t="e">
        <f t="shared" si="136"/>
        <v>#DIV/0!</v>
      </c>
      <c r="AI46" s="8" t="e">
        <f t="shared" si="34"/>
        <v>#DIV/0!</v>
      </c>
      <c r="AJ46" s="2" t="e">
        <f t="shared" si="57"/>
        <v>#DIV/0!</v>
      </c>
      <c r="AK46" s="2" t="e">
        <f t="shared" ref="AK46:AL46" si="137">1-(EXP($AI46+AL$31)/(1 + EXP($AI46+AL$31)))</f>
        <v>#DIV/0!</v>
      </c>
      <c r="AL46" s="2" t="e">
        <f t="shared" si="137"/>
        <v>#DIV/0!</v>
      </c>
      <c r="AN46" s="8" t="e">
        <f t="shared" si="35"/>
        <v>#DIV/0!</v>
      </c>
      <c r="AO46" s="2" t="e">
        <f t="shared" si="59"/>
        <v>#DIV/0!</v>
      </c>
      <c r="AP46" s="2" t="e">
        <f t="shared" ref="AP46:AQ46" si="138">1-NORMSDIST($AN46+AQ$31)</f>
        <v>#DIV/0!</v>
      </c>
      <c r="AQ46" s="2" t="e">
        <f t="shared" si="138"/>
        <v>#DIV/0!</v>
      </c>
      <c r="AS46" s="8" t="e">
        <f t="shared" si="36"/>
        <v>#DIV/0!</v>
      </c>
      <c r="AT46" s="2" t="e">
        <f t="shared" si="61"/>
        <v>#DIV/0!</v>
      </c>
      <c r="AU46" s="2" t="e">
        <f t="shared" si="111"/>
        <v>#DIV/0!</v>
      </c>
      <c r="AV46" s="2" t="e">
        <f t="shared" si="112"/>
        <v>#DIV/0!</v>
      </c>
      <c r="AY46" s="8" t="e">
        <f t="shared" si="38"/>
        <v>#DIV/0!</v>
      </c>
      <c r="AZ46" s="2" t="e">
        <f t="shared" si="63"/>
        <v>#DIV/0!</v>
      </c>
      <c r="BA46" s="2" t="e">
        <f t="shared" si="113"/>
        <v>#DIV/0!</v>
      </c>
      <c r="BB46" s="2" t="e">
        <f t="shared" si="114"/>
        <v>#DIV/0!</v>
      </c>
      <c r="BE46" s="8" t="e">
        <f t="shared" si="39"/>
        <v>#DIV/0!</v>
      </c>
      <c r="BF46" s="2" t="e">
        <f t="shared" si="65"/>
        <v>#DIV/0!</v>
      </c>
      <c r="BG46" s="2" t="e">
        <f t="shared" si="66"/>
        <v>#DIV/0!</v>
      </c>
      <c r="BH46" s="2" t="e">
        <f t="shared" si="67"/>
        <v>#DIV/0!</v>
      </c>
    </row>
    <row r="47" spans="1:60" x14ac:dyDescent="0.2">
      <c r="A47" s="2">
        <f t="shared" si="100"/>
        <v>0.91666666666666674</v>
      </c>
      <c r="B47" s="2">
        <f t="shared" si="41"/>
        <v>0.39984965434484732</v>
      </c>
      <c r="C47" s="2">
        <f t="shared" si="42"/>
        <v>0.39984965434484732</v>
      </c>
      <c r="D47" s="2">
        <f t="shared" si="42"/>
        <v>0.39984965434484732</v>
      </c>
      <c r="E47" s="8">
        <f t="shared" si="43"/>
        <v>0.39984965434484732</v>
      </c>
      <c r="F47" s="2">
        <f t="shared" ref="F47:G47" si="139">EXP(-(($A47*$F$31*G$31)^$E$31))</f>
        <v>0.39984965434484732</v>
      </c>
      <c r="G47" s="2">
        <f t="shared" si="139"/>
        <v>0.39984965434484732</v>
      </c>
      <c r="I47" s="8" t="e">
        <f t="shared" si="45"/>
        <v>#DIV/0!</v>
      </c>
      <c r="J47" s="2" t="e">
        <f t="shared" ref="J47:K47" si="140">EXP(-(($J$31*K$31)/$I$31)*(EXP($I$31*$A47)-1))</f>
        <v>#DIV/0!</v>
      </c>
      <c r="K47" s="2" t="e">
        <f t="shared" si="140"/>
        <v>#DIV/0!</v>
      </c>
      <c r="M47" s="8">
        <f t="shared" si="47"/>
        <v>0.53466876556118026</v>
      </c>
      <c r="N47" s="2">
        <f t="shared" ref="N47:O47" si="141">1-_xlfn.NORM.S.DIST((LN($A47)-$M$31-O$31)/$N$31,TRUE)</f>
        <v>0.53466876556118026</v>
      </c>
      <c r="O47" s="2">
        <f t="shared" si="141"/>
        <v>0.53466876556118026</v>
      </c>
      <c r="Q47" s="8">
        <f t="shared" si="49"/>
        <v>0.52173913043478259</v>
      </c>
      <c r="R47" s="2">
        <f t="shared" ref="R47:S47" si="142">1-(1/(1+($A47/($R$31*S$31))^(-$Q$31)))</f>
        <v>0.52173913043478259</v>
      </c>
      <c r="S47" s="2">
        <f t="shared" si="142"/>
        <v>0.52173913043478259</v>
      </c>
      <c r="U47" s="8">
        <f t="shared" si="51"/>
        <v>0.39984965434484732</v>
      </c>
      <c r="V47" s="2">
        <f t="shared" ref="V47" si="143">1-(_xlfn.GAMMA.DIST($V$31*W$31*$A47,$U$31,1,TRUE)*EXP(GAMMALN($U$31)))/EXP(GAMMALN($U$31))</f>
        <v>0.39984965434484732</v>
      </c>
      <c r="W47" s="2">
        <f t="shared" si="31"/>
        <v>0.39984965434484732</v>
      </c>
      <c r="Y47" s="8">
        <f t="shared" si="53"/>
        <v>0.53466876556118026</v>
      </c>
      <c r="Z47" s="2">
        <f t="shared" si="106"/>
        <v>0.53466876556118026</v>
      </c>
      <c r="AA47" s="2">
        <f t="shared" si="107"/>
        <v>0.53466876556118026</v>
      </c>
      <c r="AD47" s="8" t="e">
        <f t="shared" si="33"/>
        <v>#DIV/0!</v>
      </c>
      <c r="AE47" s="2" t="e">
        <f t="shared" si="55"/>
        <v>#DIV/0!</v>
      </c>
      <c r="AF47" s="2" t="e">
        <f t="shared" ref="AF47:AG47" si="144">EXP(-EXP($AD47+AG$31))</f>
        <v>#DIV/0!</v>
      </c>
      <c r="AG47" s="2" t="e">
        <f t="shared" si="144"/>
        <v>#DIV/0!</v>
      </c>
      <c r="AI47" s="8" t="e">
        <f t="shared" si="34"/>
        <v>#DIV/0!</v>
      </c>
      <c r="AJ47" s="2" t="e">
        <f t="shared" si="57"/>
        <v>#DIV/0!</v>
      </c>
      <c r="AK47" s="2" t="e">
        <f t="shared" ref="AK47:AL47" si="145">1-(EXP($AI47+AL$31)/(1 + EXP($AI47+AL$31)))</f>
        <v>#DIV/0!</v>
      </c>
      <c r="AL47" s="2" t="e">
        <f t="shared" si="145"/>
        <v>#DIV/0!</v>
      </c>
      <c r="AN47" s="8" t="e">
        <f t="shared" si="35"/>
        <v>#DIV/0!</v>
      </c>
      <c r="AO47" s="2" t="e">
        <f t="shared" si="59"/>
        <v>#DIV/0!</v>
      </c>
      <c r="AP47" s="2" t="e">
        <f t="shared" ref="AP47:AQ47" si="146">1-NORMSDIST($AN47+AQ$31)</f>
        <v>#DIV/0!</v>
      </c>
      <c r="AQ47" s="2" t="e">
        <f t="shared" si="146"/>
        <v>#DIV/0!</v>
      </c>
      <c r="AS47" s="8" t="e">
        <f t="shared" si="36"/>
        <v>#DIV/0!</v>
      </c>
      <c r="AT47" s="2" t="e">
        <f t="shared" si="61"/>
        <v>#DIV/0!</v>
      </c>
      <c r="AU47" s="2" t="e">
        <f t="shared" si="111"/>
        <v>#DIV/0!</v>
      </c>
      <c r="AV47" s="2" t="e">
        <f t="shared" si="112"/>
        <v>#DIV/0!</v>
      </c>
      <c r="AY47" s="8" t="e">
        <f t="shared" si="38"/>
        <v>#DIV/0!</v>
      </c>
      <c r="AZ47" s="2" t="e">
        <f t="shared" si="63"/>
        <v>#DIV/0!</v>
      </c>
      <c r="BA47" s="2" t="e">
        <f t="shared" si="113"/>
        <v>#DIV/0!</v>
      </c>
      <c r="BB47" s="2" t="e">
        <f t="shared" si="114"/>
        <v>#DIV/0!</v>
      </c>
      <c r="BE47" s="8" t="e">
        <f t="shared" si="39"/>
        <v>#DIV/0!</v>
      </c>
      <c r="BF47" s="2" t="e">
        <f t="shared" si="65"/>
        <v>#DIV/0!</v>
      </c>
      <c r="BG47" s="2" t="e">
        <f t="shared" si="66"/>
        <v>#DIV/0!</v>
      </c>
      <c r="BH47" s="2" t="e">
        <f t="shared" si="67"/>
        <v>#DIV/0!</v>
      </c>
    </row>
    <row r="48" spans="1:60" x14ac:dyDescent="0.2">
      <c r="A48" s="2">
        <f t="shared" si="100"/>
        <v>1</v>
      </c>
      <c r="B48" s="2">
        <f t="shared" si="41"/>
        <v>0.36787944117144233</v>
      </c>
      <c r="C48" s="2">
        <f t="shared" si="42"/>
        <v>0.36787944117144233</v>
      </c>
      <c r="D48" s="2">
        <f t="shared" si="42"/>
        <v>0.36787944117144233</v>
      </c>
      <c r="E48" s="8">
        <f t="shared" si="43"/>
        <v>0.36787944117144233</v>
      </c>
      <c r="F48" s="2">
        <f t="shared" ref="F48:G48" si="147">EXP(-(($A48*$F$31*G$31)^$E$31))</f>
        <v>0.36787944117144233</v>
      </c>
      <c r="G48" s="2">
        <f t="shared" si="147"/>
        <v>0.36787944117144233</v>
      </c>
      <c r="I48" s="8" t="e">
        <f t="shared" si="45"/>
        <v>#DIV/0!</v>
      </c>
      <c r="J48" s="2" t="e">
        <f t="shared" ref="J48:K48" si="148">EXP(-(($J$31*K$31)/$I$31)*(EXP($I$31*$A48)-1))</f>
        <v>#DIV/0!</v>
      </c>
      <c r="K48" s="2" t="e">
        <f t="shared" si="148"/>
        <v>#DIV/0!</v>
      </c>
      <c r="M48" s="8">
        <f t="shared" si="47"/>
        <v>0.5</v>
      </c>
      <c r="N48" s="2">
        <f t="shared" ref="N48:O48" si="149">1-_xlfn.NORM.S.DIST((LN($A48)-$M$31-O$31)/$N$31,TRUE)</f>
        <v>0.5</v>
      </c>
      <c r="O48" s="2">
        <f t="shared" si="149"/>
        <v>0.5</v>
      </c>
      <c r="Q48" s="8">
        <f t="shared" si="49"/>
        <v>0.5</v>
      </c>
      <c r="R48" s="2">
        <f t="shared" ref="R48:S48" si="150">1-(1/(1+($A48/($R$31*S$31))^(-$Q$31)))</f>
        <v>0.5</v>
      </c>
      <c r="S48" s="2">
        <f t="shared" si="150"/>
        <v>0.5</v>
      </c>
      <c r="U48" s="8">
        <f t="shared" si="51"/>
        <v>0.36787944117144233</v>
      </c>
      <c r="V48" s="2">
        <f t="shared" ref="V48" si="151">1-(_xlfn.GAMMA.DIST($V$31*W$31*$A48,$U$31,1,TRUE)*EXP(GAMMALN($U$31)))/EXP(GAMMALN($U$31))</f>
        <v>0.36787944117144233</v>
      </c>
      <c r="W48" s="2">
        <f t="shared" si="31"/>
        <v>0.36787944117144233</v>
      </c>
      <c r="Y48" s="8">
        <f t="shared" si="53"/>
        <v>0.5</v>
      </c>
      <c r="Z48" s="2">
        <f t="shared" si="106"/>
        <v>0.5</v>
      </c>
      <c r="AA48" s="2">
        <f t="shared" si="107"/>
        <v>0.5</v>
      </c>
      <c r="AD48" s="8" t="e">
        <f t="shared" si="33"/>
        <v>#DIV/0!</v>
      </c>
      <c r="AE48" s="2" t="e">
        <f t="shared" si="55"/>
        <v>#DIV/0!</v>
      </c>
      <c r="AF48" s="2" t="e">
        <f t="shared" ref="AF48:AG48" si="152">EXP(-EXP($AD48+AG$31))</f>
        <v>#DIV/0!</v>
      </c>
      <c r="AG48" s="2" t="e">
        <f t="shared" si="152"/>
        <v>#DIV/0!</v>
      </c>
      <c r="AI48" s="8" t="e">
        <f t="shared" si="34"/>
        <v>#DIV/0!</v>
      </c>
      <c r="AJ48" s="2" t="e">
        <f t="shared" si="57"/>
        <v>#DIV/0!</v>
      </c>
      <c r="AK48" s="2" t="e">
        <f t="shared" ref="AK48:AL48" si="153">1-(EXP($AI48+AL$31)/(1 + EXP($AI48+AL$31)))</f>
        <v>#DIV/0!</v>
      </c>
      <c r="AL48" s="2" t="e">
        <f t="shared" si="153"/>
        <v>#DIV/0!</v>
      </c>
      <c r="AN48" s="8" t="e">
        <f t="shared" si="35"/>
        <v>#DIV/0!</v>
      </c>
      <c r="AO48" s="2" t="e">
        <f t="shared" si="59"/>
        <v>#DIV/0!</v>
      </c>
      <c r="AP48" s="2" t="e">
        <f t="shared" ref="AP48:AQ48" si="154">1-NORMSDIST($AN48+AQ$31)</f>
        <v>#DIV/0!</v>
      </c>
      <c r="AQ48" s="2" t="e">
        <f t="shared" si="154"/>
        <v>#DIV/0!</v>
      </c>
      <c r="AS48" s="8" t="e">
        <f t="shared" si="36"/>
        <v>#DIV/0!</v>
      </c>
      <c r="AT48" s="2" t="e">
        <f t="shared" si="61"/>
        <v>#DIV/0!</v>
      </c>
      <c r="AU48" s="2" t="e">
        <f t="shared" si="111"/>
        <v>#DIV/0!</v>
      </c>
      <c r="AV48" s="2" t="e">
        <f t="shared" si="112"/>
        <v>#DIV/0!</v>
      </c>
      <c r="AY48" s="8" t="e">
        <f t="shared" si="38"/>
        <v>#DIV/0!</v>
      </c>
      <c r="AZ48" s="2" t="e">
        <f t="shared" si="63"/>
        <v>#DIV/0!</v>
      </c>
      <c r="BA48" s="2" t="e">
        <f t="shared" si="113"/>
        <v>#DIV/0!</v>
      </c>
      <c r="BB48" s="2" t="e">
        <f t="shared" si="114"/>
        <v>#DIV/0!</v>
      </c>
      <c r="BE48" s="8" t="e">
        <f t="shared" si="39"/>
        <v>#DIV/0!</v>
      </c>
      <c r="BF48" s="2" t="e">
        <f t="shared" si="65"/>
        <v>#DIV/0!</v>
      </c>
      <c r="BG48" s="2" t="e">
        <f t="shared" si="66"/>
        <v>#DIV/0!</v>
      </c>
      <c r="BH48" s="2" t="e">
        <f t="shared" si="67"/>
        <v>#DIV/0!</v>
      </c>
    </row>
    <row r="49" spans="1:60" x14ac:dyDescent="0.2">
      <c r="A49" s="2">
        <f t="shared" si="100"/>
        <v>1.0833333333333333</v>
      </c>
      <c r="B49" s="2">
        <f t="shared" si="41"/>
        <v>0.33846542510674221</v>
      </c>
      <c r="C49" s="2">
        <f t="shared" si="42"/>
        <v>0.33846542510674221</v>
      </c>
      <c r="D49" s="2">
        <f t="shared" si="42"/>
        <v>0.33846542510674221</v>
      </c>
      <c r="E49" s="8">
        <f t="shared" si="43"/>
        <v>0.33846542510674221</v>
      </c>
      <c r="F49" s="2">
        <f t="shared" ref="F49:G49" si="155">EXP(-(($A49*$F$31*G$31)^$E$31))</f>
        <v>0.33846542510674221</v>
      </c>
      <c r="G49" s="2">
        <f t="shared" si="155"/>
        <v>0.33846542510674221</v>
      </c>
      <c r="I49" s="8" t="e">
        <f t="shared" si="45"/>
        <v>#DIV/0!</v>
      </c>
      <c r="J49" s="2" t="e">
        <f t="shared" ref="J49:K49" si="156">EXP(-(($J$31*K$31)/$I$31)*(EXP($I$31*$A49)-1))</f>
        <v>#DIV/0!</v>
      </c>
      <c r="K49" s="2" t="e">
        <f t="shared" si="156"/>
        <v>#DIV/0!</v>
      </c>
      <c r="M49" s="8">
        <f t="shared" si="47"/>
        <v>0.46810164455248771</v>
      </c>
      <c r="N49" s="2">
        <f t="shared" ref="N49:O49" si="157">1-_xlfn.NORM.S.DIST((LN($A49)-$M$31-O$31)/$N$31,TRUE)</f>
        <v>0.46810164455248771</v>
      </c>
      <c r="O49" s="2">
        <f t="shared" si="157"/>
        <v>0.46810164455248771</v>
      </c>
      <c r="Q49" s="8">
        <f t="shared" si="49"/>
        <v>0.48</v>
      </c>
      <c r="R49" s="2">
        <f t="shared" ref="R49:S49" si="158">1-(1/(1+($A49/($R$31*S$31))^(-$Q$31)))</f>
        <v>0.48</v>
      </c>
      <c r="S49" s="2">
        <f t="shared" si="158"/>
        <v>0.48</v>
      </c>
      <c r="U49" s="8">
        <f t="shared" si="51"/>
        <v>0.33846542510674227</v>
      </c>
      <c r="V49" s="2">
        <f t="shared" ref="V49" si="159">1-(_xlfn.GAMMA.DIST($V$31*W$31*$A49,$U$31,1,TRUE)*EXP(GAMMALN($U$31)))/EXP(GAMMALN($U$31))</f>
        <v>0.33846542510674227</v>
      </c>
      <c r="W49" s="2">
        <f t="shared" si="31"/>
        <v>0.33846542510674227</v>
      </c>
      <c r="Y49" s="8">
        <f t="shared" si="53"/>
        <v>0.46810164455248771</v>
      </c>
      <c r="Z49" s="2">
        <f t="shared" si="106"/>
        <v>0.46810164455248771</v>
      </c>
      <c r="AA49" s="2">
        <f t="shared" si="107"/>
        <v>0.46810164455248771</v>
      </c>
      <c r="AD49" s="8" t="e">
        <f t="shared" si="33"/>
        <v>#DIV/0!</v>
      </c>
      <c r="AE49" s="2" t="e">
        <f t="shared" si="55"/>
        <v>#DIV/0!</v>
      </c>
      <c r="AF49" s="2" t="e">
        <f t="shared" ref="AF49:AG49" si="160">EXP(-EXP($AD49+AG$31))</f>
        <v>#DIV/0!</v>
      </c>
      <c r="AG49" s="2" t="e">
        <f t="shared" si="160"/>
        <v>#DIV/0!</v>
      </c>
      <c r="AI49" s="8" t="e">
        <f t="shared" si="34"/>
        <v>#DIV/0!</v>
      </c>
      <c r="AJ49" s="2" t="e">
        <f t="shared" si="57"/>
        <v>#DIV/0!</v>
      </c>
      <c r="AK49" s="2" t="e">
        <f t="shared" ref="AK49:AL49" si="161">1-(EXP($AI49+AL$31)/(1 + EXP($AI49+AL$31)))</f>
        <v>#DIV/0!</v>
      </c>
      <c r="AL49" s="2" t="e">
        <f t="shared" si="161"/>
        <v>#DIV/0!</v>
      </c>
      <c r="AN49" s="8" t="e">
        <f t="shared" si="35"/>
        <v>#DIV/0!</v>
      </c>
      <c r="AO49" s="2" t="e">
        <f t="shared" si="59"/>
        <v>#DIV/0!</v>
      </c>
      <c r="AP49" s="2" t="e">
        <f t="shared" ref="AP49:AQ49" si="162">1-NORMSDIST($AN49+AQ$31)</f>
        <v>#DIV/0!</v>
      </c>
      <c r="AQ49" s="2" t="e">
        <f t="shared" si="162"/>
        <v>#DIV/0!</v>
      </c>
      <c r="AS49" s="8" t="e">
        <f t="shared" si="36"/>
        <v>#DIV/0!</v>
      </c>
      <c r="AT49" s="2" t="e">
        <f t="shared" si="61"/>
        <v>#DIV/0!</v>
      </c>
      <c r="AU49" s="2" t="e">
        <f t="shared" si="111"/>
        <v>#DIV/0!</v>
      </c>
      <c r="AV49" s="2" t="e">
        <f t="shared" si="112"/>
        <v>#DIV/0!</v>
      </c>
      <c r="AY49" s="8" t="e">
        <f t="shared" si="38"/>
        <v>#DIV/0!</v>
      </c>
      <c r="AZ49" s="2" t="e">
        <f t="shared" si="63"/>
        <v>#DIV/0!</v>
      </c>
      <c r="BA49" s="2" t="e">
        <f t="shared" si="113"/>
        <v>#DIV/0!</v>
      </c>
      <c r="BB49" s="2" t="e">
        <f t="shared" si="114"/>
        <v>#DIV/0!</v>
      </c>
      <c r="BE49" s="8" t="e">
        <f t="shared" si="39"/>
        <v>#DIV/0!</v>
      </c>
      <c r="BF49" s="2" t="e">
        <f t="shared" si="65"/>
        <v>#DIV/0!</v>
      </c>
      <c r="BG49" s="2" t="e">
        <f t="shared" si="66"/>
        <v>#DIV/0!</v>
      </c>
      <c r="BH49" s="2" t="e">
        <f t="shared" si="67"/>
        <v>#DIV/0!</v>
      </c>
    </row>
    <row r="50" spans="1:60" x14ac:dyDescent="0.2">
      <c r="A50" s="2">
        <f t="shared" si="100"/>
        <v>1.1666666666666665</v>
      </c>
      <c r="B50" s="2">
        <f t="shared" si="41"/>
        <v>0.31140322391459774</v>
      </c>
      <c r="C50" s="2">
        <f t="shared" si="42"/>
        <v>0.31140322391459774</v>
      </c>
      <c r="D50" s="2">
        <f t="shared" si="42"/>
        <v>0.31140322391459774</v>
      </c>
      <c r="E50" s="8">
        <f t="shared" si="43"/>
        <v>0.31140322391459774</v>
      </c>
      <c r="F50" s="2">
        <f t="shared" ref="F50:G50" si="163">EXP(-(($A50*$F$31*G$31)^$E$31))</f>
        <v>0.31140322391459774</v>
      </c>
      <c r="G50" s="2">
        <f t="shared" si="163"/>
        <v>0.31140322391459774</v>
      </c>
      <c r="I50" s="8" t="e">
        <f t="shared" si="45"/>
        <v>#DIV/0!</v>
      </c>
      <c r="J50" s="2" t="e">
        <f t="shared" ref="J50:K50" si="164">EXP(-(($J$31*K$31)/$I$31)*(EXP($I$31*$A50)-1))</f>
        <v>#DIV/0!</v>
      </c>
      <c r="K50" s="2" t="e">
        <f t="shared" si="164"/>
        <v>#DIV/0!</v>
      </c>
      <c r="M50" s="8">
        <f t="shared" si="47"/>
        <v>0.4387454645331279</v>
      </c>
      <c r="N50" s="2">
        <f t="shared" ref="N50:O50" si="165">1-_xlfn.NORM.S.DIST((LN($A50)-$M$31-O$31)/$N$31,TRUE)</f>
        <v>0.4387454645331279</v>
      </c>
      <c r="O50" s="2">
        <f t="shared" si="165"/>
        <v>0.4387454645331279</v>
      </c>
      <c r="Q50" s="8">
        <f t="shared" si="49"/>
        <v>0.46153846153846156</v>
      </c>
      <c r="R50" s="2">
        <f t="shared" ref="R50:S50" si="166">1-(1/(1+($A50/($R$31*S$31))^(-$Q$31)))</f>
        <v>0.46153846153846156</v>
      </c>
      <c r="S50" s="2">
        <f t="shared" si="166"/>
        <v>0.46153846153846156</v>
      </c>
      <c r="U50" s="8">
        <f t="shared" si="51"/>
        <v>0.31140322391459774</v>
      </c>
      <c r="V50" s="2">
        <f t="shared" ref="V50" si="167">1-(_xlfn.GAMMA.DIST($V$31*W$31*$A50,$U$31,1,TRUE)*EXP(GAMMALN($U$31)))/EXP(GAMMALN($U$31))</f>
        <v>0.31140322391459774</v>
      </c>
      <c r="W50" s="2">
        <f t="shared" si="31"/>
        <v>0.31140322391459774</v>
      </c>
      <c r="Y50" s="8">
        <f t="shared" si="53"/>
        <v>0.4387454645331279</v>
      </c>
      <c r="Z50" s="2">
        <f t="shared" si="106"/>
        <v>0.4387454645331279</v>
      </c>
      <c r="AA50" s="2">
        <f t="shared" si="107"/>
        <v>0.4387454645331279</v>
      </c>
      <c r="AD50" s="8" t="e">
        <f t="shared" si="33"/>
        <v>#DIV/0!</v>
      </c>
      <c r="AE50" s="2" t="e">
        <f t="shared" si="55"/>
        <v>#DIV/0!</v>
      </c>
      <c r="AF50" s="2" t="e">
        <f t="shared" ref="AF50:AG50" si="168">EXP(-EXP($AD50+AG$31))</f>
        <v>#DIV/0!</v>
      </c>
      <c r="AG50" s="2" t="e">
        <f t="shared" si="168"/>
        <v>#DIV/0!</v>
      </c>
      <c r="AI50" s="8" t="e">
        <f t="shared" si="34"/>
        <v>#DIV/0!</v>
      </c>
      <c r="AJ50" s="2" t="e">
        <f t="shared" si="57"/>
        <v>#DIV/0!</v>
      </c>
      <c r="AK50" s="2" t="e">
        <f t="shared" ref="AK50:AL50" si="169">1-(EXP($AI50+AL$31)/(1 + EXP($AI50+AL$31)))</f>
        <v>#DIV/0!</v>
      </c>
      <c r="AL50" s="2" t="e">
        <f t="shared" si="169"/>
        <v>#DIV/0!</v>
      </c>
      <c r="AN50" s="8" t="e">
        <f t="shared" si="35"/>
        <v>#DIV/0!</v>
      </c>
      <c r="AO50" s="2" t="e">
        <f t="shared" si="59"/>
        <v>#DIV/0!</v>
      </c>
      <c r="AP50" s="2" t="e">
        <f t="shared" ref="AP50:AQ50" si="170">1-NORMSDIST($AN50+AQ$31)</f>
        <v>#DIV/0!</v>
      </c>
      <c r="AQ50" s="2" t="e">
        <f t="shared" si="170"/>
        <v>#DIV/0!</v>
      </c>
      <c r="AS50" s="8" t="e">
        <f t="shared" si="36"/>
        <v>#DIV/0!</v>
      </c>
      <c r="AT50" s="2" t="e">
        <f t="shared" si="61"/>
        <v>#DIV/0!</v>
      </c>
      <c r="AU50" s="2" t="e">
        <f t="shared" si="111"/>
        <v>#DIV/0!</v>
      </c>
      <c r="AV50" s="2" t="e">
        <f t="shared" si="112"/>
        <v>#DIV/0!</v>
      </c>
      <c r="AY50" s="8" t="e">
        <f t="shared" si="38"/>
        <v>#DIV/0!</v>
      </c>
      <c r="AZ50" s="2" t="e">
        <f t="shared" si="63"/>
        <v>#DIV/0!</v>
      </c>
      <c r="BA50" s="2" t="e">
        <f t="shared" si="113"/>
        <v>#DIV/0!</v>
      </c>
      <c r="BB50" s="2" t="e">
        <f t="shared" si="114"/>
        <v>#DIV/0!</v>
      </c>
      <c r="BE50" s="8" t="e">
        <f t="shared" si="39"/>
        <v>#DIV/0!</v>
      </c>
      <c r="BF50" s="2" t="e">
        <f t="shared" si="65"/>
        <v>#DIV/0!</v>
      </c>
      <c r="BG50" s="2" t="e">
        <f t="shared" si="66"/>
        <v>#DIV/0!</v>
      </c>
      <c r="BH50" s="2" t="e">
        <f t="shared" si="67"/>
        <v>#DIV/0!</v>
      </c>
    </row>
    <row r="51" spans="1:60" x14ac:dyDescent="0.2">
      <c r="A51" s="2">
        <f t="shared" si="100"/>
        <v>1.2499999999999998</v>
      </c>
      <c r="B51" s="2">
        <f t="shared" si="41"/>
        <v>0.28650479686019015</v>
      </c>
      <c r="C51" s="2">
        <f t="shared" si="42"/>
        <v>0.28650479686019015</v>
      </c>
      <c r="D51" s="2">
        <f t="shared" si="42"/>
        <v>0.28650479686019015</v>
      </c>
      <c r="E51" s="8">
        <f t="shared" si="43"/>
        <v>0.28650479686019015</v>
      </c>
      <c r="F51" s="2">
        <f t="shared" ref="F51:G51" si="171">EXP(-(($A51*$F$31*G$31)^$E$31))</f>
        <v>0.28650479686019015</v>
      </c>
      <c r="G51" s="2">
        <f t="shared" si="171"/>
        <v>0.28650479686019015</v>
      </c>
      <c r="I51" s="8" t="e">
        <f t="shared" si="45"/>
        <v>#DIV/0!</v>
      </c>
      <c r="J51" s="2" t="e">
        <f t="shared" ref="J51:K51" si="172">EXP(-(($J$31*K$31)/$I$31)*(EXP($I$31*$A51)-1))</f>
        <v>#DIV/0!</v>
      </c>
      <c r="K51" s="2" t="e">
        <f t="shared" si="172"/>
        <v>#DIV/0!</v>
      </c>
      <c r="M51" s="8">
        <f t="shared" si="47"/>
        <v>0.41171189185745494</v>
      </c>
      <c r="N51" s="2">
        <f t="shared" ref="N51:O51" si="173">1-_xlfn.NORM.S.DIST((LN($A51)-$M$31-O$31)/$N$31,TRUE)</f>
        <v>0.41171189185745494</v>
      </c>
      <c r="O51" s="2">
        <f t="shared" si="173"/>
        <v>0.41171189185745494</v>
      </c>
      <c r="Q51" s="8">
        <f t="shared" si="49"/>
        <v>0.44444444444444453</v>
      </c>
      <c r="R51" s="2">
        <f t="shared" ref="R51:S51" si="174">1-(1/(1+($A51/($R$31*S$31))^(-$Q$31)))</f>
        <v>0.44444444444444453</v>
      </c>
      <c r="S51" s="2">
        <f t="shared" si="174"/>
        <v>0.44444444444444453</v>
      </c>
      <c r="U51" s="8">
        <f t="shared" si="51"/>
        <v>0.28650479686019015</v>
      </c>
      <c r="V51" s="2">
        <f t="shared" ref="V51" si="175">1-(_xlfn.GAMMA.DIST($V$31*W$31*$A51,$U$31,1,TRUE)*EXP(GAMMALN($U$31)))/EXP(GAMMALN($U$31))</f>
        <v>0.28650479686019015</v>
      </c>
      <c r="W51" s="2">
        <f t="shared" si="31"/>
        <v>0.28650479686019015</v>
      </c>
      <c r="Y51" s="8">
        <f t="shared" si="53"/>
        <v>0.41171189185745494</v>
      </c>
      <c r="Z51" s="2">
        <f t="shared" si="106"/>
        <v>0.41171189185745494</v>
      </c>
      <c r="AA51" s="2">
        <f t="shared" si="107"/>
        <v>0.41171189185745494</v>
      </c>
      <c r="AD51" s="8" t="e">
        <f t="shared" si="33"/>
        <v>#DIV/0!</v>
      </c>
      <c r="AE51" s="2" t="e">
        <f t="shared" si="55"/>
        <v>#DIV/0!</v>
      </c>
      <c r="AF51" s="2" t="e">
        <f t="shared" ref="AF51:AG51" si="176">EXP(-EXP($AD51+AG$31))</f>
        <v>#DIV/0!</v>
      </c>
      <c r="AG51" s="2" t="e">
        <f t="shared" si="176"/>
        <v>#DIV/0!</v>
      </c>
      <c r="AI51" s="8" t="e">
        <f t="shared" si="34"/>
        <v>#DIV/0!</v>
      </c>
      <c r="AJ51" s="2" t="e">
        <f t="shared" si="57"/>
        <v>#DIV/0!</v>
      </c>
      <c r="AK51" s="2" t="e">
        <f t="shared" ref="AK51:AL51" si="177">1-(EXP($AI51+AL$31)/(1 + EXP($AI51+AL$31)))</f>
        <v>#DIV/0!</v>
      </c>
      <c r="AL51" s="2" t="e">
        <f t="shared" si="177"/>
        <v>#DIV/0!</v>
      </c>
      <c r="AN51" s="8" t="e">
        <f t="shared" si="35"/>
        <v>#DIV/0!</v>
      </c>
      <c r="AO51" s="2" t="e">
        <f t="shared" si="59"/>
        <v>#DIV/0!</v>
      </c>
      <c r="AP51" s="2" t="e">
        <f t="shared" ref="AP51:AQ51" si="178">1-NORMSDIST($AN51+AQ$31)</f>
        <v>#DIV/0!</v>
      </c>
      <c r="AQ51" s="2" t="e">
        <f t="shared" si="178"/>
        <v>#DIV/0!</v>
      </c>
      <c r="AS51" s="8" t="e">
        <f t="shared" si="36"/>
        <v>#DIV/0!</v>
      </c>
      <c r="AT51" s="2" t="e">
        <f t="shared" si="61"/>
        <v>#DIV/0!</v>
      </c>
      <c r="AU51" s="2" t="e">
        <f t="shared" si="111"/>
        <v>#DIV/0!</v>
      </c>
      <c r="AV51" s="2" t="e">
        <f t="shared" si="112"/>
        <v>#DIV/0!</v>
      </c>
      <c r="AY51" s="8" t="e">
        <f t="shared" si="38"/>
        <v>#DIV/0!</v>
      </c>
      <c r="AZ51" s="2" t="e">
        <f t="shared" si="63"/>
        <v>#DIV/0!</v>
      </c>
      <c r="BA51" s="2" t="e">
        <f t="shared" si="113"/>
        <v>#DIV/0!</v>
      </c>
      <c r="BB51" s="2" t="e">
        <f t="shared" si="114"/>
        <v>#DIV/0!</v>
      </c>
      <c r="BE51" s="8" t="e">
        <f t="shared" si="39"/>
        <v>#DIV/0!</v>
      </c>
      <c r="BF51" s="2" t="e">
        <f t="shared" si="65"/>
        <v>#DIV/0!</v>
      </c>
      <c r="BG51" s="2" t="e">
        <f t="shared" si="66"/>
        <v>#DIV/0!</v>
      </c>
      <c r="BH51" s="2" t="e">
        <f t="shared" si="67"/>
        <v>#DIV/0!</v>
      </c>
    </row>
    <row r="52" spans="1:60" x14ac:dyDescent="0.2">
      <c r="A52" s="2">
        <f t="shared" si="100"/>
        <v>1.333333333333333</v>
      </c>
      <c r="B52" s="2">
        <f t="shared" si="41"/>
        <v>0.26359713811572683</v>
      </c>
      <c r="C52" s="2">
        <f t="shared" si="42"/>
        <v>0.26359713811572683</v>
      </c>
      <c r="D52" s="2">
        <f t="shared" si="42"/>
        <v>0.26359713811572683</v>
      </c>
      <c r="E52" s="8">
        <f t="shared" si="43"/>
        <v>0.26359713811572683</v>
      </c>
      <c r="F52" s="2">
        <f t="shared" ref="F52:G52" si="179">EXP(-(($A52*$F$31*G$31)^$E$31))</f>
        <v>0.26359713811572683</v>
      </c>
      <c r="G52" s="2">
        <f t="shared" si="179"/>
        <v>0.26359713811572683</v>
      </c>
      <c r="I52" s="8" t="e">
        <f t="shared" si="45"/>
        <v>#DIV/0!</v>
      </c>
      <c r="J52" s="2" t="e">
        <f t="shared" ref="J52:K52" si="180">EXP(-(($J$31*K$31)/$I$31)*(EXP($I$31*$A52)-1))</f>
        <v>#DIV/0!</v>
      </c>
      <c r="K52" s="2" t="e">
        <f t="shared" si="180"/>
        <v>#DIV/0!</v>
      </c>
      <c r="M52" s="8">
        <f t="shared" si="47"/>
        <v>0.38679505713409734</v>
      </c>
      <c r="N52" s="2">
        <f t="shared" ref="N52:O52" si="181">1-_xlfn.NORM.S.DIST((LN($A52)-$M$31-O$31)/$N$31,TRUE)</f>
        <v>0.38679505713409734</v>
      </c>
      <c r="O52" s="2">
        <f t="shared" si="181"/>
        <v>0.38679505713409734</v>
      </c>
      <c r="Q52" s="8">
        <f t="shared" si="49"/>
        <v>0.4285714285714286</v>
      </c>
      <c r="R52" s="2">
        <f t="shared" ref="R52:S52" si="182">1-(1/(1+($A52/($R$31*S$31))^(-$Q$31)))</f>
        <v>0.4285714285714286</v>
      </c>
      <c r="S52" s="2">
        <f t="shared" si="182"/>
        <v>0.4285714285714286</v>
      </c>
      <c r="U52" s="8">
        <f t="shared" si="51"/>
        <v>0.26359713811572683</v>
      </c>
      <c r="V52" s="2">
        <f t="shared" ref="V52" si="183">1-(_xlfn.GAMMA.DIST($V$31*W$31*$A52,$U$31,1,TRUE)*EXP(GAMMALN($U$31)))/EXP(GAMMALN($U$31))</f>
        <v>0.26359713811572683</v>
      </c>
      <c r="W52" s="2">
        <f t="shared" si="31"/>
        <v>0.26359713811572683</v>
      </c>
      <c r="Y52" s="8">
        <f t="shared" si="53"/>
        <v>0.38679505713409734</v>
      </c>
      <c r="Z52" s="2">
        <f t="shared" si="106"/>
        <v>0.38679505713409734</v>
      </c>
      <c r="AA52" s="2">
        <f t="shared" si="107"/>
        <v>0.38679505713409734</v>
      </c>
      <c r="AD52" s="8" t="e">
        <f t="shared" si="33"/>
        <v>#DIV/0!</v>
      </c>
      <c r="AE52" s="2" t="e">
        <f t="shared" si="55"/>
        <v>#DIV/0!</v>
      </c>
      <c r="AF52" s="2" t="e">
        <f t="shared" ref="AF52:AG52" si="184">EXP(-EXP($AD52+AG$31))</f>
        <v>#DIV/0!</v>
      </c>
      <c r="AG52" s="2" t="e">
        <f t="shared" si="184"/>
        <v>#DIV/0!</v>
      </c>
      <c r="AI52" s="8" t="e">
        <f t="shared" si="34"/>
        <v>#DIV/0!</v>
      </c>
      <c r="AJ52" s="2" t="e">
        <f t="shared" si="57"/>
        <v>#DIV/0!</v>
      </c>
      <c r="AK52" s="2" t="e">
        <f t="shared" ref="AK52:AL52" si="185">1-(EXP($AI52+AL$31)/(1 + EXP($AI52+AL$31)))</f>
        <v>#DIV/0!</v>
      </c>
      <c r="AL52" s="2" t="e">
        <f t="shared" si="185"/>
        <v>#DIV/0!</v>
      </c>
      <c r="AN52" s="8" t="e">
        <f t="shared" si="35"/>
        <v>#DIV/0!</v>
      </c>
      <c r="AO52" s="2" t="e">
        <f t="shared" si="59"/>
        <v>#DIV/0!</v>
      </c>
      <c r="AP52" s="2" t="e">
        <f t="shared" ref="AP52:AQ52" si="186">1-NORMSDIST($AN52+AQ$31)</f>
        <v>#DIV/0!</v>
      </c>
      <c r="AQ52" s="2" t="e">
        <f t="shared" si="186"/>
        <v>#DIV/0!</v>
      </c>
      <c r="AS52" s="8" t="e">
        <f t="shared" si="36"/>
        <v>#DIV/0!</v>
      </c>
      <c r="AT52" s="2" t="e">
        <f t="shared" si="61"/>
        <v>#DIV/0!</v>
      </c>
      <c r="AU52" s="2" t="e">
        <f t="shared" si="111"/>
        <v>#DIV/0!</v>
      </c>
      <c r="AV52" s="2" t="e">
        <f t="shared" si="112"/>
        <v>#DIV/0!</v>
      </c>
      <c r="AY52" s="8" t="e">
        <f t="shared" si="38"/>
        <v>#DIV/0!</v>
      </c>
      <c r="AZ52" s="2" t="e">
        <f t="shared" si="63"/>
        <v>#DIV/0!</v>
      </c>
      <c r="BA52" s="2" t="e">
        <f t="shared" si="113"/>
        <v>#DIV/0!</v>
      </c>
      <c r="BB52" s="2" t="e">
        <f t="shared" si="114"/>
        <v>#DIV/0!</v>
      </c>
      <c r="BE52" s="8" t="e">
        <f t="shared" si="39"/>
        <v>#DIV/0!</v>
      </c>
      <c r="BF52" s="2" t="e">
        <f t="shared" si="65"/>
        <v>#DIV/0!</v>
      </c>
      <c r="BG52" s="2" t="e">
        <f t="shared" si="66"/>
        <v>#DIV/0!</v>
      </c>
      <c r="BH52" s="2" t="e">
        <f t="shared" si="67"/>
        <v>#DIV/0!</v>
      </c>
    </row>
    <row r="53" spans="1:60" x14ac:dyDescent="0.2">
      <c r="A53" s="2">
        <f t="shared" si="100"/>
        <v>1.4166666666666663</v>
      </c>
      <c r="B53" s="2">
        <f t="shared" si="41"/>
        <v>0.24252107463564879</v>
      </c>
      <c r="C53" s="2">
        <f t="shared" si="42"/>
        <v>0.24252107463564879</v>
      </c>
      <c r="D53" s="2">
        <f t="shared" si="42"/>
        <v>0.24252107463564879</v>
      </c>
      <c r="E53" s="8">
        <f t="shared" si="43"/>
        <v>0.24252107463564879</v>
      </c>
      <c r="F53" s="2">
        <f t="shared" ref="F53:G53" si="187">EXP(-(($A53*$F$31*G$31)^$E$31))</f>
        <v>0.24252107463564879</v>
      </c>
      <c r="G53" s="2">
        <f t="shared" si="187"/>
        <v>0.24252107463564879</v>
      </c>
      <c r="I53" s="8" t="e">
        <f t="shared" si="45"/>
        <v>#DIV/0!</v>
      </c>
      <c r="J53" s="2" t="e">
        <f t="shared" ref="J53:K53" si="188">EXP(-(($J$31*K$31)/$I$31)*(EXP($I$31*$A53)-1))</f>
        <v>#DIV/0!</v>
      </c>
      <c r="K53" s="2" t="e">
        <f t="shared" si="188"/>
        <v>#DIV/0!</v>
      </c>
      <c r="M53" s="8">
        <f t="shared" si="47"/>
        <v>0.36380493347416765</v>
      </c>
      <c r="N53" s="2">
        <f t="shared" ref="N53:O53" si="189">1-_xlfn.NORM.S.DIST((LN($A53)-$M$31-O$31)/$N$31,TRUE)</f>
        <v>0.36380493347416765</v>
      </c>
      <c r="O53" s="2">
        <f t="shared" si="189"/>
        <v>0.36380493347416765</v>
      </c>
      <c r="Q53" s="8">
        <f t="shared" si="49"/>
        <v>0.41379310344827591</v>
      </c>
      <c r="R53" s="2">
        <f t="shared" ref="R53:S53" si="190">1-(1/(1+($A53/($R$31*S$31))^(-$Q$31)))</f>
        <v>0.41379310344827591</v>
      </c>
      <c r="S53" s="2">
        <f t="shared" si="190"/>
        <v>0.41379310344827591</v>
      </c>
      <c r="U53" s="8">
        <f t="shared" si="51"/>
        <v>0.24252107463564876</v>
      </c>
      <c r="V53" s="2">
        <f t="shared" ref="V53" si="191">1-(_xlfn.GAMMA.DIST($V$31*W$31*$A53,$U$31,1,TRUE)*EXP(GAMMALN($U$31)))/EXP(GAMMALN($U$31))</f>
        <v>0.24252107463564876</v>
      </c>
      <c r="W53" s="2">
        <f t="shared" si="31"/>
        <v>0.24252107463564876</v>
      </c>
      <c r="Y53" s="8">
        <f t="shared" si="53"/>
        <v>0.36380493347416765</v>
      </c>
      <c r="Z53" s="2">
        <f t="shared" si="106"/>
        <v>0.36380493347416765</v>
      </c>
      <c r="AA53" s="2">
        <f t="shared" si="107"/>
        <v>0.36380493347416765</v>
      </c>
      <c r="AD53" s="8" t="e">
        <f t="shared" si="33"/>
        <v>#DIV/0!</v>
      </c>
      <c r="AE53" s="2" t="e">
        <f t="shared" si="55"/>
        <v>#DIV/0!</v>
      </c>
      <c r="AF53" s="2" t="e">
        <f t="shared" ref="AF53:AG53" si="192">EXP(-EXP($AD53+AG$31))</f>
        <v>#DIV/0!</v>
      </c>
      <c r="AG53" s="2" t="e">
        <f t="shared" si="192"/>
        <v>#DIV/0!</v>
      </c>
      <c r="AI53" s="8" t="e">
        <f t="shared" si="34"/>
        <v>#DIV/0!</v>
      </c>
      <c r="AJ53" s="2" t="e">
        <f t="shared" si="57"/>
        <v>#DIV/0!</v>
      </c>
      <c r="AK53" s="2" t="e">
        <f t="shared" ref="AK53:AL53" si="193">1-(EXP($AI53+AL$31)/(1 + EXP($AI53+AL$31)))</f>
        <v>#DIV/0!</v>
      </c>
      <c r="AL53" s="2" t="e">
        <f t="shared" si="193"/>
        <v>#DIV/0!</v>
      </c>
      <c r="AN53" s="8" t="e">
        <f t="shared" si="35"/>
        <v>#DIV/0!</v>
      </c>
      <c r="AO53" s="2" t="e">
        <f t="shared" si="59"/>
        <v>#DIV/0!</v>
      </c>
      <c r="AP53" s="2" t="e">
        <f t="shared" ref="AP53:AQ53" si="194">1-NORMSDIST($AN53+AQ$31)</f>
        <v>#DIV/0!</v>
      </c>
      <c r="AQ53" s="2" t="e">
        <f t="shared" si="194"/>
        <v>#DIV/0!</v>
      </c>
      <c r="AS53" s="8" t="e">
        <f t="shared" si="36"/>
        <v>#DIV/0!</v>
      </c>
      <c r="AT53" s="2" t="e">
        <f t="shared" si="61"/>
        <v>#DIV/0!</v>
      </c>
      <c r="AU53" s="2" t="e">
        <f t="shared" si="111"/>
        <v>#DIV/0!</v>
      </c>
      <c r="AV53" s="2" t="e">
        <f t="shared" si="112"/>
        <v>#DIV/0!</v>
      </c>
      <c r="AY53" s="8" t="e">
        <f t="shared" si="38"/>
        <v>#DIV/0!</v>
      </c>
      <c r="AZ53" s="2" t="e">
        <f t="shared" si="63"/>
        <v>#DIV/0!</v>
      </c>
      <c r="BA53" s="2" t="e">
        <f t="shared" si="113"/>
        <v>#DIV/0!</v>
      </c>
      <c r="BB53" s="2" t="e">
        <f t="shared" si="114"/>
        <v>#DIV/0!</v>
      </c>
      <c r="BE53" s="8" t="e">
        <f t="shared" si="39"/>
        <v>#DIV/0!</v>
      </c>
      <c r="BF53" s="2" t="e">
        <f t="shared" si="65"/>
        <v>#DIV/0!</v>
      </c>
      <c r="BG53" s="2" t="e">
        <f t="shared" si="66"/>
        <v>#DIV/0!</v>
      </c>
      <c r="BH53" s="2" t="e">
        <f t="shared" si="67"/>
        <v>#DIV/0!</v>
      </c>
    </row>
    <row r="54" spans="1:60" x14ac:dyDescent="0.2">
      <c r="A54" s="2">
        <f t="shared" si="100"/>
        <v>1.4999999999999996</v>
      </c>
      <c r="B54" s="2">
        <f t="shared" si="41"/>
        <v>0.22313016014842993</v>
      </c>
      <c r="C54" s="2">
        <f t="shared" ref="C54:D117" si="195">EXP(-$A54*$B$31*C$31)</f>
        <v>0.22313016014842993</v>
      </c>
      <c r="D54" s="2">
        <f t="shared" si="195"/>
        <v>0.22313016014842993</v>
      </c>
      <c r="E54" s="8">
        <f t="shared" si="43"/>
        <v>0.22313016014842993</v>
      </c>
      <c r="F54" s="2">
        <f t="shared" ref="F54:G54" si="196">EXP(-(($A54*$F$31*G$31)^$E$31))</f>
        <v>0.22313016014842993</v>
      </c>
      <c r="G54" s="2">
        <f t="shared" si="196"/>
        <v>0.22313016014842993</v>
      </c>
      <c r="I54" s="8" t="e">
        <f t="shared" si="45"/>
        <v>#DIV/0!</v>
      </c>
      <c r="J54" s="2" t="e">
        <f t="shared" ref="J54:K54" si="197">EXP(-(($J$31*K$31)/$I$31)*(EXP($I$31*$A54)-1))</f>
        <v>#DIV/0!</v>
      </c>
      <c r="K54" s="2" t="e">
        <f t="shared" si="197"/>
        <v>#DIV/0!</v>
      </c>
      <c r="M54" s="8">
        <f t="shared" si="47"/>
        <v>0.34256783051484596</v>
      </c>
      <c r="N54" s="2">
        <f t="shared" ref="N54:O54" si="198">1-_xlfn.NORM.S.DIST((LN($A54)-$M$31-O$31)/$N$31,TRUE)</f>
        <v>0.34256783051484596</v>
      </c>
      <c r="O54" s="2">
        <f t="shared" si="198"/>
        <v>0.34256783051484596</v>
      </c>
      <c r="Q54" s="8">
        <f t="shared" si="49"/>
        <v>0.40000000000000013</v>
      </c>
      <c r="R54" s="2">
        <f t="shared" ref="R54:S54" si="199">1-(1/(1+($A54/($R$31*S$31))^(-$Q$31)))</f>
        <v>0.40000000000000013</v>
      </c>
      <c r="S54" s="2">
        <f t="shared" si="199"/>
        <v>0.40000000000000013</v>
      </c>
      <c r="U54" s="8">
        <f t="shared" si="51"/>
        <v>0.2231301601484299</v>
      </c>
      <c r="V54" s="2">
        <f t="shared" ref="V54" si="200">1-(_xlfn.GAMMA.DIST($V$31*W$31*$A54,$U$31,1,TRUE)*EXP(GAMMALN($U$31)))/EXP(GAMMALN($U$31))</f>
        <v>0.2231301601484299</v>
      </c>
      <c r="W54" s="2">
        <f t="shared" si="31"/>
        <v>0.2231301601484299</v>
      </c>
      <c r="Y54" s="8">
        <f t="shared" si="53"/>
        <v>0.34256783051484596</v>
      </c>
      <c r="Z54" s="2">
        <f t="shared" si="106"/>
        <v>0.34256783051484596</v>
      </c>
      <c r="AA54" s="2">
        <f t="shared" si="107"/>
        <v>0.34256783051484596</v>
      </c>
      <c r="AD54" s="8" t="e">
        <f t="shared" si="33"/>
        <v>#DIV/0!</v>
      </c>
      <c r="AE54" s="2" t="e">
        <f t="shared" si="55"/>
        <v>#DIV/0!</v>
      </c>
      <c r="AF54" s="2" t="e">
        <f t="shared" ref="AF54:AG54" si="201">EXP(-EXP($AD54+AG$31))</f>
        <v>#DIV/0!</v>
      </c>
      <c r="AG54" s="2" t="e">
        <f t="shared" si="201"/>
        <v>#DIV/0!</v>
      </c>
      <c r="AI54" s="8" t="e">
        <f t="shared" si="34"/>
        <v>#DIV/0!</v>
      </c>
      <c r="AJ54" s="2" t="e">
        <f t="shared" si="57"/>
        <v>#DIV/0!</v>
      </c>
      <c r="AK54" s="2" t="e">
        <f t="shared" ref="AK54:AL54" si="202">1-(EXP($AI54+AL$31)/(1 + EXP($AI54+AL$31)))</f>
        <v>#DIV/0!</v>
      </c>
      <c r="AL54" s="2" t="e">
        <f t="shared" si="202"/>
        <v>#DIV/0!</v>
      </c>
      <c r="AN54" s="8" t="e">
        <f t="shared" si="35"/>
        <v>#DIV/0!</v>
      </c>
      <c r="AO54" s="2" t="e">
        <f t="shared" si="59"/>
        <v>#DIV/0!</v>
      </c>
      <c r="AP54" s="2" t="e">
        <f t="shared" ref="AP54:AQ54" si="203">1-NORMSDIST($AN54+AQ$31)</f>
        <v>#DIV/0!</v>
      </c>
      <c r="AQ54" s="2" t="e">
        <f t="shared" si="203"/>
        <v>#DIV/0!</v>
      </c>
      <c r="AS54" s="8" t="e">
        <f t="shared" si="36"/>
        <v>#DIV/0!</v>
      </c>
      <c r="AT54" s="2" t="e">
        <f t="shared" si="61"/>
        <v>#DIV/0!</v>
      </c>
      <c r="AU54" s="2" t="e">
        <f t="shared" si="111"/>
        <v>#DIV/0!</v>
      </c>
      <c r="AV54" s="2" t="e">
        <f t="shared" si="112"/>
        <v>#DIV/0!</v>
      </c>
      <c r="AY54" s="8" t="e">
        <f t="shared" si="38"/>
        <v>#DIV/0!</v>
      </c>
      <c r="AZ54" s="2" t="e">
        <f t="shared" si="63"/>
        <v>#DIV/0!</v>
      </c>
      <c r="BA54" s="2" t="e">
        <f t="shared" si="113"/>
        <v>#DIV/0!</v>
      </c>
      <c r="BB54" s="2" t="e">
        <f t="shared" si="114"/>
        <v>#DIV/0!</v>
      </c>
      <c r="BE54" s="8" t="e">
        <f t="shared" si="39"/>
        <v>#DIV/0!</v>
      </c>
      <c r="BF54" s="2" t="e">
        <f t="shared" si="65"/>
        <v>#DIV/0!</v>
      </c>
      <c r="BG54" s="2" t="e">
        <f t="shared" si="66"/>
        <v>#DIV/0!</v>
      </c>
      <c r="BH54" s="2" t="e">
        <f t="shared" si="67"/>
        <v>#DIV/0!</v>
      </c>
    </row>
    <row r="55" spans="1:60" x14ac:dyDescent="0.2">
      <c r="A55" s="2">
        <f t="shared" si="100"/>
        <v>1.5833333333333328</v>
      </c>
      <c r="B55" s="2">
        <f t="shared" si="41"/>
        <v>0.20528965757990938</v>
      </c>
      <c r="C55" s="2">
        <f t="shared" si="195"/>
        <v>0.20528965757990938</v>
      </c>
      <c r="D55" s="2">
        <f t="shared" si="195"/>
        <v>0.20528965757990938</v>
      </c>
      <c r="E55" s="8">
        <f t="shared" si="43"/>
        <v>0.20528965757990938</v>
      </c>
      <c r="F55" s="2">
        <f t="shared" ref="F55:G55" si="204">EXP(-(($A55*$F$31*G$31)^$E$31))</f>
        <v>0.20528965757990938</v>
      </c>
      <c r="G55" s="2">
        <f t="shared" si="204"/>
        <v>0.20528965757990938</v>
      </c>
      <c r="I55" s="8" t="e">
        <f t="shared" si="45"/>
        <v>#DIV/0!</v>
      </c>
      <c r="J55" s="2" t="e">
        <f t="shared" ref="J55:K55" si="205">EXP(-(($J$31*K$31)/$I$31)*(EXP($I$31*$A55)-1))</f>
        <v>#DIV/0!</v>
      </c>
      <c r="K55" s="2" t="e">
        <f t="shared" si="205"/>
        <v>#DIV/0!</v>
      </c>
      <c r="M55" s="8">
        <f t="shared" si="47"/>
        <v>0.32292597074484819</v>
      </c>
      <c r="N55" s="2">
        <f t="shared" ref="N55:O55" si="206">1-_xlfn.NORM.S.DIST((LN($A55)-$M$31-O$31)/$N$31,TRUE)</f>
        <v>0.32292597074484819</v>
      </c>
      <c r="O55" s="2">
        <f t="shared" si="206"/>
        <v>0.32292597074484819</v>
      </c>
      <c r="Q55" s="8">
        <f t="shared" si="49"/>
        <v>0.38709677419354849</v>
      </c>
      <c r="R55" s="2">
        <f t="shared" ref="R55:S55" si="207">1-(1/(1+($A55/($R$31*S$31))^(-$Q$31)))</f>
        <v>0.38709677419354849</v>
      </c>
      <c r="S55" s="2">
        <f t="shared" si="207"/>
        <v>0.38709677419354849</v>
      </c>
      <c r="U55" s="8">
        <f t="shared" si="51"/>
        <v>0.20528965757990936</v>
      </c>
      <c r="V55" s="2">
        <f t="shared" ref="V55" si="208">1-(_xlfn.GAMMA.DIST($V$31*W$31*$A55,$U$31,1,TRUE)*EXP(GAMMALN($U$31)))/EXP(GAMMALN($U$31))</f>
        <v>0.20528965757990936</v>
      </c>
      <c r="W55" s="2">
        <f t="shared" si="31"/>
        <v>0.20528965757990936</v>
      </c>
      <c r="Y55" s="8">
        <f t="shared" si="53"/>
        <v>0.32292597074484819</v>
      </c>
      <c r="Z55" s="2">
        <f t="shared" si="106"/>
        <v>0.32292597074484819</v>
      </c>
      <c r="AA55" s="2">
        <f t="shared" si="107"/>
        <v>0.32292597074484819</v>
      </c>
      <c r="AD55" s="8" t="e">
        <f t="shared" si="33"/>
        <v>#DIV/0!</v>
      </c>
      <c r="AE55" s="2" t="e">
        <f t="shared" si="55"/>
        <v>#DIV/0!</v>
      </c>
      <c r="AF55" s="2" t="e">
        <f t="shared" ref="AF55:AG55" si="209">EXP(-EXP($AD55+AG$31))</f>
        <v>#DIV/0!</v>
      </c>
      <c r="AG55" s="2" t="e">
        <f t="shared" si="209"/>
        <v>#DIV/0!</v>
      </c>
      <c r="AI55" s="8" t="e">
        <f t="shared" si="34"/>
        <v>#DIV/0!</v>
      </c>
      <c r="AJ55" s="2" t="e">
        <f t="shared" si="57"/>
        <v>#DIV/0!</v>
      </c>
      <c r="AK55" s="2" t="e">
        <f t="shared" ref="AK55:AL55" si="210">1-(EXP($AI55+AL$31)/(1 + EXP($AI55+AL$31)))</f>
        <v>#DIV/0!</v>
      </c>
      <c r="AL55" s="2" t="e">
        <f t="shared" si="210"/>
        <v>#DIV/0!</v>
      </c>
      <c r="AN55" s="8" t="e">
        <f t="shared" si="35"/>
        <v>#DIV/0!</v>
      </c>
      <c r="AO55" s="2" t="e">
        <f t="shared" si="59"/>
        <v>#DIV/0!</v>
      </c>
      <c r="AP55" s="2" t="e">
        <f t="shared" ref="AP55:AQ55" si="211">1-NORMSDIST($AN55+AQ$31)</f>
        <v>#DIV/0!</v>
      </c>
      <c r="AQ55" s="2" t="e">
        <f t="shared" si="211"/>
        <v>#DIV/0!</v>
      </c>
      <c r="AS55" s="8" t="e">
        <f t="shared" si="36"/>
        <v>#DIV/0!</v>
      </c>
      <c r="AT55" s="2" t="e">
        <f t="shared" si="61"/>
        <v>#DIV/0!</v>
      </c>
      <c r="AU55" s="2" t="e">
        <f t="shared" si="111"/>
        <v>#DIV/0!</v>
      </c>
      <c r="AV55" s="2" t="e">
        <f t="shared" si="112"/>
        <v>#DIV/0!</v>
      </c>
      <c r="AY55" s="8" t="e">
        <f t="shared" si="38"/>
        <v>#DIV/0!</v>
      </c>
      <c r="AZ55" s="2" t="e">
        <f t="shared" si="63"/>
        <v>#DIV/0!</v>
      </c>
      <c r="BA55" s="2" t="e">
        <f t="shared" si="113"/>
        <v>#DIV/0!</v>
      </c>
      <c r="BB55" s="2" t="e">
        <f t="shared" si="114"/>
        <v>#DIV/0!</v>
      </c>
      <c r="BE55" s="8" t="e">
        <f t="shared" si="39"/>
        <v>#DIV/0!</v>
      </c>
      <c r="BF55" s="2" t="e">
        <f t="shared" si="65"/>
        <v>#DIV/0!</v>
      </c>
      <c r="BG55" s="2" t="e">
        <f t="shared" si="66"/>
        <v>#DIV/0!</v>
      </c>
      <c r="BH55" s="2" t="e">
        <f t="shared" si="67"/>
        <v>#DIV/0!</v>
      </c>
    </row>
    <row r="56" spans="1:60" x14ac:dyDescent="0.2">
      <c r="A56" s="2">
        <f t="shared" si="100"/>
        <v>1.6666666666666661</v>
      </c>
      <c r="B56" s="2">
        <f t="shared" si="41"/>
        <v>0.18887560283756194</v>
      </c>
      <c r="C56" s="2">
        <f t="shared" si="195"/>
        <v>0.18887560283756194</v>
      </c>
      <c r="D56" s="2">
        <f t="shared" si="195"/>
        <v>0.18887560283756194</v>
      </c>
      <c r="E56" s="8">
        <f t="shared" si="43"/>
        <v>0.18887560283756194</v>
      </c>
      <c r="F56" s="2">
        <f t="shared" ref="F56:G56" si="212">EXP(-(($A56*$F$31*G$31)^$E$31))</f>
        <v>0.18887560283756194</v>
      </c>
      <c r="G56" s="2">
        <f t="shared" si="212"/>
        <v>0.18887560283756194</v>
      </c>
      <c r="I56" s="8" t="e">
        <f t="shared" si="45"/>
        <v>#DIV/0!</v>
      </c>
      <c r="J56" s="2" t="e">
        <f t="shared" ref="J56:K56" si="213">EXP(-(($J$31*K$31)/$I$31)*(EXP($I$31*$A56)-1))</f>
        <v>#DIV/0!</v>
      </c>
      <c r="K56" s="2" t="e">
        <f t="shared" si="213"/>
        <v>#DIV/0!</v>
      </c>
      <c r="M56" s="8">
        <f t="shared" si="47"/>
        <v>0.30473658251023183</v>
      </c>
      <c r="N56" s="2">
        <f t="shared" ref="N56:O56" si="214">1-_xlfn.NORM.S.DIST((LN($A56)-$M$31-O$31)/$N$31,TRUE)</f>
        <v>0.30473658251023183</v>
      </c>
      <c r="O56" s="2">
        <f t="shared" si="214"/>
        <v>0.30473658251023183</v>
      </c>
      <c r="Q56" s="8">
        <f t="shared" si="49"/>
        <v>0.375</v>
      </c>
      <c r="R56" s="2">
        <f t="shared" ref="R56:S56" si="215">1-(1/(1+($A56/($R$31*S$31))^(-$Q$31)))</f>
        <v>0.375</v>
      </c>
      <c r="S56" s="2">
        <f t="shared" si="215"/>
        <v>0.375</v>
      </c>
      <c r="U56" s="8">
        <f t="shared" si="51"/>
        <v>0.188875602837562</v>
      </c>
      <c r="V56" s="2">
        <f t="shared" ref="V56" si="216">1-(_xlfn.GAMMA.DIST($V$31*W$31*$A56,$U$31,1,TRUE)*EXP(GAMMALN($U$31)))/EXP(GAMMALN($U$31))</f>
        <v>0.188875602837562</v>
      </c>
      <c r="W56" s="2">
        <f t="shared" si="31"/>
        <v>0.188875602837562</v>
      </c>
      <c r="Y56" s="8">
        <f t="shared" si="53"/>
        <v>0.30473658251023183</v>
      </c>
      <c r="Z56" s="2">
        <f t="shared" si="106"/>
        <v>0.30473658251023183</v>
      </c>
      <c r="AA56" s="2">
        <f t="shared" si="107"/>
        <v>0.30473658251023183</v>
      </c>
      <c r="AD56" s="8" t="e">
        <f t="shared" si="33"/>
        <v>#DIV/0!</v>
      </c>
      <c r="AE56" s="2" t="e">
        <f t="shared" si="55"/>
        <v>#DIV/0!</v>
      </c>
      <c r="AF56" s="2" t="e">
        <f t="shared" ref="AF56:AG56" si="217">EXP(-EXP($AD56+AG$31))</f>
        <v>#DIV/0!</v>
      </c>
      <c r="AG56" s="2" t="e">
        <f t="shared" si="217"/>
        <v>#DIV/0!</v>
      </c>
      <c r="AI56" s="8" t="e">
        <f t="shared" si="34"/>
        <v>#DIV/0!</v>
      </c>
      <c r="AJ56" s="2" t="e">
        <f t="shared" si="57"/>
        <v>#DIV/0!</v>
      </c>
      <c r="AK56" s="2" t="e">
        <f t="shared" ref="AK56:AL56" si="218">1-(EXP($AI56+AL$31)/(1 + EXP($AI56+AL$31)))</f>
        <v>#DIV/0!</v>
      </c>
      <c r="AL56" s="2" t="e">
        <f t="shared" si="218"/>
        <v>#DIV/0!</v>
      </c>
      <c r="AN56" s="8" t="e">
        <f t="shared" si="35"/>
        <v>#DIV/0!</v>
      </c>
      <c r="AO56" s="2" t="e">
        <f t="shared" si="59"/>
        <v>#DIV/0!</v>
      </c>
      <c r="AP56" s="2" t="e">
        <f t="shared" ref="AP56:AQ56" si="219">1-NORMSDIST($AN56+AQ$31)</f>
        <v>#DIV/0!</v>
      </c>
      <c r="AQ56" s="2" t="e">
        <f t="shared" si="219"/>
        <v>#DIV/0!</v>
      </c>
      <c r="AS56" s="8" t="e">
        <f t="shared" si="36"/>
        <v>#DIV/0!</v>
      </c>
      <c r="AT56" s="2" t="e">
        <f t="shared" si="61"/>
        <v>#DIV/0!</v>
      </c>
      <c r="AU56" s="2" t="e">
        <f t="shared" si="111"/>
        <v>#DIV/0!</v>
      </c>
      <c r="AV56" s="2" t="e">
        <f t="shared" si="112"/>
        <v>#DIV/0!</v>
      </c>
      <c r="AY56" s="8" t="e">
        <f t="shared" si="38"/>
        <v>#DIV/0!</v>
      </c>
      <c r="AZ56" s="2" t="e">
        <f t="shared" si="63"/>
        <v>#DIV/0!</v>
      </c>
      <c r="BA56" s="2" t="e">
        <f t="shared" si="113"/>
        <v>#DIV/0!</v>
      </c>
      <c r="BB56" s="2" t="e">
        <f t="shared" si="114"/>
        <v>#DIV/0!</v>
      </c>
      <c r="BE56" s="8" t="e">
        <f t="shared" si="39"/>
        <v>#DIV/0!</v>
      </c>
      <c r="BF56" s="2" t="e">
        <f t="shared" si="65"/>
        <v>#DIV/0!</v>
      </c>
      <c r="BG56" s="2" t="e">
        <f t="shared" si="66"/>
        <v>#DIV/0!</v>
      </c>
      <c r="BH56" s="2" t="e">
        <f t="shared" si="67"/>
        <v>#DIV/0!</v>
      </c>
    </row>
    <row r="57" spans="1:60" x14ac:dyDescent="0.2">
      <c r="A57" s="2">
        <f t="shared" si="100"/>
        <v>1.7499999999999993</v>
      </c>
      <c r="B57" s="2">
        <f t="shared" si="41"/>
        <v>0.17377394345044525</v>
      </c>
      <c r="C57" s="2">
        <f t="shared" si="195"/>
        <v>0.17377394345044525</v>
      </c>
      <c r="D57" s="2">
        <f t="shared" si="195"/>
        <v>0.17377394345044525</v>
      </c>
      <c r="E57" s="8">
        <f t="shared" si="43"/>
        <v>0.17377394345044525</v>
      </c>
      <c r="F57" s="2">
        <f t="shared" ref="F57:G57" si="220">EXP(-(($A57*$F$31*G$31)^$E$31))</f>
        <v>0.17377394345044525</v>
      </c>
      <c r="G57" s="2">
        <f t="shared" si="220"/>
        <v>0.17377394345044525</v>
      </c>
      <c r="I57" s="8" t="e">
        <f t="shared" si="45"/>
        <v>#DIV/0!</v>
      </c>
      <c r="J57" s="2" t="e">
        <f t="shared" ref="J57:K57" si="221">EXP(-(($J$31*K$31)/$I$31)*(EXP($I$31*$A57)-1))</f>
        <v>#DIV/0!</v>
      </c>
      <c r="K57" s="2" t="e">
        <f t="shared" si="221"/>
        <v>#DIV/0!</v>
      </c>
      <c r="M57" s="8">
        <f t="shared" si="47"/>
        <v>0.28787076684992507</v>
      </c>
      <c r="N57" s="2">
        <f t="shared" ref="N57:O57" si="222">1-_xlfn.NORM.S.DIST((LN($A57)-$M$31-O$31)/$N$31,TRUE)</f>
        <v>0.28787076684992507</v>
      </c>
      <c r="O57" s="2">
        <f t="shared" si="222"/>
        <v>0.28787076684992507</v>
      </c>
      <c r="Q57" s="8">
        <f t="shared" si="49"/>
        <v>0.36363636363636376</v>
      </c>
      <c r="R57" s="2">
        <f t="shared" ref="R57:S57" si="223">1-(1/(1+($A57/($R$31*S$31))^(-$Q$31)))</f>
        <v>0.36363636363636376</v>
      </c>
      <c r="S57" s="2">
        <f t="shared" si="223"/>
        <v>0.36363636363636376</v>
      </c>
      <c r="U57" s="8">
        <f t="shared" si="51"/>
        <v>0.17377394345044528</v>
      </c>
      <c r="V57" s="2">
        <f t="shared" ref="V57" si="224">1-(_xlfn.GAMMA.DIST($V$31*W$31*$A57,$U$31,1,TRUE)*EXP(GAMMALN($U$31)))/EXP(GAMMALN($U$31))</f>
        <v>0.17377394345044528</v>
      </c>
      <c r="W57" s="2">
        <f t="shared" si="31"/>
        <v>0.17377394345044528</v>
      </c>
      <c r="Y57" s="8">
        <f t="shared" si="53"/>
        <v>0.28787076684992507</v>
      </c>
      <c r="Z57" s="2">
        <f t="shared" si="106"/>
        <v>0.28787076684992507</v>
      </c>
      <c r="AA57" s="2">
        <f t="shared" si="107"/>
        <v>0.28787076684992507</v>
      </c>
      <c r="AD57" s="8" t="e">
        <f t="shared" si="33"/>
        <v>#DIV/0!</v>
      </c>
      <c r="AE57" s="2" t="e">
        <f t="shared" si="55"/>
        <v>#DIV/0!</v>
      </c>
      <c r="AF57" s="2" t="e">
        <f t="shared" ref="AF57:AG57" si="225">EXP(-EXP($AD57+AG$31))</f>
        <v>#DIV/0!</v>
      </c>
      <c r="AG57" s="2" t="e">
        <f t="shared" si="225"/>
        <v>#DIV/0!</v>
      </c>
      <c r="AI57" s="8" t="e">
        <f t="shared" si="34"/>
        <v>#DIV/0!</v>
      </c>
      <c r="AJ57" s="2" t="e">
        <f t="shared" si="57"/>
        <v>#DIV/0!</v>
      </c>
      <c r="AK57" s="2" t="e">
        <f t="shared" ref="AK57:AL57" si="226">1-(EXP($AI57+AL$31)/(1 + EXP($AI57+AL$31)))</f>
        <v>#DIV/0!</v>
      </c>
      <c r="AL57" s="2" t="e">
        <f t="shared" si="226"/>
        <v>#DIV/0!</v>
      </c>
      <c r="AN57" s="8" t="e">
        <f t="shared" si="35"/>
        <v>#DIV/0!</v>
      </c>
      <c r="AO57" s="2" t="e">
        <f t="shared" si="59"/>
        <v>#DIV/0!</v>
      </c>
      <c r="AP57" s="2" t="e">
        <f t="shared" ref="AP57:AQ57" si="227">1-NORMSDIST($AN57+AQ$31)</f>
        <v>#DIV/0!</v>
      </c>
      <c r="AQ57" s="2" t="e">
        <f t="shared" si="227"/>
        <v>#DIV/0!</v>
      </c>
      <c r="AS57" s="8" t="e">
        <f t="shared" si="36"/>
        <v>#DIV/0!</v>
      </c>
      <c r="AT57" s="2" t="e">
        <f t="shared" si="61"/>
        <v>#DIV/0!</v>
      </c>
      <c r="AU57" s="2" t="e">
        <f t="shared" si="111"/>
        <v>#DIV/0!</v>
      </c>
      <c r="AV57" s="2" t="e">
        <f t="shared" si="112"/>
        <v>#DIV/0!</v>
      </c>
      <c r="AY57" s="8" t="e">
        <f t="shared" si="38"/>
        <v>#DIV/0!</v>
      </c>
      <c r="AZ57" s="2" t="e">
        <f t="shared" si="63"/>
        <v>#DIV/0!</v>
      </c>
      <c r="BA57" s="2" t="e">
        <f t="shared" si="113"/>
        <v>#DIV/0!</v>
      </c>
      <c r="BB57" s="2" t="e">
        <f t="shared" si="114"/>
        <v>#DIV/0!</v>
      </c>
      <c r="BE57" s="8" t="e">
        <f t="shared" si="39"/>
        <v>#DIV/0!</v>
      </c>
      <c r="BF57" s="2" t="e">
        <f t="shared" si="65"/>
        <v>#DIV/0!</v>
      </c>
      <c r="BG57" s="2" t="e">
        <f t="shared" si="66"/>
        <v>#DIV/0!</v>
      </c>
      <c r="BH57" s="2" t="e">
        <f t="shared" si="67"/>
        <v>#DIV/0!</v>
      </c>
    </row>
    <row r="58" spans="1:60" x14ac:dyDescent="0.2">
      <c r="A58" s="2">
        <f t="shared" si="100"/>
        <v>1.8333333333333326</v>
      </c>
      <c r="B58" s="2">
        <f t="shared" si="41"/>
        <v>0.15987974607969402</v>
      </c>
      <c r="C58" s="2">
        <f t="shared" si="195"/>
        <v>0.15987974607969402</v>
      </c>
      <c r="D58" s="2">
        <f t="shared" si="195"/>
        <v>0.15987974607969402</v>
      </c>
      <c r="E58" s="8">
        <f t="shared" si="43"/>
        <v>0.15987974607969402</v>
      </c>
      <c r="F58" s="2">
        <f t="shared" ref="F58:G58" si="228">EXP(-(($A58*$F$31*G$31)^$E$31))</f>
        <v>0.15987974607969402</v>
      </c>
      <c r="G58" s="2">
        <f t="shared" si="228"/>
        <v>0.15987974607969402</v>
      </c>
      <c r="I58" s="8" t="e">
        <f t="shared" si="45"/>
        <v>#DIV/0!</v>
      </c>
      <c r="J58" s="2" t="e">
        <f t="shared" ref="J58:K58" si="229">EXP(-(($J$31*K$31)/$I$31)*(EXP($I$31*$A58)-1))</f>
        <v>#DIV/0!</v>
      </c>
      <c r="K58" s="2" t="e">
        <f t="shared" si="229"/>
        <v>#DIV/0!</v>
      </c>
      <c r="M58" s="8">
        <f t="shared" si="47"/>
        <v>0.27221228880193415</v>
      </c>
      <c r="N58" s="2">
        <f t="shared" ref="N58:O58" si="230">1-_xlfn.NORM.S.DIST((LN($A58)-$M$31-O$31)/$N$31,TRUE)</f>
        <v>0.27221228880193415</v>
      </c>
      <c r="O58" s="2">
        <f t="shared" si="230"/>
        <v>0.27221228880193415</v>
      </c>
      <c r="Q58" s="8">
        <f t="shared" si="49"/>
        <v>0.35294117647058831</v>
      </c>
      <c r="R58" s="2">
        <f t="shared" ref="R58:S58" si="231">1-(1/(1+($A58/($R$31*S$31))^(-$Q$31)))</f>
        <v>0.35294117647058831</v>
      </c>
      <c r="S58" s="2">
        <f t="shared" si="231"/>
        <v>0.35294117647058831</v>
      </c>
      <c r="U58" s="8">
        <f t="shared" si="51"/>
        <v>0.15987974607969402</v>
      </c>
      <c r="V58" s="2">
        <f t="shared" ref="V58" si="232">1-(_xlfn.GAMMA.DIST($V$31*W$31*$A58,$U$31,1,TRUE)*EXP(GAMMALN($U$31)))/EXP(GAMMALN($U$31))</f>
        <v>0.15987974607969402</v>
      </c>
      <c r="W58" s="2">
        <f t="shared" si="31"/>
        <v>0.15987974607969402</v>
      </c>
      <c r="Y58" s="8">
        <f t="shared" si="53"/>
        <v>0.27221228880193415</v>
      </c>
      <c r="Z58" s="2">
        <f t="shared" si="106"/>
        <v>0.27221228880193415</v>
      </c>
      <c r="AA58" s="2">
        <f t="shared" si="107"/>
        <v>0.27221228880193415</v>
      </c>
      <c r="AD58" s="8" t="e">
        <f t="shared" si="33"/>
        <v>#DIV/0!</v>
      </c>
      <c r="AE58" s="2" t="e">
        <f t="shared" si="55"/>
        <v>#DIV/0!</v>
      </c>
      <c r="AF58" s="2" t="e">
        <f t="shared" ref="AF58:AG58" si="233">EXP(-EXP($AD58+AG$31))</f>
        <v>#DIV/0!</v>
      </c>
      <c r="AG58" s="2" t="e">
        <f t="shared" si="233"/>
        <v>#DIV/0!</v>
      </c>
      <c r="AI58" s="8" t="e">
        <f t="shared" si="34"/>
        <v>#DIV/0!</v>
      </c>
      <c r="AJ58" s="2" t="e">
        <f t="shared" si="57"/>
        <v>#DIV/0!</v>
      </c>
      <c r="AK58" s="2" t="e">
        <f t="shared" ref="AK58:AL58" si="234">1-(EXP($AI58+AL$31)/(1 + EXP($AI58+AL$31)))</f>
        <v>#DIV/0!</v>
      </c>
      <c r="AL58" s="2" t="e">
        <f t="shared" si="234"/>
        <v>#DIV/0!</v>
      </c>
      <c r="AN58" s="8" t="e">
        <f t="shared" si="35"/>
        <v>#DIV/0!</v>
      </c>
      <c r="AO58" s="2" t="e">
        <f t="shared" si="59"/>
        <v>#DIV/0!</v>
      </c>
      <c r="AP58" s="2" t="e">
        <f t="shared" ref="AP58:AQ58" si="235">1-NORMSDIST($AN58+AQ$31)</f>
        <v>#DIV/0!</v>
      </c>
      <c r="AQ58" s="2" t="e">
        <f t="shared" si="235"/>
        <v>#DIV/0!</v>
      </c>
      <c r="AS58" s="8" t="e">
        <f t="shared" si="36"/>
        <v>#DIV/0!</v>
      </c>
      <c r="AT58" s="2" t="e">
        <f t="shared" si="61"/>
        <v>#DIV/0!</v>
      </c>
      <c r="AU58" s="2" t="e">
        <f t="shared" si="111"/>
        <v>#DIV/0!</v>
      </c>
      <c r="AV58" s="2" t="e">
        <f t="shared" si="112"/>
        <v>#DIV/0!</v>
      </c>
      <c r="AY58" s="8" t="e">
        <f t="shared" si="38"/>
        <v>#DIV/0!</v>
      </c>
      <c r="AZ58" s="2" t="e">
        <f t="shared" si="63"/>
        <v>#DIV/0!</v>
      </c>
      <c r="BA58" s="2" t="e">
        <f t="shared" si="113"/>
        <v>#DIV/0!</v>
      </c>
      <c r="BB58" s="2" t="e">
        <f t="shared" si="114"/>
        <v>#DIV/0!</v>
      </c>
      <c r="BE58" s="8" t="e">
        <f t="shared" si="39"/>
        <v>#DIV/0!</v>
      </c>
      <c r="BF58" s="2" t="e">
        <f t="shared" si="65"/>
        <v>#DIV/0!</v>
      </c>
      <c r="BG58" s="2" t="e">
        <f t="shared" si="66"/>
        <v>#DIV/0!</v>
      </c>
      <c r="BH58" s="2" t="e">
        <f t="shared" si="67"/>
        <v>#DIV/0!</v>
      </c>
    </row>
    <row r="59" spans="1:60" x14ac:dyDescent="0.2">
      <c r="A59" s="2">
        <f t="shared" si="100"/>
        <v>1.9166666666666659</v>
      </c>
      <c r="B59" s="2">
        <f t="shared" si="41"/>
        <v>0.14709646739297694</v>
      </c>
      <c r="C59" s="2">
        <f t="shared" si="195"/>
        <v>0.14709646739297694</v>
      </c>
      <c r="D59" s="2">
        <f t="shared" si="195"/>
        <v>0.14709646739297694</v>
      </c>
      <c r="E59" s="8">
        <f t="shared" si="43"/>
        <v>0.14709646739297694</v>
      </c>
      <c r="F59" s="2">
        <f t="shared" ref="F59:G59" si="236">EXP(-(($A59*$F$31*G$31)^$E$31))</f>
        <v>0.14709646739297694</v>
      </c>
      <c r="G59" s="2">
        <f t="shared" si="236"/>
        <v>0.14709646739297694</v>
      </c>
      <c r="I59" s="8" t="e">
        <f t="shared" si="45"/>
        <v>#DIV/0!</v>
      </c>
      <c r="J59" s="2" t="e">
        <f t="shared" ref="J59:K59" si="237">EXP(-(($J$31*K$31)/$I$31)*(EXP($I$31*$A59)-1))</f>
        <v>#DIV/0!</v>
      </c>
      <c r="K59" s="2" t="e">
        <f t="shared" si="237"/>
        <v>#DIV/0!</v>
      </c>
      <c r="M59" s="8">
        <f t="shared" si="47"/>
        <v>0.25765637942693465</v>
      </c>
      <c r="N59" s="2">
        <f t="shared" ref="N59:O59" si="238">1-_xlfn.NORM.S.DIST((LN($A59)-$M$31-O$31)/$N$31,TRUE)</f>
        <v>0.25765637942693465</v>
      </c>
      <c r="O59" s="2">
        <f t="shared" si="238"/>
        <v>0.25765637942693465</v>
      </c>
      <c r="Q59" s="8">
        <f t="shared" si="49"/>
        <v>0.34285714285714286</v>
      </c>
      <c r="R59" s="2">
        <f t="shared" ref="R59:S59" si="239">1-(1/(1+($A59/($R$31*S$31))^(-$Q$31)))</f>
        <v>0.34285714285714286</v>
      </c>
      <c r="S59" s="2">
        <f t="shared" si="239"/>
        <v>0.34285714285714286</v>
      </c>
      <c r="U59" s="8">
        <f t="shared" si="51"/>
        <v>0.14709646739297688</v>
      </c>
      <c r="V59" s="2">
        <f t="shared" ref="V59" si="240">1-(_xlfn.GAMMA.DIST($V$31*W$31*$A59,$U$31,1,TRUE)*EXP(GAMMALN($U$31)))/EXP(GAMMALN($U$31))</f>
        <v>0.14709646739297688</v>
      </c>
      <c r="W59" s="2">
        <f t="shared" si="31"/>
        <v>0.14709646739297688</v>
      </c>
      <c r="Y59" s="8">
        <f t="shared" si="53"/>
        <v>0.25765637942693465</v>
      </c>
      <c r="Z59" s="2">
        <f t="shared" si="106"/>
        <v>0.25765637942693465</v>
      </c>
      <c r="AA59" s="2">
        <f t="shared" si="107"/>
        <v>0.25765637942693465</v>
      </c>
      <c r="AD59" s="8" t="e">
        <f t="shared" si="33"/>
        <v>#DIV/0!</v>
      </c>
      <c r="AE59" s="2" t="e">
        <f t="shared" si="55"/>
        <v>#DIV/0!</v>
      </c>
      <c r="AF59" s="2" t="e">
        <f t="shared" ref="AF59:AG59" si="241">EXP(-EXP($AD59+AG$31))</f>
        <v>#DIV/0!</v>
      </c>
      <c r="AG59" s="2" t="e">
        <f t="shared" si="241"/>
        <v>#DIV/0!</v>
      </c>
      <c r="AI59" s="8" t="e">
        <f t="shared" si="34"/>
        <v>#DIV/0!</v>
      </c>
      <c r="AJ59" s="2" t="e">
        <f t="shared" si="57"/>
        <v>#DIV/0!</v>
      </c>
      <c r="AK59" s="2" t="e">
        <f t="shared" ref="AK59:AL59" si="242">1-(EXP($AI59+AL$31)/(1 + EXP($AI59+AL$31)))</f>
        <v>#DIV/0!</v>
      </c>
      <c r="AL59" s="2" t="e">
        <f t="shared" si="242"/>
        <v>#DIV/0!</v>
      </c>
      <c r="AN59" s="8" t="e">
        <f t="shared" si="35"/>
        <v>#DIV/0!</v>
      </c>
      <c r="AO59" s="2" t="e">
        <f t="shared" si="59"/>
        <v>#DIV/0!</v>
      </c>
      <c r="AP59" s="2" t="e">
        <f t="shared" ref="AP59:AQ59" si="243">1-NORMSDIST($AN59+AQ$31)</f>
        <v>#DIV/0!</v>
      </c>
      <c r="AQ59" s="2" t="e">
        <f t="shared" si="243"/>
        <v>#DIV/0!</v>
      </c>
      <c r="AS59" s="8" t="e">
        <f t="shared" si="36"/>
        <v>#DIV/0!</v>
      </c>
      <c r="AT59" s="2" t="e">
        <f t="shared" si="61"/>
        <v>#DIV/0!</v>
      </c>
      <c r="AU59" s="2" t="e">
        <f t="shared" si="111"/>
        <v>#DIV/0!</v>
      </c>
      <c r="AV59" s="2" t="e">
        <f t="shared" si="112"/>
        <v>#DIV/0!</v>
      </c>
      <c r="AY59" s="8" t="e">
        <f t="shared" si="38"/>
        <v>#DIV/0!</v>
      </c>
      <c r="AZ59" s="2" t="e">
        <f t="shared" si="63"/>
        <v>#DIV/0!</v>
      </c>
      <c r="BA59" s="2" t="e">
        <f t="shared" si="113"/>
        <v>#DIV/0!</v>
      </c>
      <c r="BB59" s="2" t="e">
        <f t="shared" si="114"/>
        <v>#DIV/0!</v>
      </c>
      <c r="BE59" s="8" t="e">
        <f t="shared" si="39"/>
        <v>#DIV/0!</v>
      </c>
      <c r="BF59" s="2" t="e">
        <f t="shared" si="65"/>
        <v>#DIV/0!</v>
      </c>
      <c r="BG59" s="2" t="e">
        <f t="shared" si="66"/>
        <v>#DIV/0!</v>
      </c>
      <c r="BH59" s="2" t="e">
        <f t="shared" si="67"/>
        <v>#DIV/0!</v>
      </c>
    </row>
    <row r="60" spans="1:60" x14ac:dyDescent="0.2">
      <c r="A60" s="2">
        <f t="shared" si="100"/>
        <v>1.9999999999999991</v>
      </c>
      <c r="B60" s="2">
        <f t="shared" si="41"/>
        <v>0.13533528323661281</v>
      </c>
      <c r="C60" s="2">
        <f t="shared" si="195"/>
        <v>0.13533528323661281</v>
      </c>
      <c r="D60" s="2">
        <f t="shared" si="195"/>
        <v>0.13533528323661281</v>
      </c>
      <c r="E60" s="8">
        <f t="shared" si="43"/>
        <v>0.13533528323661281</v>
      </c>
      <c r="F60" s="2">
        <f t="shared" ref="F60:G60" si="244">EXP(-(($A60*$F$31*G$31)^$E$31))</f>
        <v>0.13533528323661281</v>
      </c>
      <c r="G60" s="2">
        <f t="shared" si="244"/>
        <v>0.13533528323661281</v>
      </c>
      <c r="I60" s="8" t="e">
        <f t="shared" si="45"/>
        <v>#DIV/0!</v>
      </c>
      <c r="J60" s="2" t="e">
        <f t="shared" ref="J60:K60" si="245">EXP(-(($J$31*K$31)/$I$31)*(EXP($I$31*$A60)-1))</f>
        <v>#DIV/0!</v>
      </c>
      <c r="K60" s="2" t="e">
        <f t="shared" si="245"/>
        <v>#DIV/0!</v>
      </c>
      <c r="M60" s="8">
        <f t="shared" si="47"/>
        <v>0.24410859578558286</v>
      </c>
      <c r="N60" s="2">
        <f t="shared" ref="N60:O60" si="246">1-_xlfn.NORM.S.DIST((LN($A60)-$M$31-O$31)/$N$31,TRUE)</f>
        <v>0.24410859578558286</v>
      </c>
      <c r="O60" s="2">
        <f t="shared" si="246"/>
        <v>0.24410859578558286</v>
      </c>
      <c r="Q60" s="8">
        <f t="shared" si="49"/>
        <v>0.33333333333333348</v>
      </c>
      <c r="R60" s="2">
        <f t="shared" ref="R60:S60" si="247">1-(1/(1+($A60/($R$31*S$31))^(-$Q$31)))</f>
        <v>0.33333333333333348</v>
      </c>
      <c r="S60" s="2">
        <f t="shared" si="247"/>
        <v>0.33333333333333348</v>
      </c>
      <c r="U60" s="8">
        <f t="shared" si="51"/>
        <v>0.13533528323661281</v>
      </c>
      <c r="V60" s="2">
        <f t="shared" ref="V60" si="248">1-(_xlfn.GAMMA.DIST($V$31*W$31*$A60,$U$31,1,TRUE)*EXP(GAMMALN($U$31)))/EXP(GAMMALN($U$31))</f>
        <v>0.13533528323661281</v>
      </c>
      <c r="W60" s="2">
        <f t="shared" si="31"/>
        <v>0.13533528323661281</v>
      </c>
      <c r="Y60" s="8">
        <f t="shared" si="53"/>
        <v>0.24410859578558286</v>
      </c>
      <c r="Z60" s="2">
        <f t="shared" si="106"/>
        <v>0.24410859578558286</v>
      </c>
      <c r="AA60" s="2">
        <f t="shared" si="107"/>
        <v>0.24410859578558286</v>
      </c>
      <c r="AD60" s="8" t="e">
        <f t="shared" si="33"/>
        <v>#DIV/0!</v>
      </c>
      <c r="AE60" s="2" t="e">
        <f t="shared" si="55"/>
        <v>#DIV/0!</v>
      </c>
      <c r="AF60" s="2" t="e">
        <f t="shared" ref="AF60:AG60" si="249">EXP(-EXP($AD60+AG$31))</f>
        <v>#DIV/0!</v>
      </c>
      <c r="AG60" s="2" t="e">
        <f t="shared" si="249"/>
        <v>#DIV/0!</v>
      </c>
      <c r="AI60" s="8" t="e">
        <f t="shared" si="34"/>
        <v>#DIV/0!</v>
      </c>
      <c r="AJ60" s="2" t="e">
        <f t="shared" si="57"/>
        <v>#DIV/0!</v>
      </c>
      <c r="AK60" s="2" t="e">
        <f t="shared" ref="AK60:AL60" si="250">1-(EXP($AI60+AL$31)/(1 + EXP($AI60+AL$31)))</f>
        <v>#DIV/0!</v>
      </c>
      <c r="AL60" s="2" t="e">
        <f t="shared" si="250"/>
        <v>#DIV/0!</v>
      </c>
      <c r="AN60" s="8" t="e">
        <f t="shared" si="35"/>
        <v>#DIV/0!</v>
      </c>
      <c r="AO60" s="2" t="e">
        <f t="shared" si="59"/>
        <v>#DIV/0!</v>
      </c>
      <c r="AP60" s="2" t="e">
        <f t="shared" ref="AP60:AQ60" si="251">1-NORMSDIST($AN60+AQ$31)</f>
        <v>#DIV/0!</v>
      </c>
      <c r="AQ60" s="2" t="e">
        <f t="shared" si="251"/>
        <v>#DIV/0!</v>
      </c>
      <c r="AS60" s="8" t="e">
        <f t="shared" si="36"/>
        <v>#DIV/0!</v>
      </c>
      <c r="AT60" s="2" t="e">
        <f t="shared" si="61"/>
        <v>#DIV/0!</v>
      </c>
      <c r="AU60" s="2" t="e">
        <f t="shared" si="111"/>
        <v>#DIV/0!</v>
      </c>
      <c r="AV60" s="2" t="e">
        <f t="shared" si="112"/>
        <v>#DIV/0!</v>
      </c>
      <c r="AY60" s="8" t="e">
        <f t="shared" si="38"/>
        <v>#DIV/0!</v>
      </c>
      <c r="AZ60" s="2" t="e">
        <f t="shared" si="63"/>
        <v>#DIV/0!</v>
      </c>
      <c r="BA60" s="2" t="e">
        <f t="shared" si="113"/>
        <v>#DIV/0!</v>
      </c>
      <c r="BB60" s="2" t="e">
        <f t="shared" si="114"/>
        <v>#DIV/0!</v>
      </c>
      <c r="BE60" s="8" t="e">
        <f t="shared" si="39"/>
        <v>#DIV/0!</v>
      </c>
      <c r="BF60" s="2" t="e">
        <f t="shared" si="65"/>
        <v>#DIV/0!</v>
      </c>
      <c r="BG60" s="2" t="e">
        <f t="shared" si="66"/>
        <v>#DIV/0!</v>
      </c>
      <c r="BH60" s="2" t="e">
        <f t="shared" si="67"/>
        <v>#DIV/0!</v>
      </c>
    </row>
    <row r="61" spans="1:60" x14ac:dyDescent="0.2">
      <c r="A61" s="2">
        <f t="shared" si="100"/>
        <v>2.0833333333333326</v>
      </c>
      <c r="B61" s="2">
        <f t="shared" si="41"/>
        <v>0.12451447144412307</v>
      </c>
      <c r="C61" s="2">
        <f t="shared" si="195"/>
        <v>0.12451447144412307</v>
      </c>
      <c r="D61" s="2">
        <f t="shared" si="195"/>
        <v>0.12451447144412307</v>
      </c>
      <c r="E61" s="8">
        <f t="shared" si="43"/>
        <v>0.12451447144412307</v>
      </c>
      <c r="F61" s="2">
        <f t="shared" ref="F61:G61" si="252">EXP(-(($A61*$F$31*G$31)^$E$31))</f>
        <v>0.12451447144412307</v>
      </c>
      <c r="G61" s="2">
        <f t="shared" si="252"/>
        <v>0.12451447144412307</v>
      </c>
      <c r="I61" s="8" t="e">
        <f t="shared" si="45"/>
        <v>#DIV/0!</v>
      </c>
      <c r="J61" s="2" t="e">
        <f t="shared" ref="J61:K61" si="253">EXP(-(($J$31*K$31)/$I$31)*(EXP($I$31*$A61)-1))</f>
        <v>#DIV/0!</v>
      </c>
      <c r="K61" s="2" t="e">
        <f t="shared" si="253"/>
        <v>#DIV/0!</v>
      </c>
      <c r="M61" s="8">
        <f t="shared" si="47"/>
        <v>0.23148376254423575</v>
      </c>
      <c r="N61" s="2">
        <f t="shared" ref="N61:O61" si="254">1-_xlfn.NORM.S.DIST((LN($A61)-$M$31-O$31)/$N$31,TRUE)</f>
        <v>0.23148376254423575</v>
      </c>
      <c r="O61" s="2">
        <f t="shared" si="254"/>
        <v>0.23148376254423575</v>
      </c>
      <c r="Q61" s="8">
        <f t="shared" si="49"/>
        <v>0.32432432432432445</v>
      </c>
      <c r="R61" s="2">
        <f t="shared" ref="R61:S61" si="255">1-(1/(1+($A61/($R$31*S$31))^(-$Q$31)))</f>
        <v>0.32432432432432445</v>
      </c>
      <c r="S61" s="2">
        <f t="shared" si="255"/>
        <v>0.32432432432432445</v>
      </c>
      <c r="U61" s="8">
        <f t="shared" si="51"/>
        <v>0.12451447144412309</v>
      </c>
      <c r="V61" s="2">
        <f t="shared" ref="V61" si="256">1-(_xlfn.GAMMA.DIST($V$31*W$31*$A61,$U$31,1,TRUE)*EXP(GAMMALN($U$31)))/EXP(GAMMALN($U$31))</f>
        <v>0.12451447144412309</v>
      </c>
      <c r="W61" s="2">
        <f t="shared" si="31"/>
        <v>0.12451447144412309</v>
      </c>
      <c r="Y61" s="8">
        <f t="shared" si="53"/>
        <v>0.23148376254423575</v>
      </c>
      <c r="Z61" s="2">
        <f t="shared" si="106"/>
        <v>0.23148376254423575</v>
      </c>
      <c r="AA61" s="2">
        <f t="shared" si="107"/>
        <v>0.23148376254423575</v>
      </c>
      <c r="AD61" s="8" t="e">
        <f t="shared" si="33"/>
        <v>#DIV/0!</v>
      </c>
      <c r="AE61" s="2" t="e">
        <f t="shared" si="55"/>
        <v>#DIV/0!</v>
      </c>
      <c r="AF61" s="2" t="e">
        <f t="shared" ref="AF61:AG61" si="257">EXP(-EXP($AD61+AG$31))</f>
        <v>#DIV/0!</v>
      </c>
      <c r="AG61" s="2" t="e">
        <f t="shared" si="257"/>
        <v>#DIV/0!</v>
      </c>
      <c r="AI61" s="8" t="e">
        <f t="shared" si="34"/>
        <v>#DIV/0!</v>
      </c>
      <c r="AJ61" s="2" t="e">
        <f t="shared" si="57"/>
        <v>#DIV/0!</v>
      </c>
      <c r="AK61" s="2" t="e">
        <f t="shared" ref="AK61:AL61" si="258">1-(EXP($AI61+AL$31)/(1 + EXP($AI61+AL$31)))</f>
        <v>#DIV/0!</v>
      </c>
      <c r="AL61" s="2" t="e">
        <f t="shared" si="258"/>
        <v>#DIV/0!</v>
      </c>
      <c r="AN61" s="8" t="e">
        <f t="shared" si="35"/>
        <v>#DIV/0!</v>
      </c>
      <c r="AO61" s="2" t="e">
        <f t="shared" si="59"/>
        <v>#DIV/0!</v>
      </c>
      <c r="AP61" s="2" t="e">
        <f t="shared" ref="AP61:AQ61" si="259">1-NORMSDIST($AN61+AQ$31)</f>
        <v>#DIV/0!</v>
      </c>
      <c r="AQ61" s="2" t="e">
        <f t="shared" si="259"/>
        <v>#DIV/0!</v>
      </c>
      <c r="AS61" s="8" t="e">
        <f t="shared" si="36"/>
        <v>#DIV/0!</v>
      </c>
      <c r="AT61" s="2" t="e">
        <f t="shared" si="61"/>
        <v>#DIV/0!</v>
      </c>
      <c r="AU61" s="2" t="e">
        <f t="shared" si="111"/>
        <v>#DIV/0!</v>
      </c>
      <c r="AV61" s="2" t="e">
        <f t="shared" si="112"/>
        <v>#DIV/0!</v>
      </c>
      <c r="AY61" s="8" t="e">
        <f t="shared" si="38"/>
        <v>#DIV/0!</v>
      </c>
      <c r="AZ61" s="2" t="e">
        <f t="shared" si="63"/>
        <v>#DIV/0!</v>
      </c>
      <c r="BA61" s="2" t="e">
        <f t="shared" si="113"/>
        <v>#DIV/0!</v>
      </c>
      <c r="BB61" s="2" t="e">
        <f t="shared" si="114"/>
        <v>#DIV/0!</v>
      </c>
      <c r="BE61" s="8" t="e">
        <f t="shared" si="39"/>
        <v>#DIV/0!</v>
      </c>
      <c r="BF61" s="2" t="e">
        <f t="shared" si="65"/>
        <v>#DIV/0!</v>
      </c>
      <c r="BG61" s="2" t="e">
        <f t="shared" si="66"/>
        <v>#DIV/0!</v>
      </c>
      <c r="BH61" s="2" t="e">
        <f t="shared" si="67"/>
        <v>#DIV/0!</v>
      </c>
    </row>
    <row r="62" spans="1:60" x14ac:dyDescent="0.2">
      <c r="A62" s="2">
        <f t="shared" si="100"/>
        <v>2.1666666666666661</v>
      </c>
      <c r="B62" s="2">
        <f t="shared" si="41"/>
        <v>0.11455884399268779</v>
      </c>
      <c r="C62" s="2">
        <f t="shared" si="195"/>
        <v>0.11455884399268779</v>
      </c>
      <c r="D62" s="2">
        <f t="shared" si="195"/>
        <v>0.11455884399268779</v>
      </c>
      <c r="E62" s="8">
        <f t="shared" si="43"/>
        <v>0.11455884399268779</v>
      </c>
      <c r="F62" s="2">
        <f t="shared" ref="F62:G62" si="260">EXP(-(($A62*$F$31*G$31)^$E$31))</f>
        <v>0.11455884399268779</v>
      </c>
      <c r="G62" s="2">
        <f t="shared" si="260"/>
        <v>0.11455884399268779</v>
      </c>
      <c r="I62" s="8" t="e">
        <f t="shared" si="45"/>
        <v>#DIV/0!</v>
      </c>
      <c r="J62" s="2" t="e">
        <f t="shared" ref="J62:K62" si="261">EXP(-(($J$31*K$31)/$I$31)*(EXP($I$31*$A62)-1))</f>
        <v>#DIV/0!</v>
      </c>
      <c r="K62" s="2" t="e">
        <f t="shared" si="261"/>
        <v>#DIV/0!</v>
      </c>
      <c r="M62" s="8">
        <f t="shared" si="47"/>
        <v>0.21970500479146426</v>
      </c>
      <c r="N62" s="2">
        <f t="shared" ref="N62:O62" si="262">1-_xlfn.NORM.S.DIST((LN($A62)-$M$31-O$31)/$N$31,TRUE)</f>
        <v>0.21970500479146426</v>
      </c>
      <c r="O62" s="2">
        <f t="shared" si="262"/>
        <v>0.21970500479146426</v>
      </c>
      <c r="Q62" s="8">
        <f t="shared" si="49"/>
        <v>0.31578947368421062</v>
      </c>
      <c r="R62" s="2">
        <f t="shared" ref="R62:S62" si="263">1-(1/(1+($A62/($R$31*S$31))^(-$Q$31)))</f>
        <v>0.31578947368421062</v>
      </c>
      <c r="S62" s="2">
        <f t="shared" si="263"/>
        <v>0.31578947368421062</v>
      </c>
      <c r="U62" s="8">
        <f t="shared" si="51"/>
        <v>0.11455884399268779</v>
      </c>
      <c r="V62" s="2">
        <f t="shared" ref="V62" si="264">1-(_xlfn.GAMMA.DIST($V$31*W$31*$A62,$U$31,1,TRUE)*EXP(GAMMALN($U$31)))/EXP(GAMMALN($U$31))</f>
        <v>0.11455884399268779</v>
      </c>
      <c r="W62" s="2">
        <f t="shared" si="31"/>
        <v>0.11455884399268779</v>
      </c>
      <c r="Y62" s="8">
        <f t="shared" si="53"/>
        <v>0.21970500479146426</v>
      </c>
      <c r="Z62" s="2">
        <f t="shared" si="106"/>
        <v>0.21970500479146426</v>
      </c>
      <c r="AA62" s="2">
        <f t="shared" si="107"/>
        <v>0.21970500479146426</v>
      </c>
      <c r="AD62" s="8" t="e">
        <f t="shared" si="33"/>
        <v>#DIV/0!</v>
      </c>
      <c r="AE62" s="2" t="e">
        <f t="shared" si="55"/>
        <v>#DIV/0!</v>
      </c>
      <c r="AF62" s="2" t="e">
        <f t="shared" ref="AF62:AG62" si="265">EXP(-EXP($AD62+AG$31))</f>
        <v>#DIV/0!</v>
      </c>
      <c r="AG62" s="2" t="e">
        <f t="shared" si="265"/>
        <v>#DIV/0!</v>
      </c>
      <c r="AI62" s="8" t="e">
        <f t="shared" si="34"/>
        <v>#DIV/0!</v>
      </c>
      <c r="AJ62" s="2" t="e">
        <f t="shared" si="57"/>
        <v>#DIV/0!</v>
      </c>
      <c r="AK62" s="2" t="e">
        <f t="shared" ref="AK62:AL62" si="266">1-(EXP($AI62+AL$31)/(1 + EXP($AI62+AL$31)))</f>
        <v>#DIV/0!</v>
      </c>
      <c r="AL62" s="2" t="e">
        <f t="shared" si="266"/>
        <v>#DIV/0!</v>
      </c>
      <c r="AN62" s="8" t="e">
        <f t="shared" si="35"/>
        <v>#DIV/0!</v>
      </c>
      <c r="AO62" s="2" t="e">
        <f t="shared" si="59"/>
        <v>#DIV/0!</v>
      </c>
      <c r="AP62" s="2" t="e">
        <f t="shared" ref="AP62:AQ62" si="267">1-NORMSDIST($AN62+AQ$31)</f>
        <v>#DIV/0!</v>
      </c>
      <c r="AQ62" s="2" t="e">
        <f t="shared" si="267"/>
        <v>#DIV/0!</v>
      </c>
      <c r="AS62" s="8" t="e">
        <f t="shared" si="36"/>
        <v>#DIV/0!</v>
      </c>
      <c r="AT62" s="2" t="e">
        <f t="shared" si="61"/>
        <v>#DIV/0!</v>
      </c>
      <c r="AU62" s="2" t="e">
        <f t="shared" si="111"/>
        <v>#DIV/0!</v>
      </c>
      <c r="AV62" s="2" t="e">
        <f t="shared" si="112"/>
        <v>#DIV/0!</v>
      </c>
      <c r="AY62" s="8" t="e">
        <f t="shared" si="38"/>
        <v>#DIV/0!</v>
      </c>
      <c r="AZ62" s="2" t="e">
        <f t="shared" si="63"/>
        <v>#DIV/0!</v>
      </c>
      <c r="BA62" s="2" t="e">
        <f t="shared" si="113"/>
        <v>#DIV/0!</v>
      </c>
      <c r="BB62" s="2" t="e">
        <f t="shared" si="114"/>
        <v>#DIV/0!</v>
      </c>
      <c r="BE62" s="8" t="e">
        <f t="shared" si="39"/>
        <v>#DIV/0!</v>
      </c>
      <c r="BF62" s="2" t="e">
        <f t="shared" si="65"/>
        <v>#DIV/0!</v>
      </c>
      <c r="BG62" s="2" t="e">
        <f t="shared" si="66"/>
        <v>#DIV/0!</v>
      </c>
      <c r="BH62" s="2" t="e">
        <f t="shared" si="67"/>
        <v>#DIV/0!</v>
      </c>
    </row>
    <row r="63" spans="1:60" x14ac:dyDescent="0.2">
      <c r="A63" s="2">
        <f t="shared" si="100"/>
        <v>2.2499999999999996</v>
      </c>
      <c r="B63" s="2">
        <f t="shared" si="41"/>
        <v>0.10539922456186439</v>
      </c>
      <c r="C63" s="2">
        <f t="shared" si="195"/>
        <v>0.10539922456186439</v>
      </c>
      <c r="D63" s="2">
        <f t="shared" si="195"/>
        <v>0.10539922456186439</v>
      </c>
      <c r="E63" s="8">
        <f t="shared" si="43"/>
        <v>0.10539922456186439</v>
      </c>
      <c r="F63" s="2">
        <f t="shared" ref="F63:G63" si="268">EXP(-(($A63*$F$31*G$31)^$E$31))</f>
        <v>0.10539922456186439</v>
      </c>
      <c r="G63" s="2">
        <f t="shared" si="268"/>
        <v>0.10539922456186439</v>
      </c>
      <c r="I63" s="8" t="e">
        <f t="shared" si="45"/>
        <v>#DIV/0!</v>
      </c>
      <c r="J63" s="2" t="e">
        <f t="shared" ref="J63:K63" si="269">EXP(-(($J$31*K$31)/$I$31)*(EXP($I$31*$A63)-1))</f>
        <v>#DIV/0!</v>
      </c>
      <c r="K63" s="2" t="e">
        <f t="shared" si="269"/>
        <v>#DIV/0!</v>
      </c>
      <c r="M63" s="8">
        <f t="shared" si="47"/>
        <v>0.20870287338447135</v>
      </c>
      <c r="N63" s="2">
        <f t="shared" ref="N63:O63" si="270">1-_xlfn.NORM.S.DIST((LN($A63)-$M$31-O$31)/$N$31,TRUE)</f>
        <v>0.20870287338447135</v>
      </c>
      <c r="O63" s="2">
        <f t="shared" si="270"/>
        <v>0.20870287338447135</v>
      </c>
      <c r="Q63" s="8">
        <f t="shared" si="49"/>
        <v>0.30769230769230782</v>
      </c>
      <c r="R63" s="2">
        <f t="shared" ref="R63:S63" si="271">1-(1/(1+($A63/($R$31*S$31))^(-$Q$31)))</f>
        <v>0.30769230769230782</v>
      </c>
      <c r="S63" s="2">
        <f t="shared" si="271"/>
        <v>0.30769230769230782</v>
      </c>
      <c r="U63" s="8">
        <f t="shared" si="51"/>
        <v>0.10539922456186435</v>
      </c>
      <c r="V63" s="2">
        <f t="shared" ref="V63" si="272">1-(_xlfn.GAMMA.DIST($V$31*W$31*$A63,$U$31,1,TRUE)*EXP(GAMMALN($U$31)))/EXP(GAMMALN($U$31))</f>
        <v>0.10539922456186435</v>
      </c>
      <c r="W63" s="2">
        <f t="shared" si="31"/>
        <v>0.10539922456186435</v>
      </c>
      <c r="Y63" s="8">
        <f t="shared" si="53"/>
        <v>0.20870287338447135</v>
      </c>
      <c r="Z63" s="2">
        <f t="shared" si="106"/>
        <v>0.20870287338447135</v>
      </c>
      <c r="AA63" s="2">
        <f t="shared" si="107"/>
        <v>0.20870287338447135</v>
      </c>
      <c r="AD63" s="8" t="e">
        <f t="shared" si="33"/>
        <v>#DIV/0!</v>
      </c>
      <c r="AE63" s="2" t="e">
        <f t="shared" si="55"/>
        <v>#DIV/0!</v>
      </c>
      <c r="AF63" s="2" t="e">
        <f t="shared" ref="AF63:AG63" si="273">EXP(-EXP($AD63+AG$31))</f>
        <v>#DIV/0!</v>
      </c>
      <c r="AG63" s="2" t="e">
        <f t="shared" si="273"/>
        <v>#DIV/0!</v>
      </c>
      <c r="AI63" s="8" t="e">
        <f t="shared" si="34"/>
        <v>#DIV/0!</v>
      </c>
      <c r="AJ63" s="2" t="e">
        <f t="shared" si="57"/>
        <v>#DIV/0!</v>
      </c>
      <c r="AK63" s="2" t="e">
        <f t="shared" ref="AK63:AL63" si="274">1-(EXP($AI63+AL$31)/(1 + EXP($AI63+AL$31)))</f>
        <v>#DIV/0!</v>
      </c>
      <c r="AL63" s="2" t="e">
        <f t="shared" si="274"/>
        <v>#DIV/0!</v>
      </c>
      <c r="AN63" s="8" t="e">
        <f t="shared" si="35"/>
        <v>#DIV/0!</v>
      </c>
      <c r="AO63" s="2" t="e">
        <f t="shared" si="59"/>
        <v>#DIV/0!</v>
      </c>
      <c r="AP63" s="2" t="e">
        <f t="shared" ref="AP63:AQ63" si="275">1-NORMSDIST($AN63+AQ$31)</f>
        <v>#DIV/0!</v>
      </c>
      <c r="AQ63" s="2" t="e">
        <f t="shared" si="275"/>
        <v>#DIV/0!</v>
      </c>
      <c r="AS63" s="8" t="e">
        <f t="shared" si="36"/>
        <v>#DIV/0!</v>
      </c>
      <c r="AT63" s="2" t="e">
        <f t="shared" si="61"/>
        <v>#DIV/0!</v>
      </c>
      <c r="AU63" s="2" t="e">
        <f t="shared" si="111"/>
        <v>#DIV/0!</v>
      </c>
      <c r="AV63" s="2" t="e">
        <f t="shared" si="112"/>
        <v>#DIV/0!</v>
      </c>
      <c r="AY63" s="8" t="e">
        <f t="shared" si="38"/>
        <v>#DIV/0!</v>
      </c>
      <c r="AZ63" s="2" t="e">
        <f t="shared" si="63"/>
        <v>#DIV/0!</v>
      </c>
      <c r="BA63" s="2" t="e">
        <f t="shared" si="113"/>
        <v>#DIV/0!</v>
      </c>
      <c r="BB63" s="2" t="e">
        <f t="shared" si="114"/>
        <v>#DIV/0!</v>
      </c>
      <c r="BE63" s="8" t="e">
        <f t="shared" si="39"/>
        <v>#DIV/0!</v>
      </c>
      <c r="BF63" s="2" t="e">
        <f t="shared" si="65"/>
        <v>#DIV/0!</v>
      </c>
      <c r="BG63" s="2" t="e">
        <f t="shared" si="66"/>
        <v>#DIV/0!</v>
      </c>
      <c r="BH63" s="2" t="e">
        <f t="shared" si="67"/>
        <v>#DIV/0!</v>
      </c>
    </row>
    <row r="64" spans="1:60" x14ac:dyDescent="0.2">
      <c r="A64" s="2">
        <f t="shared" si="100"/>
        <v>2.333333333333333</v>
      </c>
      <c r="B64" s="2">
        <f t="shared" si="41"/>
        <v>9.6971967864405095E-2</v>
      </c>
      <c r="C64" s="2">
        <f t="shared" si="195"/>
        <v>9.6971967864405095E-2</v>
      </c>
      <c r="D64" s="2">
        <f t="shared" si="195"/>
        <v>9.6971967864405095E-2</v>
      </c>
      <c r="E64" s="8">
        <f t="shared" si="43"/>
        <v>9.6971967864405095E-2</v>
      </c>
      <c r="F64" s="2">
        <f t="shared" ref="F64:G64" si="276">EXP(-(($A64*$F$31*G$31)^$E$31))</f>
        <v>9.6971967864405095E-2</v>
      </c>
      <c r="G64" s="2">
        <f t="shared" si="276"/>
        <v>9.6971967864405095E-2</v>
      </c>
      <c r="I64" s="8" t="e">
        <f t="shared" si="45"/>
        <v>#DIV/0!</v>
      </c>
      <c r="J64" s="2" t="e">
        <f t="shared" ref="J64:K64" si="277">EXP(-(($J$31*K$31)/$I$31)*(EXP($I$31*$A64)-1))</f>
        <v>#DIV/0!</v>
      </c>
      <c r="K64" s="2" t="e">
        <f t="shared" si="277"/>
        <v>#DIV/0!</v>
      </c>
      <c r="M64" s="8">
        <f t="shared" si="47"/>
        <v>0.19841455947264197</v>
      </c>
      <c r="N64" s="2">
        <f t="shared" ref="N64:O64" si="278">1-_xlfn.NORM.S.DIST((LN($A64)-$M$31-O$31)/$N$31,TRUE)</f>
        <v>0.19841455947264197</v>
      </c>
      <c r="O64" s="2">
        <f t="shared" si="278"/>
        <v>0.19841455947264197</v>
      </c>
      <c r="Q64" s="8">
        <f t="shared" si="49"/>
        <v>0.30000000000000004</v>
      </c>
      <c r="R64" s="2">
        <f t="shared" ref="R64:S64" si="279">1-(1/(1+($A64/($R$31*S$31))^(-$Q$31)))</f>
        <v>0.30000000000000004</v>
      </c>
      <c r="S64" s="2">
        <f t="shared" si="279"/>
        <v>0.30000000000000004</v>
      </c>
      <c r="U64" s="8">
        <f t="shared" si="51"/>
        <v>9.6971967864405095E-2</v>
      </c>
      <c r="V64" s="2">
        <f t="shared" ref="V64" si="280">1-(_xlfn.GAMMA.DIST($V$31*W$31*$A64,$U$31,1,TRUE)*EXP(GAMMALN($U$31)))/EXP(GAMMALN($U$31))</f>
        <v>9.6971967864405095E-2</v>
      </c>
      <c r="W64" s="2">
        <f t="shared" si="31"/>
        <v>9.6971967864405095E-2</v>
      </c>
      <c r="Y64" s="8">
        <f t="shared" si="53"/>
        <v>0.19841455947264197</v>
      </c>
      <c r="Z64" s="2">
        <f t="shared" si="106"/>
        <v>0.19841455947264197</v>
      </c>
      <c r="AA64" s="2">
        <f t="shared" si="107"/>
        <v>0.19841455947264197</v>
      </c>
      <c r="AD64" s="8" t="e">
        <f t="shared" si="33"/>
        <v>#DIV/0!</v>
      </c>
      <c r="AE64" s="2" t="e">
        <f t="shared" si="55"/>
        <v>#DIV/0!</v>
      </c>
      <c r="AF64" s="2" t="e">
        <f t="shared" ref="AF64:AG64" si="281">EXP(-EXP($AD64+AG$31))</f>
        <v>#DIV/0!</v>
      </c>
      <c r="AG64" s="2" t="e">
        <f t="shared" si="281"/>
        <v>#DIV/0!</v>
      </c>
      <c r="AI64" s="8" t="e">
        <f t="shared" si="34"/>
        <v>#DIV/0!</v>
      </c>
      <c r="AJ64" s="2" t="e">
        <f t="shared" si="57"/>
        <v>#DIV/0!</v>
      </c>
      <c r="AK64" s="2" t="e">
        <f t="shared" ref="AK64:AL64" si="282">1-(EXP($AI64+AL$31)/(1 + EXP($AI64+AL$31)))</f>
        <v>#DIV/0!</v>
      </c>
      <c r="AL64" s="2" t="e">
        <f t="shared" si="282"/>
        <v>#DIV/0!</v>
      </c>
      <c r="AN64" s="8" t="e">
        <f t="shared" si="35"/>
        <v>#DIV/0!</v>
      </c>
      <c r="AO64" s="2" t="e">
        <f t="shared" si="59"/>
        <v>#DIV/0!</v>
      </c>
      <c r="AP64" s="2" t="e">
        <f t="shared" ref="AP64:AQ64" si="283">1-NORMSDIST($AN64+AQ$31)</f>
        <v>#DIV/0!</v>
      </c>
      <c r="AQ64" s="2" t="e">
        <f t="shared" si="283"/>
        <v>#DIV/0!</v>
      </c>
      <c r="AS64" s="8" t="e">
        <f t="shared" si="36"/>
        <v>#DIV/0!</v>
      </c>
      <c r="AT64" s="2" t="e">
        <f t="shared" si="61"/>
        <v>#DIV/0!</v>
      </c>
      <c r="AU64" s="2" t="e">
        <f t="shared" si="111"/>
        <v>#DIV/0!</v>
      </c>
      <c r="AV64" s="2" t="e">
        <f t="shared" si="112"/>
        <v>#DIV/0!</v>
      </c>
      <c r="AY64" s="8" t="e">
        <f t="shared" si="38"/>
        <v>#DIV/0!</v>
      </c>
      <c r="AZ64" s="2" t="e">
        <f t="shared" si="63"/>
        <v>#DIV/0!</v>
      </c>
      <c r="BA64" s="2" t="e">
        <f t="shared" si="113"/>
        <v>#DIV/0!</v>
      </c>
      <c r="BB64" s="2" t="e">
        <f t="shared" si="114"/>
        <v>#DIV/0!</v>
      </c>
      <c r="BE64" s="8" t="e">
        <f t="shared" si="39"/>
        <v>#DIV/0!</v>
      </c>
      <c r="BF64" s="2" t="e">
        <f t="shared" si="65"/>
        <v>#DIV/0!</v>
      </c>
      <c r="BG64" s="2" t="e">
        <f t="shared" si="66"/>
        <v>#DIV/0!</v>
      </c>
      <c r="BH64" s="2" t="e">
        <f t="shared" si="67"/>
        <v>#DIV/0!</v>
      </c>
    </row>
    <row r="65" spans="1:60" x14ac:dyDescent="0.2">
      <c r="A65" s="2">
        <f t="shared" si="100"/>
        <v>2.4166666666666665</v>
      </c>
      <c r="B65" s="2">
        <f t="shared" si="41"/>
        <v>8.9218517409260109E-2</v>
      </c>
      <c r="C65" s="2">
        <f t="shared" si="195"/>
        <v>8.9218517409260109E-2</v>
      </c>
      <c r="D65" s="2">
        <f t="shared" si="195"/>
        <v>8.9218517409260109E-2</v>
      </c>
      <c r="E65" s="8">
        <f t="shared" si="43"/>
        <v>8.9218517409260109E-2</v>
      </c>
      <c r="F65" s="2">
        <f t="shared" ref="F65:G65" si="284">EXP(-(($A65*$F$31*G$31)^$E$31))</f>
        <v>8.9218517409260109E-2</v>
      </c>
      <c r="G65" s="2">
        <f t="shared" si="284"/>
        <v>8.9218517409260109E-2</v>
      </c>
      <c r="I65" s="8" t="e">
        <f t="shared" si="45"/>
        <v>#DIV/0!</v>
      </c>
      <c r="J65" s="2" t="e">
        <f t="shared" ref="J65:K65" si="285">EXP(-(($J$31*K$31)/$I$31)*(EXP($I$31*$A65)-1))</f>
        <v>#DIV/0!</v>
      </c>
      <c r="K65" s="2" t="e">
        <f t="shared" si="285"/>
        <v>#DIV/0!</v>
      </c>
      <c r="M65" s="8">
        <f t="shared" si="47"/>
        <v>0.18878319237896202</v>
      </c>
      <c r="N65" s="2">
        <f t="shared" ref="N65:O65" si="286">1-_xlfn.NORM.S.DIST((LN($A65)-$M$31-O$31)/$N$31,TRUE)</f>
        <v>0.18878319237896202</v>
      </c>
      <c r="O65" s="2">
        <f t="shared" si="286"/>
        <v>0.18878319237896202</v>
      </c>
      <c r="Q65" s="8">
        <f t="shared" si="49"/>
        <v>0.29268292682926822</v>
      </c>
      <c r="R65" s="2">
        <f t="shared" ref="R65:S65" si="287">1-(1/(1+($A65/($R$31*S$31))^(-$Q$31)))</f>
        <v>0.29268292682926822</v>
      </c>
      <c r="S65" s="2">
        <f t="shared" si="287"/>
        <v>0.29268292682926822</v>
      </c>
      <c r="U65" s="8">
        <f t="shared" si="51"/>
        <v>8.9218517409260123E-2</v>
      </c>
      <c r="V65" s="2">
        <f t="shared" ref="V65" si="288">1-(_xlfn.GAMMA.DIST($V$31*W$31*$A65,$U$31,1,TRUE)*EXP(GAMMALN($U$31)))/EXP(GAMMALN($U$31))</f>
        <v>8.9218517409260123E-2</v>
      </c>
      <c r="W65" s="2">
        <f t="shared" si="31"/>
        <v>8.9218517409260123E-2</v>
      </c>
      <c r="Y65" s="8">
        <f t="shared" si="53"/>
        <v>0.18878319237896202</v>
      </c>
      <c r="Z65" s="2">
        <f t="shared" si="106"/>
        <v>0.18878319237896202</v>
      </c>
      <c r="AA65" s="2">
        <f t="shared" si="107"/>
        <v>0.18878319237896202</v>
      </c>
      <c r="AD65" s="8" t="e">
        <f t="shared" si="33"/>
        <v>#DIV/0!</v>
      </c>
      <c r="AE65" s="2" t="e">
        <f t="shared" si="55"/>
        <v>#DIV/0!</v>
      </c>
      <c r="AF65" s="2" t="e">
        <f t="shared" ref="AF65:AG65" si="289">EXP(-EXP($AD65+AG$31))</f>
        <v>#DIV/0!</v>
      </c>
      <c r="AG65" s="2" t="e">
        <f t="shared" si="289"/>
        <v>#DIV/0!</v>
      </c>
      <c r="AI65" s="8" t="e">
        <f t="shared" si="34"/>
        <v>#DIV/0!</v>
      </c>
      <c r="AJ65" s="2" t="e">
        <f t="shared" si="57"/>
        <v>#DIV/0!</v>
      </c>
      <c r="AK65" s="2" t="e">
        <f t="shared" ref="AK65:AL65" si="290">1-(EXP($AI65+AL$31)/(1 + EXP($AI65+AL$31)))</f>
        <v>#DIV/0!</v>
      </c>
      <c r="AL65" s="2" t="e">
        <f t="shared" si="290"/>
        <v>#DIV/0!</v>
      </c>
      <c r="AN65" s="8" t="e">
        <f t="shared" si="35"/>
        <v>#DIV/0!</v>
      </c>
      <c r="AO65" s="2" t="e">
        <f t="shared" si="59"/>
        <v>#DIV/0!</v>
      </c>
      <c r="AP65" s="2" t="e">
        <f t="shared" ref="AP65:AQ65" si="291">1-NORMSDIST($AN65+AQ$31)</f>
        <v>#DIV/0!</v>
      </c>
      <c r="AQ65" s="2" t="e">
        <f t="shared" si="291"/>
        <v>#DIV/0!</v>
      </c>
      <c r="AS65" s="8" t="e">
        <f t="shared" si="36"/>
        <v>#DIV/0!</v>
      </c>
      <c r="AT65" s="2" t="e">
        <f t="shared" si="61"/>
        <v>#DIV/0!</v>
      </c>
      <c r="AU65" s="2" t="e">
        <f t="shared" si="111"/>
        <v>#DIV/0!</v>
      </c>
      <c r="AV65" s="2" t="e">
        <f t="shared" si="112"/>
        <v>#DIV/0!</v>
      </c>
      <c r="AY65" s="8" t="e">
        <f t="shared" si="38"/>
        <v>#DIV/0!</v>
      </c>
      <c r="AZ65" s="2" t="e">
        <f t="shared" si="63"/>
        <v>#DIV/0!</v>
      </c>
      <c r="BA65" s="2" t="e">
        <f t="shared" si="113"/>
        <v>#DIV/0!</v>
      </c>
      <c r="BB65" s="2" t="e">
        <f t="shared" si="114"/>
        <v>#DIV/0!</v>
      </c>
      <c r="BE65" s="8" t="e">
        <f t="shared" si="39"/>
        <v>#DIV/0!</v>
      </c>
      <c r="BF65" s="2" t="e">
        <f t="shared" si="65"/>
        <v>#DIV/0!</v>
      </c>
      <c r="BG65" s="2" t="e">
        <f t="shared" si="66"/>
        <v>#DIV/0!</v>
      </c>
      <c r="BH65" s="2" t="e">
        <f t="shared" si="67"/>
        <v>#DIV/0!</v>
      </c>
    </row>
    <row r="66" spans="1:60" x14ac:dyDescent="0.2">
      <c r="A66" s="2">
        <f t="shared" si="100"/>
        <v>2.5</v>
      </c>
      <c r="B66" s="2">
        <f t="shared" si="41"/>
        <v>8.20849986238988E-2</v>
      </c>
      <c r="C66" s="2">
        <f t="shared" si="195"/>
        <v>8.20849986238988E-2</v>
      </c>
      <c r="D66" s="2">
        <f t="shared" si="195"/>
        <v>8.20849986238988E-2</v>
      </c>
      <c r="E66" s="8">
        <f t="shared" si="43"/>
        <v>8.20849986238988E-2</v>
      </c>
      <c r="F66" s="2">
        <f t="shared" ref="F66:G66" si="292">EXP(-(($A66*$F$31*G$31)^$E$31))</f>
        <v>8.20849986238988E-2</v>
      </c>
      <c r="G66" s="2">
        <f t="shared" si="292"/>
        <v>8.20849986238988E-2</v>
      </c>
      <c r="I66" s="8" t="e">
        <f t="shared" si="45"/>
        <v>#DIV/0!</v>
      </c>
      <c r="J66" s="2" t="e">
        <f t="shared" ref="J66:K66" si="293">EXP(-(($J$31*K$31)/$I$31)*(EXP($I$31*$A66)-1))</f>
        <v>#DIV/0!</v>
      </c>
      <c r="K66" s="2" t="e">
        <f t="shared" si="293"/>
        <v>#DIV/0!</v>
      </c>
      <c r="M66" s="8">
        <f t="shared" si="47"/>
        <v>0.17975721389578536</v>
      </c>
      <c r="N66" s="2">
        <f t="shared" ref="N66:O66" si="294">1-_xlfn.NORM.S.DIST((LN($A66)-$M$31-O$31)/$N$31,TRUE)</f>
        <v>0.17975721389578536</v>
      </c>
      <c r="O66" s="2">
        <f t="shared" si="294"/>
        <v>0.17975721389578536</v>
      </c>
      <c r="Q66" s="8">
        <f t="shared" si="49"/>
        <v>0.2857142857142857</v>
      </c>
      <c r="R66" s="2">
        <f t="shared" ref="R66:S66" si="295">1-(1/(1+($A66/($R$31*S$31))^(-$Q$31)))</f>
        <v>0.2857142857142857</v>
      </c>
      <c r="S66" s="2">
        <f t="shared" si="295"/>
        <v>0.2857142857142857</v>
      </c>
      <c r="U66" s="8">
        <f t="shared" si="51"/>
        <v>8.2084998623898842E-2</v>
      </c>
      <c r="V66" s="2">
        <f t="shared" ref="V66" si="296">1-(_xlfn.GAMMA.DIST($V$31*W$31*$A66,$U$31,1,TRUE)*EXP(GAMMALN($U$31)))/EXP(GAMMALN($U$31))</f>
        <v>8.2084998623898842E-2</v>
      </c>
      <c r="W66" s="2">
        <f t="shared" si="31"/>
        <v>8.2084998623898842E-2</v>
      </c>
      <c r="Y66" s="8">
        <f t="shared" si="53"/>
        <v>0.17975721389578536</v>
      </c>
      <c r="Z66" s="2">
        <f t="shared" si="106"/>
        <v>0.17975721389578536</v>
      </c>
      <c r="AA66" s="2">
        <f t="shared" si="107"/>
        <v>0.17975721389578536</v>
      </c>
      <c r="AD66" s="8" t="e">
        <f t="shared" si="33"/>
        <v>#DIV/0!</v>
      </c>
      <c r="AE66" s="2" t="e">
        <f t="shared" si="55"/>
        <v>#DIV/0!</v>
      </c>
      <c r="AF66" s="2" t="e">
        <f t="shared" ref="AF66:AG66" si="297">EXP(-EXP($AD66+AG$31))</f>
        <v>#DIV/0!</v>
      </c>
      <c r="AG66" s="2" t="e">
        <f t="shared" si="297"/>
        <v>#DIV/0!</v>
      </c>
      <c r="AI66" s="8" t="e">
        <f t="shared" si="34"/>
        <v>#DIV/0!</v>
      </c>
      <c r="AJ66" s="2" t="e">
        <f t="shared" si="57"/>
        <v>#DIV/0!</v>
      </c>
      <c r="AK66" s="2" t="e">
        <f t="shared" ref="AK66:AL66" si="298">1-(EXP($AI66+AL$31)/(1 + EXP($AI66+AL$31)))</f>
        <v>#DIV/0!</v>
      </c>
      <c r="AL66" s="2" t="e">
        <f t="shared" si="298"/>
        <v>#DIV/0!</v>
      </c>
      <c r="AN66" s="8" t="e">
        <f t="shared" si="35"/>
        <v>#DIV/0!</v>
      </c>
      <c r="AO66" s="2" t="e">
        <f t="shared" si="59"/>
        <v>#DIV/0!</v>
      </c>
      <c r="AP66" s="2" t="e">
        <f t="shared" ref="AP66:AQ66" si="299">1-NORMSDIST($AN66+AQ$31)</f>
        <v>#DIV/0!</v>
      </c>
      <c r="AQ66" s="2" t="e">
        <f t="shared" si="299"/>
        <v>#DIV/0!</v>
      </c>
      <c r="AS66" s="8" t="e">
        <f t="shared" si="36"/>
        <v>#DIV/0!</v>
      </c>
      <c r="AT66" s="2" t="e">
        <f t="shared" si="61"/>
        <v>#DIV/0!</v>
      </c>
      <c r="AU66" s="2" t="e">
        <f t="shared" si="111"/>
        <v>#DIV/0!</v>
      </c>
      <c r="AV66" s="2" t="e">
        <f t="shared" si="112"/>
        <v>#DIV/0!</v>
      </c>
      <c r="AY66" s="8" t="e">
        <f t="shared" si="38"/>
        <v>#DIV/0!</v>
      </c>
      <c r="AZ66" s="2" t="e">
        <f t="shared" si="63"/>
        <v>#DIV/0!</v>
      </c>
      <c r="BA66" s="2" t="e">
        <f t="shared" si="113"/>
        <v>#DIV/0!</v>
      </c>
      <c r="BB66" s="2" t="e">
        <f t="shared" si="114"/>
        <v>#DIV/0!</v>
      </c>
      <c r="BE66" s="8" t="e">
        <f t="shared" si="39"/>
        <v>#DIV/0!</v>
      </c>
      <c r="BF66" s="2" t="e">
        <f t="shared" si="65"/>
        <v>#DIV/0!</v>
      </c>
      <c r="BG66" s="2" t="e">
        <f t="shared" si="66"/>
        <v>#DIV/0!</v>
      </c>
      <c r="BH66" s="2" t="e">
        <f t="shared" si="67"/>
        <v>#DIV/0!</v>
      </c>
    </row>
    <row r="67" spans="1:60" x14ac:dyDescent="0.2">
      <c r="A67" s="2">
        <f t="shared" si="100"/>
        <v>2.5833333333333335</v>
      </c>
      <c r="B67" s="2">
        <f t="shared" si="41"/>
        <v>7.5521844508773764E-2</v>
      </c>
      <c r="C67" s="2">
        <f t="shared" si="195"/>
        <v>7.5521844508773764E-2</v>
      </c>
      <c r="D67" s="2">
        <f t="shared" si="195"/>
        <v>7.5521844508773764E-2</v>
      </c>
      <c r="E67" s="8">
        <f t="shared" si="43"/>
        <v>7.5521844508773764E-2</v>
      </c>
      <c r="F67" s="2">
        <f t="shared" ref="F67:G67" si="300">EXP(-(($A67*$F$31*G$31)^$E$31))</f>
        <v>7.5521844508773764E-2</v>
      </c>
      <c r="G67" s="2">
        <f t="shared" si="300"/>
        <v>7.5521844508773764E-2</v>
      </c>
      <c r="I67" s="8" t="e">
        <f t="shared" si="45"/>
        <v>#DIV/0!</v>
      </c>
      <c r="J67" s="2" t="e">
        <f t="shared" ref="J67:K67" si="301">EXP(-(($J$31*K$31)/$I$31)*(EXP($I$31*$A67)-1))</f>
        <v>#DIV/0!</v>
      </c>
      <c r="K67" s="2" t="e">
        <f t="shared" si="301"/>
        <v>#DIV/0!</v>
      </c>
      <c r="M67" s="8">
        <f t="shared" si="47"/>
        <v>0.17128982173014684</v>
      </c>
      <c r="N67" s="2">
        <f t="shared" ref="N67:O67" si="302">1-_xlfn.NORM.S.DIST((LN($A67)-$M$31-O$31)/$N$31,TRUE)</f>
        <v>0.17128982173014684</v>
      </c>
      <c r="O67" s="2">
        <f t="shared" si="302"/>
        <v>0.17128982173014684</v>
      </c>
      <c r="Q67" s="8">
        <f t="shared" si="49"/>
        <v>0.27906976744186052</v>
      </c>
      <c r="R67" s="2">
        <f t="shared" ref="R67:S67" si="303">1-(1/(1+($A67/($R$31*S$31))^(-$Q$31)))</f>
        <v>0.27906976744186052</v>
      </c>
      <c r="S67" s="2">
        <f t="shared" si="303"/>
        <v>0.27906976744186052</v>
      </c>
      <c r="U67" s="8">
        <f t="shared" si="51"/>
        <v>7.552184450877375E-2</v>
      </c>
      <c r="V67" s="2">
        <f t="shared" ref="V67" si="304">1-(_xlfn.GAMMA.DIST($V$31*W$31*$A67,$U$31,1,TRUE)*EXP(GAMMALN($U$31)))/EXP(GAMMALN($U$31))</f>
        <v>7.552184450877375E-2</v>
      </c>
      <c r="W67" s="2">
        <f t="shared" si="31"/>
        <v>7.552184450877375E-2</v>
      </c>
      <c r="Y67" s="8">
        <f t="shared" si="53"/>
        <v>0.17128982173014684</v>
      </c>
      <c r="Z67" s="2">
        <f t="shared" si="106"/>
        <v>0.17128982173014684</v>
      </c>
      <c r="AA67" s="2">
        <f t="shared" si="107"/>
        <v>0.17128982173014684</v>
      </c>
      <c r="AD67" s="8" t="e">
        <f t="shared" si="33"/>
        <v>#DIV/0!</v>
      </c>
      <c r="AE67" s="2" t="e">
        <f t="shared" si="55"/>
        <v>#DIV/0!</v>
      </c>
      <c r="AF67" s="2" t="e">
        <f t="shared" ref="AF67:AG67" si="305">EXP(-EXP($AD67+AG$31))</f>
        <v>#DIV/0!</v>
      </c>
      <c r="AG67" s="2" t="e">
        <f t="shared" si="305"/>
        <v>#DIV/0!</v>
      </c>
      <c r="AI67" s="8" t="e">
        <f t="shared" si="34"/>
        <v>#DIV/0!</v>
      </c>
      <c r="AJ67" s="2" t="e">
        <f t="shared" si="57"/>
        <v>#DIV/0!</v>
      </c>
      <c r="AK67" s="2" t="e">
        <f t="shared" ref="AK67:AL67" si="306">1-(EXP($AI67+AL$31)/(1 + EXP($AI67+AL$31)))</f>
        <v>#DIV/0!</v>
      </c>
      <c r="AL67" s="2" t="e">
        <f t="shared" si="306"/>
        <v>#DIV/0!</v>
      </c>
      <c r="AN67" s="8" t="e">
        <f t="shared" si="35"/>
        <v>#DIV/0!</v>
      </c>
      <c r="AO67" s="2" t="e">
        <f t="shared" si="59"/>
        <v>#DIV/0!</v>
      </c>
      <c r="AP67" s="2" t="e">
        <f t="shared" ref="AP67:AQ67" si="307">1-NORMSDIST($AN67+AQ$31)</f>
        <v>#DIV/0!</v>
      </c>
      <c r="AQ67" s="2" t="e">
        <f t="shared" si="307"/>
        <v>#DIV/0!</v>
      </c>
      <c r="AS67" s="8" t="e">
        <f t="shared" si="36"/>
        <v>#DIV/0!</v>
      </c>
      <c r="AT67" s="2" t="e">
        <f t="shared" si="61"/>
        <v>#DIV/0!</v>
      </c>
      <c r="AU67" s="2" t="e">
        <f t="shared" si="111"/>
        <v>#DIV/0!</v>
      </c>
      <c r="AV67" s="2" t="e">
        <f t="shared" si="112"/>
        <v>#DIV/0!</v>
      </c>
      <c r="AY67" s="8" t="e">
        <f t="shared" si="38"/>
        <v>#DIV/0!</v>
      </c>
      <c r="AZ67" s="2" t="e">
        <f t="shared" si="63"/>
        <v>#DIV/0!</v>
      </c>
      <c r="BA67" s="2" t="e">
        <f t="shared" si="113"/>
        <v>#DIV/0!</v>
      </c>
      <c r="BB67" s="2" t="e">
        <f t="shared" si="114"/>
        <v>#DIV/0!</v>
      </c>
      <c r="BE67" s="8" t="e">
        <f t="shared" si="39"/>
        <v>#DIV/0!</v>
      </c>
      <c r="BF67" s="2" t="e">
        <f t="shared" si="65"/>
        <v>#DIV/0!</v>
      </c>
      <c r="BG67" s="2" t="e">
        <f t="shared" si="66"/>
        <v>#DIV/0!</v>
      </c>
      <c r="BH67" s="2" t="e">
        <f t="shared" si="67"/>
        <v>#DIV/0!</v>
      </c>
    </row>
    <row r="68" spans="1:60" x14ac:dyDescent="0.2">
      <c r="A68" s="2">
        <f t="shared" si="100"/>
        <v>2.666666666666667</v>
      </c>
      <c r="B68" s="2">
        <f t="shared" si="41"/>
        <v>6.9483451222801515E-2</v>
      </c>
      <c r="C68" s="2">
        <f t="shared" si="195"/>
        <v>6.9483451222801515E-2</v>
      </c>
      <c r="D68" s="2">
        <f t="shared" si="195"/>
        <v>6.9483451222801515E-2</v>
      </c>
      <c r="E68" s="8">
        <f t="shared" si="43"/>
        <v>6.9483451222801515E-2</v>
      </c>
      <c r="F68" s="2">
        <f t="shared" ref="F68:G68" si="308">EXP(-(($A68*$F$31*G$31)^$E$31))</f>
        <v>6.9483451222801515E-2</v>
      </c>
      <c r="G68" s="2">
        <f t="shared" si="308"/>
        <v>6.9483451222801515E-2</v>
      </c>
      <c r="I68" s="8" t="e">
        <f t="shared" si="45"/>
        <v>#DIV/0!</v>
      </c>
      <c r="J68" s="2" t="e">
        <f t="shared" ref="J68:K68" si="309">EXP(-(($J$31*K$31)/$I$31)*(EXP($I$31*$A68)-1))</f>
        <v>#DIV/0!</v>
      </c>
      <c r="K68" s="2" t="e">
        <f t="shared" si="309"/>
        <v>#DIV/0!</v>
      </c>
      <c r="M68" s="8">
        <f t="shared" si="47"/>
        <v>0.16333847497860055</v>
      </c>
      <c r="N68" s="2">
        <f t="shared" ref="N68:O68" si="310">1-_xlfn.NORM.S.DIST((LN($A68)-$M$31-O$31)/$N$31,TRUE)</f>
        <v>0.16333847497860055</v>
      </c>
      <c r="O68" s="2">
        <f t="shared" si="310"/>
        <v>0.16333847497860055</v>
      </c>
      <c r="Q68" s="8">
        <f t="shared" si="49"/>
        <v>0.27272727272727271</v>
      </c>
      <c r="R68" s="2">
        <f t="shared" ref="R68:S68" si="311">1-(1/(1+($A68/($R$31*S$31))^(-$Q$31)))</f>
        <v>0.27272727272727271</v>
      </c>
      <c r="S68" s="2">
        <f t="shared" si="311"/>
        <v>0.27272727272727271</v>
      </c>
      <c r="U68" s="8">
        <f t="shared" si="51"/>
        <v>6.9483451222801529E-2</v>
      </c>
      <c r="V68" s="2">
        <f t="shared" ref="V68" si="312">1-(_xlfn.GAMMA.DIST($V$31*W$31*$A68,$U$31,1,TRUE)*EXP(GAMMALN($U$31)))/EXP(GAMMALN($U$31))</f>
        <v>6.9483451222801529E-2</v>
      </c>
      <c r="W68" s="2">
        <f t="shared" si="31"/>
        <v>6.9483451222801529E-2</v>
      </c>
      <c r="Y68" s="8">
        <f t="shared" si="53"/>
        <v>0.16333847497860055</v>
      </c>
      <c r="Z68" s="2">
        <f t="shared" si="106"/>
        <v>0.16333847497860055</v>
      </c>
      <c r="AA68" s="2">
        <f t="shared" si="107"/>
        <v>0.16333847497860055</v>
      </c>
      <c r="AD68" s="8" t="e">
        <f t="shared" si="33"/>
        <v>#DIV/0!</v>
      </c>
      <c r="AE68" s="2" t="e">
        <f t="shared" si="55"/>
        <v>#DIV/0!</v>
      </c>
      <c r="AF68" s="2" t="e">
        <f t="shared" ref="AF68:AG68" si="313">EXP(-EXP($AD68+AG$31))</f>
        <v>#DIV/0!</v>
      </c>
      <c r="AG68" s="2" t="e">
        <f t="shared" si="313"/>
        <v>#DIV/0!</v>
      </c>
      <c r="AI68" s="8" t="e">
        <f t="shared" si="34"/>
        <v>#DIV/0!</v>
      </c>
      <c r="AJ68" s="2" t="e">
        <f t="shared" si="57"/>
        <v>#DIV/0!</v>
      </c>
      <c r="AK68" s="2" t="e">
        <f t="shared" ref="AK68:AL68" si="314">1-(EXP($AI68+AL$31)/(1 + EXP($AI68+AL$31)))</f>
        <v>#DIV/0!</v>
      </c>
      <c r="AL68" s="2" t="e">
        <f t="shared" si="314"/>
        <v>#DIV/0!</v>
      </c>
      <c r="AN68" s="8" t="e">
        <f t="shared" si="35"/>
        <v>#DIV/0!</v>
      </c>
      <c r="AO68" s="2" t="e">
        <f t="shared" si="59"/>
        <v>#DIV/0!</v>
      </c>
      <c r="AP68" s="2" t="e">
        <f t="shared" ref="AP68:AQ68" si="315">1-NORMSDIST($AN68+AQ$31)</f>
        <v>#DIV/0!</v>
      </c>
      <c r="AQ68" s="2" t="e">
        <f t="shared" si="315"/>
        <v>#DIV/0!</v>
      </c>
      <c r="AS68" s="8" t="e">
        <f t="shared" si="36"/>
        <v>#DIV/0!</v>
      </c>
      <c r="AT68" s="2" t="e">
        <f t="shared" si="61"/>
        <v>#DIV/0!</v>
      </c>
      <c r="AU68" s="2" t="e">
        <f t="shared" si="111"/>
        <v>#DIV/0!</v>
      </c>
      <c r="AV68" s="2" t="e">
        <f t="shared" si="112"/>
        <v>#DIV/0!</v>
      </c>
      <c r="AY68" s="8" t="e">
        <f t="shared" si="38"/>
        <v>#DIV/0!</v>
      </c>
      <c r="AZ68" s="2" t="e">
        <f t="shared" si="63"/>
        <v>#DIV/0!</v>
      </c>
      <c r="BA68" s="2" t="e">
        <f t="shared" si="113"/>
        <v>#DIV/0!</v>
      </c>
      <c r="BB68" s="2" t="e">
        <f t="shared" si="114"/>
        <v>#DIV/0!</v>
      </c>
      <c r="BE68" s="8" t="e">
        <f t="shared" si="39"/>
        <v>#DIV/0!</v>
      </c>
      <c r="BF68" s="2" t="e">
        <f t="shared" si="65"/>
        <v>#DIV/0!</v>
      </c>
      <c r="BG68" s="2" t="e">
        <f t="shared" si="66"/>
        <v>#DIV/0!</v>
      </c>
      <c r="BH68" s="2" t="e">
        <f t="shared" si="67"/>
        <v>#DIV/0!</v>
      </c>
    </row>
    <row r="69" spans="1:60" x14ac:dyDescent="0.2">
      <c r="A69" s="2">
        <f t="shared" si="100"/>
        <v>2.7500000000000004</v>
      </c>
      <c r="B69" s="2">
        <f t="shared" si="41"/>
        <v>6.3927861206707542E-2</v>
      </c>
      <c r="C69" s="2">
        <f t="shared" si="195"/>
        <v>6.3927861206707542E-2</v>
      </c>
      <c r="D69" s="2">
        <f t="shared" si="195"/>
        <v>6.3927861206707542E-2</v>
      </c>
      <c r="E69" s="8">
        <f t="shared" si="43"/>
        <v>6.3927861206707542E-2</v>
      </c>
      <c r="F69" s="2">
        <f t="shared" ref="F69:G69" si="316">EXP(-(($A69*$F$31*G$31)^$E$31))</f>
        <v>6.3927861206707542E-2</v>
      </c>
      <c r="G69" s="2">
        <f t="shared" si="316"/>
        <v>6.3927861206707542E-2</v>
      </c>
      <c r="I69" s="8" t="e">
        <f t="shared" si="45"/>
        <v>#DIV/0!</v>
      </c>
      <c r="J69" s="2" t="e">
        <f t="shared" ref="J69:K69" si="317">EXP(-(($J$31*K$31)/$I$31)*(EXP($I$31*$A69)-1))</f>
        <v>#DIV/0!</v>
      </c>
      <c r="K69" s="2" t="e">
        <f t="shared" si="317"/>
        <v>#DIV/0!</v>
      </c>
      <c r="M69" s="8">
        <f t="shared" si="47"/>
        <v>0.15586445491256917</v>
      </c>
      <c r="N69" s="2">
        <f t="shared" ref="N69:O69" si="318">1-_xlfn.NORM.S.DIST((LN($A69)-$M$31-O$31)/$N$31,TRUE)</f>
        <v>0.15586445491256917</v>
      </c>
      <c r="O69" s="2">
        <f t="shared" si="318"/>
        <v>0.15586445491256917</v>
      </c>
      <c r="Q69" s="8">
        <f t="shared" si="49"/>
        <v>0.26666666666666661</v>
      </c>
      <c r="R69" s="2">
        <f t="shared" ref="R69:S69" si="319">1-(1/(1+($A69/($R$31*S$31))^(-$Q$31)))</f>
        <v>0.26666666666666661</v>
      </c>
      <c r="S69" s="2">
        <f t="shared" si="319"/>
        <v>0.26666666666666661</v>
      </c>
      <c r="U69" s="8">
        <f t="shared" si="51"/>
        <v>6.392786120670757E-2</v>
      </c>
      <c r="V69" s="2">
        <f t="shared" ref="V69" si="320">1-(_xlfn.GAMMA.DIST($V$31*W$31*$A69,$U$31,1,TRUE)*EXP(GAMMALN($U$31)))/EXP(GAMMALN($U$31))</f>
        <v>6.392786120670757E-2</v>
      </c>
      <c r="W69" s="2">
        <f t="shared" si="31"/>
        <v>6.392786120670757E-2</v>
      </c>
      <c r="Y69" s="8">
        <f t="shared" si="53"/>
        <v>0.15586445491256917</v>
      </c>
      <c r="Z69" s="2">
        <f t="shared" si="106"/>
        <v>0.15586445491256917</v>
      </c>
      <c r="AA69" s="2">
        <f t="shared" si="107"/>
        <v>0.15586445491256917</v>
      </c>
      <c r="AD69" s="8" t="e">
        <f t="shared" ref="AD69:AD100" si="321">AD$31+
AE$31*LN($A69)+
AF$31*(MAX(LN($A69)-AE$9,0)^3-AF$33*MAX(LN($A69)-AD$9,0)^3-(1-AF$33)*MAX(LN($A69)-AF$9,0)^3)</f>
        <v>#DIV/0!</v>
      </c>
      <c r="AE69" s="2" t="e">
        <f t="shared" si="55"/>
        <v>#DIV/0!</v>
      </c>
      <c r="AF69" s="2" t="e">
        <f t="shared" ref="AF69:AG69" si="322">EXP(-EXP($AD69+AG$31))</f>
        <v>#DIV/0!</v>
      </c>
      <c r="AG69" s="2" t="e">
        <f t="shared" si="322"/>
        <v>#DIV/0!</v>
      </c>
      <c r="AI69" s="8" t="e">
        <f t="shared" ref="AI69:AI100" si="323">AI$31+
AJ$31*LN($A69)+
AK$31*(MAX(LN($A69)-AJ$9,0)^3-AK$33*MAX(LN($A69)-AI$9,0)^3-(1-AK$33)*MAX(LN($A69)-AK$9,0)^3)</f>
        <v>#DIV/0!</v>
      </c>
      <c r="AJ69" s="2" t="e">
        <f t="shared" si="57"/>
        <v>#DIV/0!</v>
      </c>
      <c r="AK69" s="2" t="e">
        <f t="shared" ref="AK69:AL69" si="324">1-(EXP($AI69+AL$31)/(1 + EXP($AI69+AL$31)))</f>
        <v>#DIV/0!</v>
      </c>
      <c r="AL69" s="2" t="e">
        <f t="shared" si="324"/>
        <v>#DIV/0!</v>
      </c>
      <c r="AN69" s="8" t="e">
        <f t="shared" ref="AN69:AN100" si="325">AN$31+
AO$31*LN($A69)+
AP$31*(MAX(LN($A69)-AO$9,0)^3-AP$33*MAX(LN($A69)-AN$9,0)^3-(1-AP$33)*MAX(LN($A69)-AP$9,0)^3)</f>
        <v>#DIV/0!</v>
      </c>
      <c r="AO69" s="2" t="e">
        <f t="shared" si="59"/>
        <v>#DIV/0!</v>
      </c>
      <c r="AP69" s="2" t="e">
        <f t="shared" ref="AP69:AQ69" si="326">1-NORMSDIST($AN69+AQ$31)</f>
        <v>#DIV/0!</v>
      </c>
      <c r="AQ69" s="2" t="e">
        <f t="shared" si="326"/>
        <v>#DIV/0!</v>
      </c>
      <c r="AS69" s="8" t="e">
        <f t="shared" ref="AS69:AS100" si="327">AS$31+
AT$31*LN($A69)+
AU$31*(MAX(LN($A69)-AT$9,0)^3-AU$33*MAX(LN($A69)-AS$9,0)^3-(1-AU$33)*MAX(LN($A69)-AV$9,0)^3)+
AV$31*(MAX(LN($A69)-AU$9,0)^3-AV$33*MAX(LN($A69)-AS$9,0)^3-(1-AV$33)*MAX(LN($A69)-AV$9,0)^3)</f>
        <v>#DIV/0!</v>
      </c>
      <c r="AT69" s="2" t="e">
        <f t="shared" si="61"/>
        <v>#DIV/0!</v>
      </c>
      <c r="AU69" s="2" t="e">
        <f t="shared" si="111"/>
        <v>#DIV/0!</v>
      </c>
      <c r="AV69" s="2" t="e">
        <f t="shared" si="112"/>
        <v>#DIV/0!</v>
      </c>
      <c r="AY69" s="8" t="e">
        <f t="shared" ref="AY69:AY100" si="328">AY$31+
AZ$31*LN($A69)+
BA$31*(MAX(LN($A69)-AZ$9,0)^3-BA$33*MAX(LN($A69)-AY$9,0)^3-(1-BA$33)*MAX(LN($A69)-BB$9,0)^3)+
BB$31*(MAX(LN($A69)-BA$9,0)^3-BB$33*MAX(LN($A69)-AY$9,0)^3-(1-BB$33)*MAX(LN($A69)-BB$9,0)^3)</f>
        <v>#DIV/0!</v>
      </c>
      <c r="AZ69" s="2" t="e">
        <f t="shared" si="63"/>
        <v>#DIV/0!</v>
      </c>
      <c r="BA69" s="2" t="e">
        <f t="shared" si="113"/>
        <v>#DIV/0!</v>
      </c>
      <c r="BB69" s="2" t="e">
        <f t="shared" si="114"/>
        <v>#DIV/0!</v>
      </c>
      <c r="BE69" s="8" t="e">
        <f t="shared" ref="BE69:BE100" si="329">BE$31+
BF$31*LN($A69)+
BG$31*(MAX(LN($A69)-BF$9,0)^3-BG$33*MAX(LN($A69)-BE$9,0)^3-(1-BG$33)*MAX(LN($A69)-BH$9,0)^3)+
BH$31*(MAX(LN($A69)-BG$9,0)^3-BH$33*MAX(LN($A69)-BE$9,0)^3-(1-BH$33)*MAX(LN($A69)-BH$9,0)^3)</f>
        <v>#DIV/0!</v>
      </c>
      <c r="BF69" s="2" t="e">
        <f t="shared" si="65"/>
        <v>#DIV/0!</v>
      </c>
      <c r="BG69" s="2" t="e">
        <f t="shared" si="66"/>
        <v>#DIV/0!</v>
      </c>
      <c r="BH69" s="2" t="e">
        <f t="shared" si="67"/>
        <v>#DIV/0!</v>
      </c>
    </row>
    <row r="70" spans="1:60" x14ac:dyDescent="0.2">
      <c r="A70" s="2">
        <f t="shared" si="100"/>
        <v>2.8333333333333339</v>
      </c>
      <c r="B70" s="2">
        <f t="shared" si="41"/>
        <v>5.8816471642429854E-2</v>
      </c>
      <c r="C70" s="2">
        <f t="shared" si="195"/>
        <v>5.8816471642429854E-2</v>
      </c>
      <c r="D70" s="2">
        <f t="shared" si="195"/>
        <v>5.8816471642429854E-2</v>
      </c>
      <c r="E70" s="8">
        <f t="shared" si="43"/>
        <v>5.8816471642429854E-2</v>
      </c>
      <c r="F70" s="2">
        <f t="shared" ref="F70:G70" si="330">EXP(-(($A70*$F$31*G$31)^$E$31))</f>
        <v>5.8816471642429854E-2</v>
      </c>
      <c r="G70" s="2">
        <f t="shared" si="330"/>
        <v>5.8816471642429854E-2</v>
      </c>
      <c r="I70" s="8" t="e">
        <f t="shared" si="45"/>
        <v>#DIV/0!</v>
      </c>
      <c r="J70" s="2" t="e">
        <f t="shared" ref="J70:K70" si="331">EXP(-(($J$31*K$31)/$I$31)*(EXP($I$31*$A70)-1))</f>
        <v>#DIV/0!</v>
      </c>
      <c r="K70" s="2" t="e">
        <f t="shared" si="331"/>
        <v>#DIV/0!</v>
      </c>
      <c r="M70" s="8">
        <f t="shared" si="47"/>
        <v>0.14883247488282902</v>
      </c>
      <c r="N70" s="2">
        <f t="shared" ref="N70:O70" si="332">1-_xlfn.NORM.S.DIST((LN($A70)-$M$31-O$31)/$N$31,TRUE)</f>
        <v>0.14883247488282902</v>
      </c>
      <c r="O70" s="2">
        <f t="shared" si="332"/>
        <v>0.14883247488282902</v>
      </c>
      <c r="Q70" s="8">
        <f t="shared" si="49"/>
        <v>0.26086956521739124</v>
      </c>
      <c r="R70" s="2">
        <f t="shared" ref="R70:S70" si="333">1-(1/(1+($A70/($R$31*S$31))^(-$Q$31)))</f>
        <v>0.26086956521739124</v>
      </c>
      <c r="S70" s="2">
        <f t="shared" si="333"/>
        <v>0.26086956521739124</v>
      </c>
      <c r="U70" s="8">
        <f t="shared" si="51"/>
        <v>5.8816471642429868E-2</v>
      </c>
      <c r="V70" s="2">
        <f t="shared" ref="V70" si="334">1-(_xlfn.GAMMA.DIST($V$31*W$31*$A70,$U$31,1,TRUE)*EXP(GAMMALN($U$31)))/EXP(GAMMALN($U$31))</f>
        <v>5.8816471642429868E-2</v>
      </c>
      <c r="W70" s="2">
        <f t="shared" si="31"/>
        <v>5.8816471642429868E-2</v>
      </c>
      <c r="Y70" s="8">
        <f t="shared" si="53"/>
        <v>0.14883247488282902</v>
      </c>
      <c r="Z70" s="2">
        <f t="shared" si="106"/>
        <v>0.14883247488282902</v>
      </c>
      <c r="AA70" s="2">
        <f t="shared" si="107"/>
        <v>0.14883247488282902</v>
      </c>
      <c r="AD70" s="8" t="e">
        <f t="shared" si="321"/>
        <v>#DIV/0!</v>
      </c>
      <c r="AE70" s="2" t="e">
        <f t="shared" si="55"/>
        <v>#DIV/0!</v>
      </c>
      <c r="AF70" s="2" t="e">
        <f t="shared" ref="AF70:AG70" si="335">EXP(-EXP($AD70+AG$31))</f>
        <v>#DIV/0!</v>
      </c>
      <c r="AG70" s="2" t="e">
        <f t="shared" si="335"/>
        <v>#DIV/0!</v>
      </c>
      <c r="AI70" s="8" t="e">
        <f t="shared" si="323"/>
        <v>#DIV/0!</v>
      </c>
      <c r="AJ70" s="2" t="e">
        <f t="shared" si="57"/>
        <v>#DIV/0!</v>
      </c>
      <c r="AK70" s="2" t="e">
        <f t="shared" ref="AK70:AL70" si="336">1-(EXP($AI70+AL$31)/(1 + EXP($AI70+AL$31)))</f>
        <v>#DIV/0!</v>
      </c>
      <c r="AL70" s="2" t="e">
        <f t="shared" si="336"/>
        <v>#DIV/0!</v>
      </c>
      <c r="AN70" s="8" t="e">
        <f t="shared" si="325"/>
        <v>#DIV/0!</v>
      </c>
      <c r="AO70" s="2" t="e">
        <f t="shared" si="59"/>
        <v>#DIV/0!</v>
      </c>
      <c r="AP70" s="2" t="e">
        <f t="shared" ref="AP70:AQ70" si="337">1-NORMSDIST($AN70+AQ$31)</f>
        <v>#DIV/0!</v>
      </c>
      <c r="AQ70" s="2" t="e">
        <f t="shared" si="337"/>
        <v>#DIV/0!</v>
      </c>
      <c r="AS70" s="8" t="e">
        <f t="shared" si="327"/>
        <v>#DIV/0!</v>
      </c>
      <c r="AT70" s="2" t="e">
        <f t="shared" si="61"/>
        <v>#DIV/0!</v>
      </c>
      <c r="AU70" s="2" t="e">
        <f t="shared" si="111"/>
        <v>#DIV/0!</v>
      </c>
      <c r="AV70" s="2" t="e">
        <f t="shared" si="112"/>
        <v>#DIV/0!</v>
      </c>
      <c r="AY70" s="8" t="e">
        <f t="shared" si="328"/>
        <v>#DIV/0!</v>
      </c>
      <c r="AZ70" s="2" t="e">
        <f t="shared" si="63"/>
        <v>#DIV/0!</v>
      </c>
      <c r="BA70" s="2" t="e">
        <f t="shared" si="113"/>
        <v>#DIV/0!</v>
      </c>
      <c r="BB70" s="2" t="e">
        <f t="shared" si="114"/>
        <v>#DIV/0!</v>
      </c>
      <c r="BE70" s="8" t="e">
        <f t="shared" si="329"/>
        <v>#DIV/0!</v>
      </c>
      <c r="BF70" s="2" t="e">
        <f t="shared" si="65"/>
        <v>#DIV/0!</v>
      </c>
      <c r="BG70" s="2" t="e">
        <f t="shared" si="66"/>
        <v>#DIV/0!</v>
      </c>
      <c r="BH70" s="2" t="e">
        <f t="shared" si="67"/>
        <v>#DIV/0!</v>
      </c>
    </row>
    <row r="71" spans="1:60" x14ac:dyDescent="0.2">
      <c r="A71" s="2">
        <f t="shared" si="100"/>
        <v>2.9166666666666674</v>
      </c>
      <c r="B71" s="2">
        <f t="shared" si="41"/>
        <v>5.411376622282156E-2</v>
      </c>
      <c r="C71" s="2">
        <f t="shared" si="195"/>
        <v>5.411376622282156E-2</v>
      </c>
      <c r="D71" s="2">
        <f t="shared" si="195"/>
        <v>5.411376622282156E-2</v>
      </c>
      <c r="E71" s="8">
        <f t="shared" si="43"/>
        <v>5.411376622282156E-2</v>
      </c>
      <c r="F71" s="2">
        <f t="shared" ref="F71:G71" si="338">EXP(-(($A71*$F$31*G$31)^$E$31))</f>
        <v>5.411376622282156E-2</v>
      </c>
      <c r="G71" s="2">
        <f t="shared" si="338"/>
        <v>5.411376622282156E-2</v>
      </c>
      <c r="I71" s="8" t="e">
        <f t="shared" si="45"/>
        <v>#DIV/0!</v>
      </c>
      <c r="J71" s="2" t="e">
        <f t="shared" ref="J71:K71" si="339">EXP(-(($J$31*K$31)/$I$31)*(EXP($I$31*$A71)-1))</f>
        <v>#DIV/0!</v>
      </c>
      <c r="K71" s="2" t="e">
        <f t="shared" si="339"/>
        <v>#DIV/0!</v>
      </c>
      <c r="M71" s="8">
        <f t="shared" si="47"/>
        <v>0.14221033372714587</v>
      </c>
      <c r="N71" s="2">
        <f t="shared" ref="N71:O71" si="340">1-_xlfn.NORM.S.DIST((LN($A71)-$M$31-O$31)/$N$31,TRUE)</f>
        <v>0.14221033372714587</v>
      </c>
      <c r="O71" s="2">
        <f t="shared" si="340"/>
        <v>0.14221033372714587</v>
      </c>
      <c r="Q71" s="8">
        <f t="shared" si="49"/>
        <v>0.25531914893617014</v>
      </c>
      <c r="R71" s="2">
        <f t="shared" ref="R71:S71" si="341">1-(1/(1+($A71/($R$31*S$31))^(-$Q$31)))</f>
        <v>0.25531914893617014</v>
      </c>
      <c r="S71" s="2">
        <f t="shared" si="341"/>
        <v>0.25531914893617014</v>
      </c>
      <c r="U71" s="8">
        <f t="shared" si="51"/>
        <v>5.4113766222821602E-2</v>
      </c>
      <c r="V71" s="2">
        <f t="shared" ref="V71" si="342">1-(_xlfn.GAMMA.DIST($V$31*W$31*$A71,$U$31,1,TRUE)*EXP(GAMMALN($U$31)))/EXP(GAMMALN($U$31))</f>
        <v>5.4113766222821602E-2</v>
      </c>
      <c r="W71" s="2">
        <f t="shared" si="31"/>
        <v>5.4113766222821602E-2</v>
      </c>
      <c r="Y71" s="8">
        <f t="shared" si="53"/>
        <v>0.14221033372714587</v>
      </c>
      <c r="Z71" s="2">
        <f t="shared" si="106"/>
        <v>0.14221033372714587</v>
      </c>
      <c r="AA71" s="2">
        <f t="shared" si="107"/>
        <v>0.14221033372714587</v>
      </c>
      <c r="AD71" s="8" t="e">
        <f t="shared" si="321"/>
        <v>#DIV/0!</v>
      </c>
      <c r="AE71" s="2" t="e">
        <f t="shared" si="55"/>
        <v>#DIV/0!</v>
      </c>
      <c r="AF71" s="2" t="e">
        <f t="shared" ref="AF71:AG71" si="343">EXP(-EXP($AD71+AG$31))</f>
        <v>#DIV/0!</v>
      </c>
      <c r="AG71" s="2" t="e">
        <f t="shared" si="343"/>
        <v>#DIV/0!</v>
      </c>
      <c r="AI71" s="8" t="e">
        <f t="shared" si="323"/>
        <v>#DIV/0!</v>
      </c>
      <c r="AJ71" s="2" t="e">
        <f t="shared" si="57"/>
        <v>#DIV/0!</v>
      </c>
      <c r="AK71" s="2" t="e">
        <f t="shared" ref="AK71:AL71" si="344">1-(EXP($AI71+AL$31)/(1 + EXP($AI71+AL$31)))</f>
        <v>#DIV/0!</v>
      </c>
      <c r="AL71" s="2" t="e">
        <f t="shared" si="344"/>
        <v>#DIV/0!</v>
      </c>
      <c r="AN71" s="8" t="e">
        <f t="shared" si="325"/>
        <v>#DIV/0!</v>
      </c>
      <c r="AO71" s="2" t="e">
        <f t="shared" si="59"/>
        <v>#DIV/0!</v>
      </c>
      <c r="AP71" s="2" t="e">
        <f t="shared" ref="AP71:AQ71" si="345">1-NORMSDIST($AN71+AQ$31)</f>
        <v>#DIV/0!</v>
      </c>
      <c r="AQ71" s="2" t="e">
        <f t="shared" si="345"/>
        <v>#DIV/0!</v>
      </c>
      <c r="AS71" s="8" t="e">
        <f t="shared" si="327"/>
        <v>#DIV/0!</v>
      </c>
      <c r="AT71" s="2" t="e">
        <f t="shared" si="61"/>
        <v>#DIV/0!</v>
      </c>
      <c r="AU71" s="2" t="e">
        <f t="shared" si="111"/>
        <v>#DIV/0!</v>
      </c>
      <c r="AV71" s="2" t="e">
        <f t="shared" si="112"/>
        <v>#DIV/0!</v>
      </c>
      <c r="AY71" s="8" t="e">
        <f t="shared" si="328"/>
        <v>#DIV/0!</v>
      </c>
      <c r="AZ71" s="2" t="e">
        <f t="shared" si="63"/>
        <v>#DIV/0!</v>
      </c>
      <c r="BA71" s="2" t="e">
        <f t="shared" si="113"/>
        <v>#DIV/0!</v>
      </c>
      <c r="BB71" s="2" t="e">
        <f t="shared" si="114"/>
        <v>#DIV/0!</v>
      </c>
      <c r="BE71" s="8" t="e">
        <f t="shared" si="329"/>
        <v>#DIV/0!</v>
      </c>
      <c r="BF71" s="2" t="e">
        <f t="shared" si="65"/>
        <v>#DIV/0!</v>
      </c>
      <c r="BG71" s="2" t="e">
        <f t="shared" si="66"/>
        <v>#DIV/0!</v>
      </c>
      <c r="BH71" s="2" t="e">
        <f t="shared" si="67"/>
        <v>#DIV/0!</v>
      </c>
    </row>
    <row r="72" spans="1:60" x14ac:dyDescent="0.2">
      <c r="A72" s="2">
        <f t="shared" si="100"/>
        <v>3.0000000000000009</v>
      </c>
      <c r="B72" s="2">
        <f t="shared" si="41"/>
        <v>4.9787068367863896E-2</v>
      </c>
      <c r="C72" s="2">
        <f t="shared" si="195"/>
        <v>4.9787068367863896E-2</v>
      </c>
      <c r="D72" s="2">
        <f t="shared" si="195"/>
        <v>4.9787068367863896E-2</v>
      </c>
      <c r="E72" s="8">
        <f t="shared" si="43"/>
        <v>4.9787068367863896E-2</v>
      </c>
      <c r="F72" s="2">
        <f t="shared" ref="F72:G72" si="346">EXP(-(($A72*$F$31*G$31)^$E$31))</f>
        <v>4.9787068367863896E-2</v>
      </c>
      <c r="G72" s="2">
        <f t="shared" si="346"/>
        <v>4.9787068367863896E-2</v>
      </c>
      <c r="I72" s="8" t="e">
        <f t="shared" si="45"/>
        <v>#DIV/0!</v>
      </c>
      <c r="J72" s="2" t="e">
        <f t="shared" ref="J72:K72" si="347">EXP(-(($J$31*K$31)/$I$31)*(EXP($I$31*$A72)-1))</f>
        <v>#DIV/0!</v>
      </c>
      <c r="K72" s="2" t="e">
        <f t="shared" si="347"/>
        <v>#DIV/0!</v>
      </c>
      <c r="M72" s="8">
        <f t="shared" si="47"/>
        <v>0.13596860764142438</v>
      </c>
      <c r="N72" s="2">
        <f t="shared" ref="N72:O72" si="348">1-_xlfn.NORM.S.DIST((LN($A72)-$M$31-O$31)/$N$31,TRUE)</f>
        <v>0.13596860764142438</v>
      </c>
      <c r="O72" s="2">
        <f t="shared" si="348"/>
        <v>0.13596860764142438</v>
      </c>
      <c r="Q72" s="8">
        <f t="shared" si="49"/>
        <v>0.25</v>
      </c>
      <c r="R72" s="2">
        <f t="shared" ref="R72:S72" si="349">1-(1/(1+($A72/($R$31*S$31))^(-$Q$31)))</f>
        <v>0.25</v>
      </c>
      <c r="S72" s="2">
        <f t="shared" si="349"/>
        <v>0.25</v>
      </c>
      <c r="U72" s="8">
        <f t="shared" si="51"/>
        <v>4.978706836786384E-2</v>
      </c>
      <c r="V72" s="2">
        <f t="shared" ref="V72" si="350">1-(_xlfn.GAMMA.DIST($V$31*W$31*$A72,$U$31,1,TRUE)*EXP(GAMMALN($U$31)))/EXP(GAMMALN($U$31))</f>
        <v>4.978706836786384E-2</v>
      </c>
      <c r="W72" s="2">
        <f t="shared" si="31"/>
        <v>4.978706836786384E-2</v>
      </c>
      <c r="Y72" s="8">
        <f t="shared" si="53"/>
        <v>0.13596860764142438</v>
      </c>
      <c r="Z72" s="2">
        <f t="shared" si="106"/>
        <v>0.13596860764142438</v>
      </c>
      <c r="AA72" s="2">
        <f t="shared" si="107"/>
        <v>0.13596860764142438</v>
      </c>
      <c r="AD72" s="8" t="e">
        <f t="shared" si="321"/>
        <v>#DIV/0!</v>
      </c>
      <c r="AE72" s="2" t="e">
        <f t="shared" si="55"/>
        <v>#DIV/0!</v>
      </c>
      <c r="AF72" s="2" t="e">
        <f t="shared" ref="AF72:AG72" si="351">EXP(-EXP($AD72+AG$31))</f>
        <v>#DIV/0!</v>
      </c>
      <c r="AG72" s="2" t="e">
        <f t="shared" si="351"/>
        <v>#DIV/0!</v>
      </c>
      <c r="AI72" s="8" t="e">
        <f t="shared" si="323"/>
        <v>#DIV/0!</v>
      </c>
      <c r="AJ72" s="2" t="e">
        <f t="shared" si="57"/>
        <v>#DIV/0!</v>
      </c>
      <c r="AK72" s="2" t="e">
        <f t="shared" ref="AK72:AL72" si="352">1-(EXP($AI72+AL$31)/(1 + EXP($AI72+AL$31)))</f>
        <v>#DIV/0!</v>
      </c>
      <c r="AL72" s="2" t="e">
        <f t="shared" si="352"/>
        <v>#DIV/0!</v>
      </c>
      <c r="AN72" s="8" t="e">
        <f t="shared" si="325"/>
        <v>#DIV/0!</v>
      </c>
      <c r="AO72" s="2" t="e">
        <f t="shared" si="59"/>
        <v>#DIV/0!</v>
      </c>
      <c r="AP72" s="2" t="e">
        <f t="shared" ref="AP72:AQ72" si="353">1-NORMSDIST($AN72+AQ$31)</f>
        <v>#DIV/0!</v>
      </c>
      <c r="AQ72" s="2" t="e">
        <f t="shared" si="353"/>
        <v>#DIV/0!</v>
      </c>
      <c r="AS72" s="8" t="e">
        <f t="shared" si="327"/>
        <v>#DIV/0!</v>
      </c>
      <c r="AT72" s="2" t="e">
        <f t="shared" si="61"/>
        <v>#DIV/0!</v>
      </c>
      <c r="AU72" s="2" t="e">
        <f t="shared" si="111"/>
        <v>#DIV/0!</v>
      </c>
      <c r="AV72" s="2" t="e">
        <f t="shared" si="112"/>
        <v>#DIV/0!</v>
      </c>
      <c r="AY72" s="8" t="e">
        <f t="shared" si="328"/>
        <v>#DIV/0!</v>
      </c>
      <c r="AZ72" s="2" t="e">
        <f t="shared" si="63"/>
        <v>#DIV/0!</v>
      </c>
      <c r="BA72" s="2" t="e">
        <f t="shared" si="113"/>
        <v>#DIV/0!</v>
      </c>
      <c r="BB72" s="2" t="e">
        <f t="shared" si="114"/>
        <v>#DIV/0!</v>
      </c>
      <c r="BE72" s="8" t="e">
        <f t="shared" si="329"/>
        <v>#DIV/0!</v>
      </c>
      <c r="BF72" s="2" t="e">
        <f t="shared" si="65"/>
        <v>#DIV/0!</v>
      </c>
      <c r="BG72" s="2" t="e">
        <f t="shared" si="66"/>
        <v>#DIV/0!</v>
      </c>
      <c r="BH72" s="2" t="e">
        <f t="shared" si="67"/>
        <v>#DIV/0!</v>
      </c>
    </row>
    <row r="73" spans="1:60" x14ac:dyDescent="0.2">
      <c r="A73" s="2">
        <f t="shared" si="100"/>
        <v>3.0833333333333344</v>
      </c>
      <c r="B73" s="2">
        <f t="shared" si="41"/>
        <v>4.5806314172621432E-2</v>
      </c>
      <c r="C73" s="2">
        <f t="shared" si="195"/>
        <v>4.5806314172621432E-2</v>
      </c>
      <c r="D73" s="2">
        <f t="shared" si="195"/>
        <v>4.5806314172621432E-2</v>
      </c>
      <c r="E73" s="8">
        <f t="shared" si="43"/>
        <v>4.5806314172621432E-2</v>
      </c>
      <c r="F73" s="2">
        <f t="shared" ref="F73:G73" si="354">EXP(-(($A73*$F$31*G$31)^$E$31))</f>
        <v>4.5806314172621432E-2</v>
      </c>
      <c r="G73" s="2">
        <f t="shared" si="354"/>
        <v>4.5806314172621432E-2</v>
      </c>
      <c r="I73" s="8" t="e">
        <f t="shared" si="45"/>
        <v>#DIV/0!</v>
      </c>
      <c r="J73" s="2" t="e">
        <f t="shared" ref="J73:K73" si="355">EXP(-(($J$31*K$31)/$I$31)*(EXP($I$31*$A73)-1))</f>
        <v>#DIV/0!</v>
      </c>
      <c r="K73" s="2" t="e">
        <f t="shared" si="355"/>
        <v>#DIV/0!</v>
      </c>
      <c r="M73" s="8">
        <f t="shared" si="47"/>
        <v>0.13008037602547573</v>
      </c>
      <c r="N73" s="2">
        <f t="shared" ref="N73:O73" si="356">1-_xlfn.NORM.S.DIST((LN($A73)-$M$31-O$31)/$N$31,TRUE)</f>
        <v>0.13008037602547573</v>
      </c>
      <c r="O73" s="2">
        <f t="shared" si="356"/>
        <v>0.13008037602547573</v>
      </c>
      <c r="Q73" s="8">
        <f t="shared" si="49"/>
        <v>0.24489795918367341</v>
      </c>
      <c r="R73" s="2">
        <f t="shared" ref="R73:S73" si="357">1-(1/(1+($A73/($R$31*S$31))^(-$Q$31)))</f>
        <v>0.24489795918367341</v>
      </c>
      <c r="S73" s="2">
        <f t="shared" si="357"/>
        <v>0.24489795918367341</v>
      </c>
      <c r="U73" s="8">
        <f t="shared" si="51"/>
        <v>4.5806314172621487E-2</v>
      </c>
      <c r="V73" s="2">
        <f t="shared" ref="V73" si="358">1-(_xlfn.GAMMA.DIST($V$31*W$31*$A73,$U$31,1,TRUE)*EXP(GAMMALN($U$31)))/EXP(GAMMALN($U$31))</f>
        <v>4.5806314172621487E-2</v>
      </c>
      <c r="W73" s="2">
        <f t="shared" si="31"/>
        <v>4.5806314172621487E-2</v>
      </c>
      <c r="Y73" s="8">
        <f t="shared" si="53"/>
        <v>0.13008037602547573</v>
      </c>
      <c r="Z73" s="2">
        <f t="shared" si="106"/>
        <v>0.13008037602547573</v>
      </c>
      <c r="AA73" s="2">
        <f t="shared" si="107"/>
        <v>0.13008037602547573</v>
      </c>
      <c r="AD73" s="8" t="e">
        <f t="shared" si="321"/>
        <v>#DIV/0!</v>
      </c>
      <c r="AE73" s="2" t="e">
        <f t="shared" si="55"/>
        <v>#DIV/0!</v>
      </c>
      <c r="AF73" s="2" t="e">
        <f t="shared" ref="AF73:AG73" si="359">EXP(-EXP($AD73+AG$31))</f>
        <v>#DIV/0!</v>
      </c>
      <c r="AG73" s="2" t="e">
        <f t="shared" si="359"/>
        <v>#DIV/0!</v>
      </c>
      <c r="AI73" s="8" t="e">
        <f t="shared" si="323"/>
        <v>#DIV/0!</v>
      </c>
      <c r="AJ73" s="2" t="e">
        <f t="shared" si="57"/>
        <v>#DIV/0!</v>
      </c>
      <c r="AK73" s="2" t="e">
        <f t="shared" ref="AK73:AL73" si="360">1-(EXP($AI73+AL$31)/(1 + EXP($AI73+AL$31)))</f>
        <v>#DIV/0!</v>
      </c>
      <c r="AL73" s="2" t="e">
        <f t="shared" si="360"/>
        <v>#DIV/0!</v>
      </c>
      <c r="AN73" s="8" t="e">
        <f t="shared" si="325"/>
        <v>#DIV/0!</v>
      </c>
      <c r="AO73" s="2" t="e">
        <f t="shared" si="59"/>
        <v>#DIV/0!</v>
      </c>
      <c r="AP73" s="2" t="e">
        <f t="shared" ref="AP73:AQ73" si="361">1-NORMSDIST($AN73+AQ$31)</f>
        <v>#DIV/0!</v>
      </c>
      <c r="AQ73" s="2" t="e">
        <f t="shared" si="361"/>
        <v>#DIV/0!</v>
      </c>
      <c r="AS73" s="8" t="e">
        <f t="shared" si="327"/>
        <v>#DIV/0!</v>
      </c>
      <c r="AT73" s="2" t="e">
        <f t="shared" si="61"/>
        <v>#DIV/0!</v>
      </c>
      <c r="AU73" s="2" t="e">
        <f t="shared" si="111"/>
        <v>#DIV/0!</v>
      </c>
      <c r="AV73" s="2" t="e">
        <f t="shared" si="112"/>
        <v>#DIV/0!</v>
      </c>
      <c r="AY73" s="8" t="e">
        <f t="shared" si="328"/>
        <v>#DIV/0!</v>
      </c>
      <c r="AZ73" s="2" t="e">
        <f t="shared" si="63"/>
        <v>#DIV/0!</v>
      </c>
      <c r="BA73" s="2" t="e">
        <f t="shared" si="113"/>
        <v>#DIV/0!</v>
      </c>
      <c r="BB73" s="2" t="e">
        <f t="shared" si="114"/>
        <v>#DIV/0!</v>
      </c>
      <c r="BE73" s="8" t="e">
        <f t="shared" si="329"/>
        <v>#DIV/0!</v>
      </c>
      <c r="BF73" s="2" t="e">
        <f t="shared" si="65"/>
        <v>#DIV/0!</v>
      </c>
      <c r="BG73" s="2" t="e">
        <f t="shared" si="66"/>
        <v>#DIV/0!</v>
      </c>
      <c r="BH73" s="2" t="e">
        <f t="shared" si="67"/>
        <v>#DIV/0!</v>
      </c>
    </row>
    <row r="74" spans="1:60" x14ac:dyDescent="0.2">
      <c r="A74" s="2">
        <f t="shared" si="100"/>
        <v>3.1666666666666679</v>
      </c>
      <c r="B74" s="2">
        <f t="shared" si="41"/>
        <v>4.2143843509276351E-2</v>
      </c>
      <c r="C74" s="2">
        <f t="shared" si="195"/>
        <v>4.2143843509276351E-2</v>
      </c>
      <c r="D74" s="2">
        <f t="shared" si="195"/>
        <v>4.2143843509276351E-2</v>
      </c>
      <c r="E74" s="8">
        <f t="shared" si="43"/>
        <v>4.2143843509276351E-2</v>
      </c>
      <c r="F74" s="2">
        <f t="shared" ref="F74:G74" si="362">EXP(-(($A74*$F$31*G$31)^$E$31))</f>
        <v>4.2143843509276351E-2</v>
      </c>
      <c r="G74" s="2">
        <f t="shared" si="362"/>
        <v>4.2143843509276351E-2</v>
      </c>
      <c r="I74" s="8" t="e">
        <f t="shared" si="45"/>
        <v>#DIV/0!</v>
      </c>
      <c r="J74" s="2" t="e">
        <f t="shared" ref="J74:K74" si="363">EXP(-(($J$31*K$31)/$I$31)*(EXP($I$31*$A74)-1))</f>
        <v>#DIV/0!</v>
      </c>
      <c r="K74" s="2" t="e">
        <f t="shared" si="363"/>
        <v>#DIV/0!</v>
      </c>
      <c r="M74" s="8">
        <f t="shared" si="47"/>
        <v>0.12452097732570455</v>
      </c>
      <c r="N74" s="2">
        <f t="shared" ref="N74:O74" si="364">1-_xlfn.NORM.S.DIST((LN($A74)-$M$31-O$31)/$N$31,TRUE)</f>
        <v>0.12452097732570455</v>
      </c>
      <c r="O74" s="2">
        <f t="shared" si="364"/>
        <v>0.12452097732570455</v>
      </c>
      <c r="Q74" s="8">
        <f t="shared" si="49"/>
        <v>0.23999999999999988</v>
      </c>
      <c r="R74" s="2">
        <f t="shared" ref="R74:S74" si="365">1-(1/(1+($A74/($R$31*S$31))^(-$Q$31)))</f>
        <v>0.23999999999999988</v>
      </c>
      <c r="S74" s="2">
        <f t="shared" si="365"/>
        <v>0.23999999999999988</v>
      </c>
      <c r="U74" s="8">
        <f t="shared" si="51"/>
        <v>4.2143843509276357E-2</v>
      </c>
      <c r="V74" s="2">
        <f t="shared" ref="V74" si="366">1-(_xlfn.GAMMA.DIST($V$31*W$31*$A74,$U$31,1,TRUE)*EXP(GAMMALN($U$31)))/EXP(GAMMALN($U$31))</f>
        <v>4.2143843509276357E-2</v>
      </c>
      <c r="W74" s="2">
        <f t="shared" si="31"/>
        <v>4.2143843509276357E-2</v>
      </c>
      <c r="Y74" s="8">
        <f t="shared" si="53"/>
        <v>0.12452097732570455</v>
      </c>
      <c r="Z74" s="2">
        <f t="shared" si="106"/>
        <v>0.12452097732570455</v>
      </c>
      <c r="AA74" s="2">
        <f t="shared" si="107"/>
        <v>0.12452097732570455</v>
      </c>
      <c r="AD74" s="8" t="e">
        <f t="shared" si="321"/>
        <v>#DIV/0!</v>
      </c>
      <c r="AE74" s="2" t="e">
        <f t="shared" si="55"/>
        <v>#DIV/0!</v>
      </c>
      <c r="AF74" s="2" t="e">
        <f t="shared" ref="AF74:AG74" si="367">EXP(-EXP($AD74+AG$31))</f>
        <v>#DIV/0!</v>
      </c>
      <c r="AG74" s="2" t="e">
        <f t="shared" si="367"/>
        <v>#DIV/0!</v>
      </c>
      <c r="AI74" s="8" t="e">
        <f t="shared" si="323"/>
        <v>#DIV/0!</v>
      </c>
      <c r="AJ74" s="2" t="e">
        <f t="shared" si="57"/>
        <v>#DIV/0!</v>
      </c>
      <c r="AK74" s="2" t="e">
        <f t="shared" ref="AK74:AL74" si="368">1-(EXP($AI74+AL$31)/(1 + EXP($AI74+AL$31)))</f>
        <v>#DIV/0!</v>
      </c>
      <c r="AL74" s="2" t="e">
        <f t="shared" si="368"/>
        <v>#DIV/0!</v>
      </c>
      <c r="AN74" s="8" t="e">
        <f t="shared" si="325"/>
        <v>#DIV/0!</v>
      </c>
      <c r="AO74" s="2" t="e">
        <f t="shared" si="59"/>
        <v>#DIV/0!</v>
      </c>
      <c r="AP74" s="2" t="e">
        <f t="shared" ref="AP74:AQ74" si="369">1-NORMSDIST($AN74+AQ$31)</f>
        <v>#DIV/0!</v>
      </c>
      <c r="AQ74" s="2" t="e">
        <f t="shared" si="369"/>
        <v>#DIV/0!</v>
      </c>
      <c r="AS74" s="8" t="e">
        <f t="shared" si="327"/>
        <v>#DIV/0!</v>
      </c>
      <c r="AT74" s="2" t="e">
        <f t="shared" si="61"/>
        <v>#DIV/0!</v>
      </c>
      <c r="AU74" s="2" t="e">
        <f t="shared" si="111"/>
        <v>#DIV/0!</v>
      </c>
      <c r="AV74" s="2" t="e">
        <f t="shared" si="112"/>
        <v>#DIV/0!</v>
      </c>
      <c r="AY74" s="8" t="e">
        <f t="shared" si="328"/>
        <v>#DIV/0!</v>
      </c>
      <c r="AZ74" s="2" t="e">
        <f t="shared" si="63"/>
        <v>#DIV/0!</v>
      </c>
      <c r="BA74" s="2" t="e">
        <f t="shared" si="113"/>
        <v>#DIV/0!</v>
      </c>
      <c r="BB74" s="2" t="e">
        <f t="shared" si="114"/>
        <v>#DIV/0!</v>
      </c>
      <c r="BE74" s="8" t="e">
        <f t="shared" si="329"/>
        <v>#DIV/0!</v>
      </c>
      <c r="BF74" s="2" t="e">
        <f t="shared" si="65"/>
        <v>#DIV/0!</v>
      </c>
      <c r="BG74" s="2" t="e">
        <f t="shared" si="66"/>
        <v>#DIV/0!</v>
      </c>
      <c r="BH74" s="2" t="e">
        <f t="shared" si="67"/>
        <v>#DIV/0!</v>
      </c>
    </row>
    <row r="75" spans="1:60" x14ac:dyDescent="0.2">
      <c r="A75" s="2">
        <f t="shared" si="100"/>
        <v>3.2500000000000013</v>
      </c>
      <c r="B75" s="2">
        <f t="shared" si="41"/>
        <v>3.877420783172196E-2</v>
      </c>
      <c r="C75" s="2">
        <f t="shared" si="195"/>
        <v>3.877420783172196E-2</v>
      </c>
      <c r="D75" s="2">
        <f t="shared" si="195"/>
        <v>3.877420783172196E-2</v>
      </c>
      <c r="E75" s="8">
        <f t="shared" si="43"/>
        <v>3.877420783172196E-2</v>
      </c>
      <c r="F75" s="2">
        <f t="shared" ref="F75:G75" si="370">EXP(-(($A75*$F$31*G$31)^$E$31))</f>
        <v>3.877420783172196E-2</v>
      </c>
      <c r="G75" s="2">
        <f t="shared" si="370"/>
        <v>3.877420783172196E-2</v>
      </c>
      <c r="I75" s="8" t="e">
        <f t="shared" si="45"/>
        <v>#DIV/0!</v>
      </c>
      <c r="J75" s="2" t="e">
        <f t="shared" ref="J75:K75" si="371">EXP(-(($J$31*K$31)/$I$31)*(EXP($I$31*$A75)-1))</f>
        <v>#DIV/0!</v>
      </c>
      <c r="K75" s="2" t="e">
        <f t="shared" si="371"/>
        <v>#DIV/0!</v>
      </c>
      <c r="M75" s="8">
        <f t="shared" si="47"/>
        <v>0.11926779136256527</v>
      </c>
      <c r="N75" s="2">
        <f t="shared" ref="N75:O75" si="372">1-_xlfn.NORM.S.DIST((LN($A75)-$M$31-O$31)/$N$31,TRUE)</f>
        <v>0.11926779136256527</v>
      </c>
      <c r="O75" s="2">
        <f t="shared" si="372"/>
        <v>0.11926779136256527</v>
      </c>
      <c r="Q75" s="8">
        <f t="shared" si="49"/>
        <v>0.23529411764705865</v>
      </c>
      <c r="R75" s="2">
        <f t="shared" ref="R75:S75" si="373">1-(1/(1+($A75/($R$31*S$31))^(-$Q$31)))</f>
        <v>0.23529411764705865</v>
      </c>
      <c r="S75" s="2">
        <f t="shared" si="373"/>
        <v>0.23529411764705865</v>
      </c>
      <c r="U75" s="8">
        <f t="shared" si="51"/>
        <v>3.8774207831721919E-2</v>
      </c>
      <c r="V75" s="2">
        <f t="shared" ref="V75" si="374">1-(_xlfn.GAMMA.DIST($V$31*W$31*$A75,$U$31,1,TRUE)*EXP(GAMMALN($U$31)))/EXP(GAMMALN($U$31))</f>
        <v>3.8774207831721919E-2</v>
      </c>
      <c r="W75" s="2">
        <f t="shared" si="31"/>
        <v>3.8774207831721919E-2</v>
      </c>
      <c r="Y75" s="8">
        <f t="shared" si="53"/>
        <v>0.11926779136256527</v>
      </c>
      <c r="Z75" s="2">
        <f t="shared" si="106"/>
        <v>0.11926779136256527</v>
      </c>
      <c r="AA75" s="2">
        <f t="shared" si="107"/>
        <v>0.11926779136256527</v>
      </c>
      <c r="AD75" s="8" t="e">
        <f t="shared" si="321"/>
        <v>#DIV/0!</v>
      </c>
      <c r="AE75" s="2" t="e">
        <f t="shared" si="55"/>
        <v>#DIV/0!</v>
      </c>
      <c r="AF75" s="2" t="e">
        <f t="shared" ref="AF75:AG75" si="375">EXP(-EXP($AD75+AG$31))</f>
        <v>#DIV/0!</v>
      </c>
      <c r="AG75" s="2" t="e">
        <f t="shared" si="375"/>
        <v>#DIV/0!</v>
      </c>
      <c r="AI75" s="8" t="e">
        <f t="shared" si="323"/>
        <v>#DIV/0!</v>
      </c>
      <c r="AJ75" s="2" t="e">
        <f t="shared" si="57"/>
        <v>#DIV/0!</v>
      </c>
      <c r="AK75" s="2" t="e">
        <f t="shared" ref="AK75:AL75" si="376">1-(EXP($AI75+AL$31)/(1 + EXP($AI75+AL$31)))</f>
        <v>#DIV/0!</v>
      </c>
      <c r="AL75" s="2" t="e">
        <f t="shared" si="376"/>
        <v>#DIV/0!</v>
      </c>
      <c r="AN75" s="8" t="e">
        <f t="shared" si="325"/>
        <v>#DIV/0!</v>
      </c>
      <c r="AO75" s="2" t="e">
        <f t="shared" si="59"/>
        <v>#DIV/0!</v>
      </c>
      <c r="AP75" s="2" t="e">
        <f t="shared" ref="AP75:AQ75" si="377">1-NORMSDIST($AN75+AQ$31)</f>
        <v>#DIV/0!</v>
      </c>
      <c r="AQ75" s="2" t="e">
        <f t="shared" si="377"/>
        <v>#DIV/0!</v>
      </c>
      <c r="AS75" s="8" t="e">
        <f t="shared" si="327"/>
        <v>#DIV/0!</v>
      </c>
      <c r="AT75" s="2" t="e">
        <f t="shared" si="61"/>
        <v>#DIV/0!</v>
      </c>
      <c r="AU75" s="2" t="e">
        <f t="shared" si="111"/>
        <v>#DIV/0!</v>
      </c>
      <c r="AV75" s="2" t="e">
        <f t="shared" si="112"/>
        <v>#DIV/0!</v>
      </c>
      <c r="AY75" s="8" t="e">
        <f t="shared" si="328"/>
        <v>#DIV/0!</v>
      </c>
      <c r="AZ75" s="2" t="e">
        <f t="shared" si="63"/>
        <v>#DIV/0!</v>
      </c>
      <c r="BA75" s="2" t="e">
        <f t="shared" si="113"/>
        <v>#DIV/0!</v>
      </c>
      <c r="BB75" s="2" t="e">
        <f t="shared" si="114"/>
        <v>#DIV/0!</v>
      </c>
      <c r="BE75" s="8" t="e">
        <f t="shared" si="329"/>
        <v>#DIV/0!</v>
      </c>
      <c r="BF75" s="2" t="e">
        <f t="shared" si="65"/>
        <v>#DIV/0!</v>
      </c>
      <c r="BG75" s="2" t="e">
        <f t="shared" si="66"/>
        <v>#DIV/0!</v>
      </c>
      <c r="BH75" s="2" t="e">
        <f t="shared" si="67"/>
        <v>#DIV/0!</v>
      </c>
    </row>
    <row r="76" spans="1:60" x14ac:dyDescent="0.2">
      <c r="A76" s="2">
        <f t="shared" si="100"/>
        <v>3.3333333333333348</v>
      </c>
      <c r="B76" s="2">
        <f t="shared" si="41"/>
        <v>3.5673993347252346E-2</v>
      </c>
      <c r="C76" s="2">
        <f t="shared" si="195"/>
        <v>3.5673993347252346E-2</v>
      </c>
      <c r="D76" s="2">
        <f t="shared" si="195"/>
        <v>3.5673993347252346E-2</v>
      </c>
      <c r="E76" s="8">
        <f t="shared" si="43"/>
        <v>3.5673993347252346E-2</v>
      </c>
      <c r="F76" s="2">
        <f t="shared" ref="F76:G76" si="378">EXP(-(($A76*$F$31*G$31)^$E$31))</f>
        <v>3.5673993347252346E-2</v>
      </c>
      <c r="G76" s="2">
        <f t="shared" si="378"/>
        <v>3.5673993347252346E-2</v>
      </c>
      <c r="I76" s="8" t="e">
        <f t="shared" si="45"/>
        <v>#DIV/0!</v>
      </c>
      <c r="J76" s="2" t="e">
        <f t="shared" ref="J76:K76" si="379">EXP(-(($J$31*K$31)/$I$31)*(EXP($I$31*$A76)-1))</f>
        <v>#DIV/0!</v>
      </c>
      <c r="K76" s="2" t="e">
        <f t="shared" si="379"/>
        <v>#DIV/0!</v>
      </c>
      <c r="M76" s="8">
        <f t="shared" si="47"/>
        <v>0.11430004504915148</v>
      </c>
      <c r="N76" s="2">
        <f t="shared" ref="N76:O76" si="380">1-_xlfn.NORM.S.DIST((LN($A76)-$M$31-O$31)/$N$31,TRUE)</f>
        <v>0.11430004504915148</v>
      </c>
      <c r="O76" s="2">
        <f t="shared" si="380"/>
        <v>0.11430004504915148</v>
      </c>
      <c r="Q76" s="8">
        <f t="shared" si="49"/>
        <v>0.23076923076923062</v>
      </c>
      <c r="R76" s="2">
        <f t="shared" ref="R76:S76" si="381">1-(1/(1+($A76/($R$31*S$31))^(-$Q$31)))</f>
        <v>0.23076923076923062</v>
      </c>
      <c r="S76" s="2">
        <f t="shared" si="381"/>
        <v>0.23076923076923062</v>
      </c>
      <c r="U76" s="8">
        <f t="shared" si="51"/>
        <v>3.5673993347252297E-2</v>
      </c>
      <c r="V76" s="2">
        <f t="shared" ref="V76" si="382">1-(_xlfn.GAMMA.DIST($V$31*W$31*$A76,$U$31,1,TRUE)*EXP(GAMMALN($U$31)))/EXP(GAMMALN($U$31))</f>
        <v>3.5673993347252297E-2</v>
      </c>
      <c r="W76" s="2">
        <f t="shared" si="31"/>
        <v>3.5673993347252297E-2</v>
      </c>
      <c r="Y76" s="8">
        <f t="shared" si="53"/>
        <v>0.11430004504915148</v>
      </c>
      <c r="Z76" s="2">
        <f t="shared" si="106"/>
        <v>0.11430004504915148</v>
      </c>
      <c r="AA76" s="2">
        <f t="shared" si="107"/>
        <v>0.11430004504915148</v>
      </c>
      <c r="AD76" s="8" t="e">
        <f t="shared" si="321"/>
        <v>#DIV/0!</v>
      </c>
      <c r="AE76" s="2" t="e">
        <f t="shared" si="55"/>
        <v>#DIV/0!</v>
      </c>
      <c r="AF76" s="2" t="e">
        <f t="shared" ref="AF76:AG76" si="383">EXP(-EXP($AD76+AG$31))</f>
        <v>#DIV/0!</v>
      </c>
      <c r="AG76" s="2" t="e">
        <f t="shared" si="383"/>
        <v>#DIV/0!</v>
      </c>
      <c r="AI76" s="8" t="e">
        <f t="shared" si="323"/>
        <v>#DIV/0!</v>
      </c>
      <c r="AJ76" s="2" t="e">
        <f t="shared" si="57"/>
        <v>#DIV/0!</v>
      </c>
      <c r="AK76" s="2" t="e">
        <f t="shared" ref="AK76:AL76" si="384">1-(EXP($AI76+AL$31)/(1 + EXP($AI76+AL$31)))</f>
        <v>#DIV/0!</v>
      </c>
      <c r="AL76" s="2" t="e">
        <f t="shared" si="384"/>
        <v>#DIV/0!</v>
      </c>
      <c r="AN76" s="8" t="e">
        <f t="shared" si="325"/>
        <v>#DIV/0!</v>
      </c>
      <c r="AO76" s="2" t="e">
        <f t="shared" si="59"/>
        <v>#DIV/0!</v>
      </c>
      <c r="AP76" s="2" t="e">
        <f t="shared" ref="AP76:AQ76" si="385">1-NORMSDIST($AN76+AQ$31)</f>
        <v>#DIV/0!</v>
      </c>
      <c r="AQ76" s="2" t="e">
        <f t="shared" si="385"/>
        <v>#DIV/0!</v>
      </c>
      <c r="AS76" s="8" t="e">
        <f t="shared" si="327"/>
        <v>#DIV/0!</v>
      </c>
      <c r="AT76" s="2" t="e">
        <f t="shared" si="61"/>
        <v>#DIV/0!</v>
      </c>
      <c r="AU76" s="2" t="e">
        <f t="shared" si="111"/>
        <v>#DIV/0!</v>
      </c>
      <c r="AV76" s="2" t="e">
        <f t="shared" si="112"/>
        <v>#DIV/0!</v>
      </c>
      <c r="AY76" s="8" t="e">
        <f t="shared" si="328"/>
        <v>#DIV/0!</v>
      </c>
      <c r="AZ76" s="2" t="e">
        <f t="shared" si="63"/>
        <v>#DIV/0!</v>
      </c>
      <c r="BA76" s="2" t="e">
        <f t="shared" si="113"/>
        <v>#DIV/0!</v>
      </c>
      <c r="BB76" s="2" t="e">
        <f t="shared" si="114"/>
        <v>#DIV/0!</v>
      </c>
      <c r="BE76" s="8" t="e">
        <f t="shared" si="329"/>
        <v>#DIV/0!</v>
      </c>
      <c r="BF76" s="2" t="e">
        <f t="shared" si="65"/>
        <v>#DIV/0!</v>
      </c>
      <c r="BG76" s="2" t="e">
        <f t="shared" si="66"/>
        <v>#DIV/0!</v>
      </c>
      <c r="BH76" s="2" t="e">
        <f t="shared" si="67"/>
        <v>#DIV/0!</v>
      </c>
    </row>
    <row r="77" spans="1:60" x14ac:dyDescent="0.2">
      <c r="A77" s="2">
        <f t="shared" si="100"/>
        <v>3.4166666666666683</v>
      </c>
      <c r="B77" s="2">
        <f t="shared" si="41"/>
        <v>3.2821658326663151E-2</v>
      </c>
      <c r="C77" s="2">
        <f t="shared" si="195"/>
        <v>3.2821658326663151E-2</v>
      </c>
      <c r="D77" s="2">
        <f t="shared" si="195"/>
        <v>3.2821658326663151E-2</v>
      </c>
      <c r="E77" s="8">
        <f t="shared" si="43"/>
        <v>3.2821658326663151E-2</v>
      </c>
      <c r="F77" s="2">
        <f t="shared" ref="F77:G77" si="386">EXP(-(($A77*$F$31*G$31)^$E$31))</f>
        <v>3.2821658326663151E-2</v>
      </c>
      <c r="G77" s="2">
        <f t="shared" si="386"/>
        <v>3.2821658326663151E-2</v>
      </c>
      <c r="I77" s="8" t="e">
        <f t="shared" si="45"/>
        <v>#DIV/0!</v>
      </c>
      <c r="J77" s="2" t="e">
        <f t="shared" ref="J77:K77" si="387">EXP(-(($J$31*K$31)/$I$31)*(EXP($I$31*$A77)-1))</f>
        <v>#DIV/0!</v>
      </c>
      <c r="K77" s="2" t="e">
        <f t="shared" si="387"/>
        <v>#DIV/0!</v>
      </c>
      <c r="M77" s="8">
        <f t="shared" si="47"/>
        <v>0.10959863878011067</v>
      </c>
      <c r="N77" s="2">
        <f t="shared" ref="N77:O77" si="388">1-_xlfn.NORM.S.DIST((LN($A77)-$M$31-O$31)/$N$31,TRUE)</f>
        <v>0.10959863878011067</v>
      </c>
      <c r="O77" s="2">
        <f t="shared" si="388"/>
        <v>0.10959863878011067</v>
      </c>
      <c r="Q77" s="8">
        <f t="shared" si="49"/>
        <v>0.22641509433962248</v>
      </c>
      <c r="R77" s="2">
        <f t="shared" ref="R77:S77" si="389">1-(1/(1+($A77/($R$31*S$31))^(-$Q$31)))</f>
        <v>0.22641509433962248</v>
      </c>
      <c r="S77" s="2">
        <f t="shared" si="389"/>
        <v>0.22641509433962248</v>
      </c>
      <c r="U77" s="8">
        <f t="shared" si="51"/>
        <v>3.2821658326663172E-2</v>
      </c>
      <c r="V77" s="2">
        <f t="shared" ref="V77" si="390">1-(_xlfn.GAMMA.DIST($V$31*W$31*$A77,$U$31,1,TRUE)*EXP(GAMMALN($U$31)))/EXP(GAMMALN($U$31))</f>
        <v>3.2821658326663172E-2</v>
      </c>
      <c r="W77" s="2">
        <f t="shared" si="31"/>
        <v>3.2821658326663172E-2</v>
      </c>
      <c r="Y77" s="8">
        <f t="shared" si="53"/>
        <v>0.10959863878011067</v>
      </c>
      <c r="Z77" s="2">
        <f t="shared" si="106"/>
        <v>0.10959863878011067</v>
      </c>
      <c r="AA77" s="2">
        <f t="shared" si="107"/>
        <v>0.10959863878011067</v>
      </c>
      <c r="AD77" s="8" t="e">
        <f t="shared" si="321"/>
        <v>#DIV/0!</v>
      </c>
      <c r="AE77" s="2" t="e">
        <f t="shared" si="55"/>
        <v>#DIV/0!</v>
      </c>
      <c r="AF77" s="2" t="e">
        <f t="shared" ref="AF77:AG77" si="391">EXP(-EXP($AD77+AG$31))</f>
        <v>#DIV/0!</v>
      </c>
      <c r="AG77" s="2" t="e">
        <f t="shared" si="391"/>
        <v>#DIV/0!</v>
      </c>
      <c r="AI77" s="8" t="e">
        <f t="shared" si="323"/>
        <v>#DIV/0!</v>
      </c>
      <c r="AJ77" s="2" t="e">
        <f t="shared" si="57"/>
        <v>#DIV/0!</v>
      </c>
      <c r="AK77" s="2" t="e">
        <f t="shared" ref="AK77:AL77" si="392">1-(EXP($AI77+AL$31)/(1 + EXP($AI77+AL$31)))</f>
        <v>#DIV/0!</v>
      </c>
      <c r="AL77" s="2" t="e">
        <f t="shared" si="392"/>
        <v>#DIV/0!</v>
      </c>
      <c r="AN77" s="8" t="e">
        <f t="shared" si="325"/>
        <v>#DIV/0!</v>
      </c>
      <c r="AO77" s="2" t="e">
        <f t="shared" si="59"/>
        <v>#DIV/0!</v>
      </c>
      <c r="AP77" s="2" t="e">
        <f t="shared" ref="AP77:AQ77" si="393">1-NORMSDIST($AN77+AQ$31)</f>
        <v>#DIV/0!</v>
      </c>
      <c r="AQ77" s="2" t="e">
        <f t="shared" si="393"/>
        <v>#DIV/0!</v>
      </c>
      <c r="AS77" s="8" t="e">
        <f t="shared" si="327"/>
        <v>#DIV/0!</v>
      </c>
      <c r="AT77" s="2" t="e">
        <f t="shared" si="61"/>
        <v>#DIV/0!</v>
      </c>
      <c r="AU77" s="2" t="e">
        <f t="shared" si="111"/>
        <v>#DIV/0!</v>
      </c>
      <c r="AV77" s="2" t="e">
        <f t="shared" si="112"/>
        <v>#DIV/0!</v>
      </c>
      <c r="AY77" s="8" t="e">
        <f t="shared" si="328"/>
        <v>#DIV/0!</v>
      </c>
      <c r="AZ77" s="2" t="e">
        <f t="shared" si="63"/>
        <v>#DIV/0!</v>
      </c>
      <c r="BA77" s="2" t="e">
        <f t="shared" si="113"/>
        <v>#DIV/0!</v>
      </c>
      <c r="BB77" s="2" t="e">
        <f t="shared" si="114"/>
        <v>#DIV/0!</v>
      </c>
      <c r="BE77" s="8" t="e">
        <f t="shared" si="329"/>
        <v>#DIV/0!</v>
      </c>
      <c r="BF77" s="2" t="e">
        <f t="shared" si="65"/>
        <v>#DIV/0!</v>
      </c>
      <c r="BG77" s="2" t="e">
        <f t="shared" si="66"/>
        <v>#DIV/0!</v>
      </c>
      <c r="BH77" s="2" t="e">
        <f t="shared" si="67"/>
        <v>#DIV/0!</v>
      </c>
    </row>
    <row r="78" spans="1:60" x14ac:dyDescent="0.2">
      <c r="A78" s="2">
        <f t="shared" si="100"/>
        <v>3.5000000000000018</v>
      </c>
      <c r="B78" s="2">
        <f t="shared" si="41"/>
        <v>3.0197383422318449E-2</v>
      </c>
      <c r="C78" s="2">
        <f t="shared" si="195"/>
        <v>3.0197383422318449E-2</v>
      </c>
      <c r="D78" s="2">
        <f t="shared" si="195"/>
        <v>3.0197383422318449E-2</v>
      </c>
      <c r="E78" s="8">
        <f t="shared" si="43"/>
        <v>3.0197383422318449E-2</v>
      </c>
      <c r="F78" s="2">
        <f t="shared" ref="F78:G78" si="394">EXP(-(($A78*$F$31*G$31)^$E$31))</f>
        <v>3.0197383422318449E-2</v>
      </c>
      <c r="G78" s="2">
        <f t="shared" si="394"/>
        <v>3.0197383422318449E-2</v>
      </c>
      <c r="I78" s="8" t="e">
        <f t="shared" si="45"/>
        <v>#DIV/0!</v>
      </c>
      <c r="J78" s="2" t="e">
        <f t="shared" ref="J78:K78" si="395">EXP(-(($J$31*K$31)/$I$31)*(EXP($I$31*$A78)-1))</f>
        <v>#DIV/0!</v>
      </c>
      <c r="K78" s="2" t="e">
        <f t="shared" si="395"/>
        <v>#DIV/0!</v>
      </c>
      <c r="M78" s="8">
        <f t="shared" si="47"/>
        <v>0.10514599110011469</v>
      </c>
      <c r="N78" s="2">
        <f t="shared" ref="N78:O78" si="396">1-_xlfn.NORM.S.DIST((LN($A78)-$M$31-O$31)/$N$31,TRUE)</f>
        <v>0.10514599110011469</v>
      </c>
      <c r="O78" s="2">
        <f t="shared" si="396"/>
        <v>0.10514599110011469</v>
      </c>
      <c r="Q78" s="8">
        <f t="shared" si="49"/>
        <v>0.2222222222222221</v>
      </c>
      <c r="R78" s="2">
        <f t="shared" ref="R78:S78" si="397">1-(1/(1+($A78/($R$31*S$31))^(-$Q$31)))</f>
        <v>0.2222222222222221</v>
      </c>
      <c r="S78" s="2">
        <f t="shared" si="397"/>
        <v>0.2222222222222221</v>
      </c>
      <c r="U78" s="8">
        <f t="shared" si="51"/>
        <v>3.019738342231848E-2</v>
      </c>
      <c r="V78" s="2">
        <f t="shared" ref="V78" si="398">1-(_xlfn.GAMMA.DIST($V$31*W$31*$A78,$U$31,1,TRUE)*EXP(GAMMALN($U$31)))/EXP(GAMMALN($U$31))</f>
        <v>3.019738342231848E-2</v>
      </c>
      <c r="W78" s="2">
        <f t="shared" si="31"/>
        <v>3.019738342231848E-2</v>
      </c>
      <c r="Y78" s="8">
        <f t="shared" si="53"/>
        <v>0.10514599110011469</v>
      </c>
      <c r="Z78" s="2">
        <f t="shared" si="106"/>
        <v>0.10514599110011469</v>
      </c>
      <c r="AA78" s="2">
        <f t="shared" si="107"/>
        <v>0.10514599110011469</v>
      </c>
      <c r="AD78" s="8" t="e">
        <f t="shared" si="321"/>
        <v>#DIV/0!</v>
      </c>
      <c r="AE78" s="2" t="e">
        <f t="shared" si="55"/>
        <v>#DIV/0!</v>
      </c>
      <c r="AF78" s="2" t="e">
        <f t="shared" ref="AF78:AG78" si="399">EXP(-EXP($AD78+AG$31))</f>
        <v>#DIV/0!</v>
      </c>
      <c r="AG78" s="2" t="e">
        <f t="shared" si="399"/>
        <v>#DIV/0!</v>
      </c>
      <c r="AI78" s="8" t="e">
        <f t="shared" si="323"/>
        <v>#DIV/0!</v>
      </c>
      <c r="AJ78" s="2" t="e">
        <f t="shared" si="57"/>
        <v>#DIV/0!</v>
      </c>
      <c r="AK78" s="2" t="e">
        <f t="shared" ref="AK78:AL78" si="400">1-(EXP($AI78+AL$31)/(1 + EXP($AI78+AL$31)))</f>
        <v>#DIV/0!</v>
      </c>
      <c r="AL78" s="2" t="e">
        <f t="shared" si="400"/>
        <v>#DIV/0!</v>
      </c>
      <c r="AN78" s="8" t="e">
        <f t="shared" si="325"/>
        <v>#DIV/0!</v>
      </c>
      <c r="AO78" s="2" t="e">
        <f t="shared" si="59"/>
        <v>#DIV/0!</v>
      </c>
      <c r="AP78" s="2" t="e">
        <f t="shared" ref="AP78:AQ78" si="401">1-NORMSDIST($AN78+AQ$31)</f>
        <v>#DIV/0!</v>
      </c>
      <c r="AQ78" s="2" t="e">
        <f t="shared" si="401"/>
        <v>#DIV/0!</v>
      </c>
      <c r="AS78" s="8" t="e">
        <f t="shared" si="327"/>
        <v>#DIV/0!</v>
      </c>
      <c r="AT78" s="2" t="e">
        <f t="shared" si="61"/>
        <v>#DIV/0!</v>
      </c>
      <c r="AU78" s="2" t="e">
        <f t="shared" si="111"/>
        <v>#DIV/0!</v>
      </c>
      <c r="AV78" s="2" t="e">
        <f t="shared" si="112"/>
        <v>#DIV/0!</v>
      </c>
      <c r="AY78" s="8" t="e">
        <f t="shared" si="328"/>
        <v>#DIV/0!</v>
      </c>
      <c r="AZ78" s="2" t="e">
        <f t="shared" si="63"/>
        <v>#DIV/0!</v>
      </c>
      <c r="BA78" s="2" t="e">
        <f t="shared" si="113"/>
        <v>#DIV/0!</v>
      </c>
      <c r="BB78" s="2" t="e">
        <f t="shared" si="114"/>
        <v>#DIV/0!</v>
      </c>
      <c r="BE78" s="8" t="e">
        <f t="shared" si="329"/>
        <v>#DIV/0!</v>
      </c>
      <c r="BF78" s="2" t="e">
        <f t="shared" si="65"/>
        <v>#DIV/0!</v>
      </c>
      <c r="BG78" s="2" t="e">
        <f t="shared" si="66"/>
        <v>#DIV/0!</v>
      </c>
      <c r="BH78" s="2" t="e">
        <f t="shared" si="67"/>
        <v>#DIV/0!</v>
      </c>
    </row>
    <row r="79" spans="1:60" x14ac:dyDescent="0.2">
      <c r="A79" s="2">
        <f t="shared" si="100"/>
        <v>3.5833333333333353</v>
      </c>
      <c r="B79" s="2">
        <f t="shared" si="41"/>
        <v>2.7782933954124202E-2</v>
      </c>
      <c r="C79" s="2">
        <f t="shared" si="195"/>
        <v>2.7782933954124202E-2</v>
      </c>
      <c r="D79" s="2">
        <f t="shared" si="195"/>
        <v>2.7782933954124202E-2</v>
      </c>
      <c r="E79" s="8">
        <f t="shared" si="43"/>
        <v>2.7782933954124202E-2</v>
      </c>
      <c r="F79" s="2">
        <f t="shared" ref="F79:G79" si="402">EXP(-(($A79*$F$31*G$31)^$E$31))</f>
        <v>2.7782933954124202E-2</v>
      </c>
      <c r="G79" s="2">
        <f t="shared" si="402"/>
        <v>2.7782933954124202E-2</v>
      </c>
      <c r="I79" s="8" t="e">
        <f t="shared" si="45"/>
        <v>#DIV/0!</v>
      </c>
      <c r="J79" s="2" t="e">
        <f t="shared" ref="J79:K79" si="403">EXP(-(($J$31*K$31)/$I$31)*(EXP($I$31*$A79)-1))</f>
        <v>#DIV/0!</v>
      </c>
      <c r="K79" s="2" t="e">
        <f t="shared" si="403"/>
        <v>#DIV/0!</v>
      </c>
      <c r="M79" s="8">
        <f t="shared" si="47"/>
        <v>0.10092589955193287</v>
      </c>
      <c r="N79" s="2">
        <f t="shared" ref="N79:O79" si="404">1-_xlfn.NORM.S.DIST((LN($A79)-$M$31-O$31)/$N$31,TRUE)</f>
        <v>0.10092589955193287</v>
      </c>
      <c r="O79" s="2">
        <f t="shared" si="404"/>
        <v>0.10092589955193287</v>
      </c>
      <c r="Q79" s="8">
        <f t="shared" si="49"/>
        <v>0.21818181818181803</v>
      </c>
      <c r="R79" s="2">
        <f t="shared" ref="R79:S79" si="405">1-(1/(1+($A79/($R$31*S$31))^(-$Q$31)))</f>
        <v>0.21818181818181803</v>
      </c>
      <c r="S79" s="2">
        <f t="shared" si="405"/>
        <v>0.21818181818181803</v>
      </c>
      <c r="U79" s="8">
        <f t="shared" si="51"/>
        <v>2.7782933954124234E-2</v>
      </c>
      <c r="V79" s="2">
        <f t="shared" ref="V79" si="406">1-(_xlfn.GAMMA.DIST($V$31*W$31*$A79,$U$31,1,TRUE)*EXP(GAMMALN($U$31)))/EXP(GAMMALN($U$31))</f>
        <v>2.7782933954124234E-2</v>
      </c>
      <c r="W79" s="2">
        <f t="shared" si="31"/>
        <v>2.7782933954124234E-2</v>
      </c>
      <c r="Y79" s="8">
        <f t="shared" si="53"/>
        <v>0.10092589955193287</v>
      </c>
      <c r="Z79" s="2">
        <f t="shared" si="106"/>
        <v>0.10092589955193287</v>
      </c>
      <c r="AA79" s="2">
        <f t="shared" si="107"/>
        <v>0.10092589955193287</v>
      </c>
      <c r="AD79" s="8" t="e">
        <f t="shared" si="321"/>
        <v>#DIV/0!</v>
      </c>
      <c r="AE79" s="2" t="e">
        <f t="shared" si="55"/>
        <v>#DIV/0!</v>
      </c>
      <c r="AF79" s="2" t="e">
        <f t="shared" ref="AF79:AG79" si="407">EXP(-EXP($AD79+AG$31))</f>
        <v>#DIV/0!</v>
      </c>
      <c r="AG79" s="2" t="e">
        <f t="shared" si="407"/>
        <v>#DIV/0!</v>
      </c>
      <c r="AI79" s="8" t="e">
        <f t="shared" si="323"/>
        <v>#DIV/0!</v>
      </c>
      <c r="AJ79" s="2" t="e">
        <f t="shared" si="57"/>
        <v>#DIV/0!</v>
      </c>
      <c r="AK79" s="2" t="e">
        <f t="shared" ref="AK79:AL79" si="408">1-(EXP($AI79+AL$31)/(1 + EXP($AI79+AL$31)))</f>
        <v>#DIV/0!</v>
      </c>
      <c r="AL79" s="2" t="e">
        <f t="shared" si="408"/>
        <v>#DIV/0!</v>
      </c>
      <c r="AN79" s="8" t="e">
        <f t="shared" si="325"/>
        <v>#DIV/0!</v>
      </c>
      <c r="AO79" s="2" t="e">
        <f t="shared" si="59"/>
        <v>#DIV/0!</v>
      </c>
      <c r="AP79" s="2" t="e">
        <f t="shared" ref="AP79:AQ79" si="409">1-NORMSDIST($AN79+AQ$31)</f>
        <v>#DIV/0!</v>
      </c>
      <c r="AQ79" s="2" t="e">
        <f t="shared" si="409"/>
        <v>#DIV/0!</v>
      </c>
      <c r="AS79" s="8" t="e">
        <f t="shared" si="327"/>
        <v>#DIV/0!</v>
      </c>
      <c r="AT79" s="2" t="e">
        <f t="shared" si="61"/>
        <v>#DIV/0!</v>
      </c>
      <c r="AU79" s="2" t="e">
        <f t="shared" si="111"/>
        <v>#DIV/0!</v>
      </c>
      <c r="AV79" s="2" t="e">
        <f t="shared" si="112"/>
        <v>#DIV/0!</v>
      </c>
      <c r="AY79" s="8" t="e">
        <f t="shared" si="328"/>
        <v>#DIV/0!</v>
      </c>
      <c r="AZ79" s="2" t="e">
        <f t="shared" si="63"/>
        <v>#DIV/0!</v>
      </c>
      <c r="BA79" s="2" t="e">
        <f t="shared" si="113"/>
        <v>#DIV/0!</v>
      </c>
      <c r="BB79" s="2" t="e">
        <f t="shared" si="114"/>
        <v>#DIV/0!</v>
      </c>
      <c r="BE79" s="8" t="e">
        <f t="shared" si="329"/>
        <v>#DIV/0!</v>
      </c>
      <c r="BF79" s="2" t="e">
        <f t="shared" si="65"/>
        <v>#DIV/0!</v>
      </c>
      <c r="BG79" s="2" t="e">
        <f t="shared" si="66"/>
        <v>#DIV/0!</v>
      </c>
      <c r="BH79" s="2" t="e">
        <f t="shared" si="67"/>
        <v>#DIV/0!</v>
      </c>
    </row>
    <row r="80" spans="1:60" x14ac:dyDescent="0.2">
      <c r="A80" s="2">
        <f t="shared" si="100"/>
        <v>3.6666666666666687</v>
      </c>
      <c r="B80" s="2">
        <f t="shared" si="41"/>
        <v>2.5561533206507347E-2</v>
      </c>
      <c r="C80" s="2">
        <f t="shared" si="195"/>
        <v>2.5561533206507347E-2</v>
      </c>
      <c r="D80" s="2">
        <f t="shared" si="195"/>
        <v>2.5561533206507347E-2</v>
      </c>
      <c r="E80" s="8">
        <f t="shared" si="43"/>
        <v>2.5561533206507347E-2</v>
      </c>
      <c r="F80" s="2">
        <f t="shared" ref="F80:G80" si="410">EXP(-(($A80*$F$31*G$31)^$E$31))</f>
        <v>2.5561533206507347E-2</v>
      </c>
      <c r="G80" s="2">
        <f t="shared" si="410"/>
        <v>2.5561533206507347E-2</v>
      </c>
      <c r="I80" s="8" t="e">
        <f t="shared" si="45"/>
        <v>#DIV/0!</v>
      </c>
      <c r="J80" s="2" t="e">
        <f t="shared" ref="J80:K80" si="411">EXP(-(($J$31*K$31)/$I$31)*(EXP($I$31*$A80)-1))</f>
        <v>#DIV/0!</v>
      </c>
      <c r="K80" s="2" t="e">
        <f t="shared" si="411"/>
        <v>#DIV/0!</v>
      </c>
      <c r="M80" s="8">
        <f t="shared" si="47"/>
        <v>9.6923415859640039E-2</v>
      </c>
      <c r="N80" s="2">
        <f t="shared" ref="N80:O80" si="412">1-_xlfn.NORM.S.DIST((LN($A80)-$M$31-O$31)/$N$31,TRUE)</f>
        <v>9.6923415859640039E-2</v>
      </c>
      <c r="O80" s="2">
        <f t="shared" si="412"/>
        <v>9.6923415859640039E-2</v>
      </c>
      <c r="Q80" s="8">
        <f t="shared" si="49"/>
        <v>0.21428571428571419</v>
      </c>
      <c r="R80" s="2">
        <f t="shared" ref="R80:S80" si="413">1-(1/(1+($A80/($R$31*S$31))^(-$Q$31)))</f>
        <v>0.21428571428571419</v>
      </c>
      <c r="S80" s="2">
        <f t="shared" si="413"/>
        <v>0.21428571428571419</v>
      </c>
      <c r="U80" s="8">
        <f t="shared" si="51"/>
        <v>2.5561533206507336E-2</v>
      </c>
      <c r="V80" s="2">
        <f t="shared" ref="V80" si="414">1-(_xlfn.GAMMA.DIST($V$31*W$31*$A80,$U$31,1,TRUE)*EXP(GAMMALN($U$31)))/EXP(GAMMALN($U$31))</f>
        <v>2.5561533206507336E-2</v>
      </c>
      <c r="W80" s="2">
        <f t="shared" si="31"/>
        <v>2.5561533206507336E-2</v>
      </c>
      <c r="Y80" s="8">
        <f t="shared" si="53"/>
        <v>9.6923415859640039E-2</v>
      </c>
      <c r="Z80" s="2">
        <f t="shared" si="106"/>
        <v>9.6923415859640039E-2</v>
      </c>
      <c r="AA80" s="2">
        <f t="shared" si="107"/>
        <v>9.6923415859640039E-2</v>
      </c>
      <c r="AD80" s="8" t="e">
        <f t="shared" si="321"/>
        <v>#DIV/0!</v>
      </c>
      <c r="AE80" s="2" t="e">
        <f t="shared" si="55"/>
        <v>#DIV/0!</v>
      </c>
      <c r="AF80" s="2" t="e">
        <f t="shared" ref="AF80:AG80" si="415">EXP(-EXP($AD80+AG$31))</f>
        <v>#DIV/0!</v>
      </c>
      <c r="AG80" s="2" t="e">
        <f t="shared" si="415"/>
        <v>#DIV/0!</v>
      </c>
      <c r="AI80" s="8" t="e">
        <f t="shared" si="323"/>
        <v>#DIV/0!</v>
      </c>
      <c r="AJ80" s="2" t="e">
        <f t="shared" si="57"/>
        <v>#DIV/0!</v>
      </c>
      <c r="AK80" s="2" t="e">
        <f t="shared" ref="AK80:AL80" si="416">1-(EXP($AI80+AL$31)/(1 + EXP($AI80+AL$31)))</f>
        <v>#DIV/0!</v>
      </c>
      <c r="AL80" s="2" t="e">
        <f t="shared" si="416"/>
        <v>#DIV/0!</v>
      </c>
      <c r="AN80" s="8" t="e">
        <f t="shared" si="325"/>
        <v>#DIV/0!</v>
      </c>
      <c r="AO80" s="2" t="e">
        <f t="shared" si="59"/>
        <v>#DIV/0!</v>
      </c>
      <c r="AP80" s="2" t="e">
        <f t="shared" ref="AP80:AQ80" si="417">1-NORMSDIST($AN80+AQ$31)</f>
        <v>#DIV/0!</v>
      </c>
      <c r="AQ80" s="2" t="e">
        <f t="shared" si="417"/>
        <v>#DIV/0!</v>
      </c>
      <c r="AS80" s="8" t="e">
        <f t="shared" si="327"/>
        <v>#DIV/0!</v>
      </c>
      <c r="AT80" s="2" t="e">
        <f t="shared" si="61"/>
        <v>#DIV/0!</v>
      </c>
      <c r="AU80" s="2" t="e">
        <f t="shared" si="111"/>
        <v>#DIV/0!</v>
      </c>
      <c r="AV80" s="2" t="e">
        <f t="shared" si="112"/>
        <v>#DIV/0!</v>
      </c>
      <c r="AY80" s="8" t="e">
        <f t="shared" si="328"/>
        <v>#DIV/0!</v>
      </c>
      <c r="AZ80" s="2" t="e">
        <f t="shared" si="63"/>
        <v>#DIV/0!</v>
      </c>
      <c r="BA80" s="2" t="e">
        <f t="shared" si="113"/>
        <v>#DIV/0!</v>
      </c>
      <c r="BB80" s="2" t="e">
        <f t="shared" si="114"/>
        <v>#DIV/0!</v>
      </c>
      <c r="BE80" s="8" t="e">
        <f t="shared" si="329"/>
        <v>#DIV/0!</v>
      </c>
      <c r="BF80" s="2" t="e">
        <f t="shared" si="65"/>
        <v>#DIV/0!</v>
      </c>
      <c r="BG80" s="2" t="e">
        <f t="shared" si="66"/>
        <v>#DIV/0!</v>
      </c>
      <c r="BH80" s="2" t="e">
        <f t="shared" si="67"/>
        <v>#DIV/0!</v>
      </c>
    </row>
    <row r="81" spans="1:60" x14ac:dyDescent="0.2">
      <c r="A81" s="2">
        <f t="shared" si="100"/>
        <v>3.7500000000000022</v>
      </c>
      <c r="B81" s="2">
        <f t="shared" si="41"/>
        <v>2.3517745856009055E-2</v>
      </c>
      <c r="C81" s="2">
        <f t="shared" si="195"/>
        <v>2.3517745856009055E-2</v>
      </c>
      <c r="D81" s="2">
        <f t="shared" si="195"/>
        <v>2.3517745856009055E-2</v>
      </c>
      <c r="E81" s="8">
        <f t="shared" si="43"/>
        <v>2.3517745856009055E-2</v>
      </c>
      <c r="F81" s="2">
        <f t="shared" ref="F81:G81" si="418">EXP(-(($A81*$F$31*G$31)^$E$31))</f>
        <v>2.3517745856009055E-2</v>
      </c>
      <c r="G81" s="2">
        <f t="shared" si="418"/>
        <v>2.3517745856009055E-2</v>
      </c>
      <c r="I81" s="8" t="e">
        <f t="shared" si="45"/>
        <v>#DIV/0!</v>
      </c>
      <c r="J81" s="2" t="e">
        <f t="shared" ref="J81:K81" si="419">EXP(-(($J$31*K$31)/$I$31)*(EXP($I$31*$A81)-1))</f>
        <v>#DIV/0!</v>
      </c>
      <c r="K81" s="2" t="e">
        <f t="shared" si="419"/>
        <v>#DIV/0!</v>
      </c>
      <c r="M81" s="8">
        <f t="shared" si="47"/>
        <v>9.3124733826422279E-2</v>
      </c>
      <c r="N81" s="2">
        <f t="shared" ref="N81:O81" si="420">1-_xlfn.NORM.S.DIST((LN($A81)-$M$31-O$31)/$N$31,TRUE)</f>
        <v>9.3124733826422279E-2</v>
      </c>
      <c r="O81" s="2">
        <f t="shared" si="420"/>
        <v>9.3124733826422279E-2</v>
      </c>
      <c r="Q81" s="8">
        <f t="shared" si="49"/>
        <v>0.21052631578947367</v>
      </c>
      <c r="R81" s="2">
        <f t="shared" ref="R81:S81" si="421">1-(1/(1+($A81/($R$31*S$31))^(-$Q$31)))</f>
        <v>0.21052631578947367</v>
      </c>
      <c r="S81" s="2">
        <f t="shared" si="421"/>
        <v>0.21052631578947367</v>
      </c>
      <c r="U81" s="8">
        <f t="shared" si="51"/>
        <v>2.3517745856009076E-2</v>
      </c>
      <c r="V81" s="2">
        <f t="shared" ref="V81" si="422">1-(_xlfn.GAMMA.DIST($V$31*W$31*$A81,$U$31,1,TRUE)*EXP(GAMMALN($U$31)))/EXP(GAMMALN($U$31))</f>
        <v>2.3517745856009076E-2</v>
      </c>
      <c r="W81" s="2">
        <f t="shared" si="31"/>
        <v>2.3517745856009076E-2</v>
      </c>
      <c r="Y81" s="8">
        <f t="shared" si="53"/>
        <v>9.3124733826422279E-2</v>
      </c>
      <c r="Z81" s="2">
        <f t="shared" si="106"/>
        <v>9.3124733826422279E-2</v>
      </c>
      <c r="AA81" s="2">
        <f t="shared" si="107"/>
        <v>9.3124733826422279E-2</v>
      </c>
      <c r="AD81" s="8" t="e">
        <f t="shared" si="321"/>
        <v>#DIV/0!</v>
      </c>
      <c r="AE81" s="2" t="e">
        <f t="shared" si="55"/>
        <v>#DIV/0!</v>
      </c>
      <c r="AF81" s="2" t="e">
        <f t="shared" ref="AF81:AG81" si="423">EXP(-EXP($AD81+AG$31))</f>
        <v>#DIV/0!</v>
      </c>
      <c r="AG81" s="2" t="e">
        <f t="shared" si="423"/>
        <v>#DIV/0!</v>
      </c>
      <c r="AI81" s="8" t="e">
        <f t="shared" si="323"/>
        <v>#DIV/0!</v>
      </c>
      <c r="AJ81" s="2" t="e">
        <f t="shared" si="57"/>
        <v>#DIV/0!</v>
      </c>
      <c r="AK81" s="2" t="e">
        <f t="shared" ref="AK81:AL81" si="424">1-(EXP($AI81+AL$31)/(1 + EXP($AI81+AL$31)))</f>
        <v>#DIV/0!</v>
      </c>
      <c r="AL81" s="2" t="e">
        <f t="shared" si="424"/>
        <v>#DIV/0!</v>
      </c>
      <c r="AN81" s="8" t="e">
        <f t="shared" si="325"/>
        <v>#DIV/0!</v>
      </c>
      <c r="AO81" s="2" t="e">
        <f t="shared" si="59"/>
        <v>#DIV/0!</v>
      </c>
      <c r="AP81" s="2" t="e">
        <f t="shared" ref="AP81:AQ81" si="425">1-NORMSDIST($AN81+AQ$31)</f>
        <v>#DIV/0!</v>
      </c>
      <c r="AQ81" s="2" t="e">
        <f t="shared" si="425"/>
        <v>#DIV/0!</v>
      </c>
      <c r="AS81" s="8" t="e">
        <f t="shared" si="327"/>
        <v>#DIV/0!</v>
      </c>
      <c r="AT81" s="2" t="e">
        <f t="shared" si="61"/>
        <v>#DIV/0!</v>
      </c>
      <c r="AU81" s="2" t="e">
        <f t="shared" si="111"/>
        <v>#DIV/0!</v>
      </c>
      <c r="AV81" s="2" t="e">
        <f t="shared" si="112"/>
        <v>#DIV/0!</v>
      </c>
      <c r="AY81" s="8" t="e">
        <f t="shared" si="328"/>
        <v>#DIV/0!</v>
      </c>
      <c r="AZ81" s="2" t="e">
        <f t="shared" si="63"/>
        <v>#DIV/0!</v>
      </c>
      <c r="BA81" s="2" t="e">
        <f t="shared" si="113"/>
        <v>#DIV/0!</v>
      </c>
      <c r="BB81" s="2" t="e">
        <f t="shared" si="114"/>
        <v>#DIV/0!</v>
      </c>
      <c r="BE81" s="8" t="e">
        <f t="shared" si="329"/>
        <v>#DIV/0!</v>
      </c>
      <c r="BF81" s="2" t="e">
        <f t="shared" si="65"/>
        <v>#DIV/0!</v>
      </c>
      <c r="BG81" s="2" t="e">
        <f t="shared" si="66"/>
        <v>#DIV/0!</v>
      </c>
      <c r="BH81" s="2" t="e">
        <f t="shared" si="67"/>
        <v>#DIV/0!</v>
      </c>
    </row>
    <row r="82" spans="1:60" x14ac:dyDescent="0.2">
      <c r="A82" s="2">
        <f t="shared" si="100"/>
        <v>3.8333333333333357</v>
      </c>
      <c r="B82" s="2">
        <f t="shared" si="41"/>
        <v>2.1637370719493041E-2</v>
      </c>
      <c r="C82" s="2">
        <f t="shared" si="195"/>
        <v>2.1637370719493041E-2</v>
      </c>
      <c r="D82" s="2">
        <f t="shared" si="195"/>
        <v>2.1637370719493041E-2</v>
      </c>
      <c r="E82" s="8">
        <f t="shared" si="43"/>
        <v>2.1637370719493041E-2</v>
      </c>
      <c r="F82" s="2">
        <f t="shared" ref="F82:G82" si="426">EXP(-(($A82*$F$31*G$31)^$E$31))</f>
        <v>2.1637370719493041E-2</v>
      </c>
      <c r="G82" s="2">
        <f t="shared" si="426"/>
        <v>2.1637370719493041E-2</v>
      </c>
      <c r="I82" s="8" t="e">
        <f t="shared" si="45"/>
        <v>#DIV/0!</v>
      </c>
      <c r="J82" s="2" t="e">
        <f t="shared" ref="J82:K82" si="427">EXP(-(($J$31*K$31)/$I$31)*(EXP($I$31*$A82)-1))</f>
        <v>#DIV/0!</v>
      </c>
      <c r="K82" s="2" t="e">
        <f t="shared" si="427"/>
        <v>#DIV/0!</v>
      </c>
      <c r="M82" s="8">
        <f t="shared" si="47"/>
        <v>8.9517088522474531E-2</v>
      </c>
      <c r="N82" s="2">
        <f t="shared" ref="N82:O82" si="428">1-_xlfn.NORM.S.DIST((LN($A82)-$M$31-O$31)/$N$31,TRUE)</f>
        <v>8.9517088522474531E-2</v>
      </c>
      <c r="O82" s="2">
        <f t="shared" si="428"/>
        <v>8.9517088522474531E-2</v>
      </c>
      <c r="Q82" s="8">
        <f t="shared" si="49"/>
        <v>0.20689655172413779</v>
      </c>
      <c r="R82" s="2">
        <f t="shared" ref="R82:S82" si="429">1-(1/(1+($A82/($R$31*S$31))^(-$Q$31)))</f>
        <v>0.20689655172413779</v>
      </c>
      <c r="S82" s="2">
        <f t="shared" si="429"/>
        <v>0.20689655172413779</v>
      </c>
      <c r="U82" s="8">
        <f t="shared" si="51"/>
        <v>2.163737071949301E-2</v>
      </c>
      <c r="V82" s="2">
        <f t="shared" ref="V82" si="430">1-(_xlfn.GAMMA.DIST($V$31*W$31*$A82,$U$31,1,TRUE)*EXP(GAMMALN($U$31)))/EXP(GAMMALN($U$31))</f>
        <v>2.163737071949301E-2</v>
      </c>
      <c r="W82" s="2">
        <f t="shared" si="31"/>
        <v>2.163737071949301E-2</v>
      </c>
      <c r="Y82" s="8">
        <f t="shared" si="53"/>
        <v>8.9517088522474531E-2</v>
      </c>
      <c r="Z82" s="2">
        <f t="shared" si="106"/>
        <v>8.9517088522474531E-2</v>
      </c>
      <c r="AA82" s="2">
        <f t="shared" si="107"/>
        <v>8.9517088522474531E-2</v>
      </c>
      <c r="AD82" s="8" t="e">
        <f t="shared" si="321"/>
        <v>#DIV/0!</v>
      </c>
      <c r="AE82" s="2" t="e">
        <f t="shared" si="55"/>
        <v>#DIV/0!</v>
      </c>
      <c r="AF82" s="2" t="e">
        <f t="shared" ref="AF82:AG82" si="431">EXP(-EXP($AD82+AG$31))</f>
        <v>#DIV/0!</v>
      </c>
      <c r="AG82" s="2" t="e">
        <f t="shared" si="431"/>
        <v>#DIV/0!</v>
      </c>
      <c r="AI82" s="8" t="e">
        <f t="shared" si="323"/>
        <v>#DIV/0!</v>
      </c>
      <c r="AJ82" s="2" t="e">
        <f t="shared" si="57"/>
        <v>#DIV/0!</v>
      </c>
      <c r="AK82" s="2" t="e">
        <f t="shared" ref="AK82:AL82" si="432">1-(EXP($AI82+AL$31)/(1 + EXP($AI82+AL$31)))</f>
        <v>#DIV/0!</v>
      </c>
      <c r="AL82" s="2" t="e">
        <f t="shared" si="432"/>
        <v>#DIV/0!</v>
      </c>
      <c r="AN82" s="8" t="e">
        <f t="shared" si="325"/>
        <v>#DIV/0!</v>
      </c>
      <c r="AO82" s="2" t="e">
        <f t="shared" si="59"/>
        <v>#DIV/0!</v>
      </c>
      <c r="AP82" s="2" t="e">
        <f t="shared" ref="AP82:AQ82" si="433">1-NORMSDIST($AN82+AQ$31)</f>
        <v>#DIV/0!</v>
      </c>
      <c r="AQ82" s="2" t="e">
        <f t="shared" si="433"/>
        <v>#DIV/0!</v>
      </c>
      <c r="AS82" s="8" t="e">
        <f t="shared" si="327"/>
        <v>#DIV/0!</v>
      </c>
      <c r="AT82" s="2" t="e">
        <f t="shared" si="61"/>
        <v>#DIV/0!</v>
      </c>
      <c r="AU82" s="2" t="e">
        <f t="shared" si="111"/>
        <v>#DIV/0!</v>
      </c>
      <c r="AV82" s="2" t="e">
        <f t="shared" si="112"/>
        <v>#DIV/0!</v>
      </c>
      <c r="AY82" s="8" t="e">
        <f t="shared" si="328"/>
        <v>#DIV/0!</v>
      </c>
      <c r="AZ82" s="2" t="e">
        <f t="shared" si="63"/>
        <v>#DIV/0!</v>
      </c>
      <c r="BA82" s="2" t="e">
        <f t="shared" si="113"/>
        <v>#DIV/0!</v>
      </c>
      <c r="BB82" s="2" t="e">
        <f t="shared" si="114"/>
        <v>#DIV/0!</v>
      </c>
      <c r="BE82" s="8" t="e">
        <f t="shared" si="329"/>
        <v>#DIV/0!</v>
      </c>
      <c r="BF82" s="2" t="e">
        <f t="shared" si="65"/>
        <v>#DIV/0!</v>
      </c>
      <c r="BG82" s="2" t="e">
        <f t="shared" si="66"/>
        <v>#DIV/0!</v>
      </c>
      <c r="BH82" s="2" t="e">
        <f t="shared" si="67"/>
        <v>#DIV/0!</v>
      </c>
    </row>
    <row r="83" spans="1:60" x14ac:dyDescent="0.2">
      <c r="A83" s="2">
        <f t="shared" si="100"/>
        <v>3.9166666666666692</v>
      </c>
      <c r="B83" s="2">
        <f t="shared" si="41"/>
        <v>1.990734207773363E-2</v>
      </c>
      <c r="C83" s="2">
        <f t="shared" si="195"/>
        <v>1.990734207773363E-2</v>
      </c>
      <c r="D83" s="2">
        <f t="shared" si="195"/>
        <v>1.990734207773363E-2</v>
      </c>
      <c r="E83" s="8">
        <f t="shared" si="43"/>
        <v>1.990734207773363E-2</v>
      </c>
      <c r="F83" s="2">
        <f t="shared" ref="F83:G83" si="434">EXP(-(($A83*$F$31*G$31)^$E$31))</f>
        <v>1.990734207773363E-2</v>
      </c>
      <c r="G83" s="2">
        <f t="shared" si="434"/>
        <v>1.990734207773363E-2</v>
      </c>
      <c r="I83" s="8" t="e">
        <f t="shared" si="45"/>
        <v>#DIV/0!</v>
      </c>
      <c r="J83" s="2" t="e">
        <f t="shared" ref="J83:K83" si="435">EXP(-(($J$31*K$31)/$I$31)*(EXP($I$31*$A83)-1))</f>
        <v>#DIV/0!</v>
      </c>
      <c r="K83" s="2" t="e">
        <f t="shared" si="435"/>
        <v>#DIV/0!</v>
      </c>
      <c r="M83" s="8">
        <f t="shared" si="47"/>
        <v>8.6088665509933771E-2</v>
      </c>
      <c r="N83" s="2">
        <f t="shared" ref="N83:O83" si="436">1-_xlfn.NORM.S.DIST((LN($A83)-$M$31-O$31)/$N$31,TRUE)</f>
        <v>8.6088665509933771E-2</v>
      </c>
      <c r="O83" s="2">
        <f t="shared" si="436"/>
        <v>8.6088665509933771E-2</v>
      </c>
      <c r="Q83" s="8">
        <f t="shared" si="49"/>
        <v>0.20338983050847448</v>
      </c>
      <c r="R83" s="2">
        <f t="shared" ref="R83:S83" si="437">1-(1/(1+($A83/($R$31*S$31))^(-$Q$31)))</f>
        <v>0.20338983050847448</v>
      </c>
      <c r="S83" s="2">
        <f t="shared" si="437"/>
        <v>0.20338983050847448</v>
      </c>
      <c r="U83" s="8">
        <f t="shared" si="51"/>
        <v>1.9907342077733592E-2</v>
      </c>
      <c r="V83" s="2">
        <f t="shared" ref="V83" si="438">1-(_xlfn.GAMMA.DIST($V$31*W$31*$A83,$U$31,1,TRUE)*EXP(GAMMALN($U$31)))/EXP(GAMMALN($U$31))</f>
        <v>1.9907342077733592E-2</v>
      </c>
      <c r="W83" s="2">
        <f t="shared" si="31"/>
        <v>1.9907342077733592E-2</v>
      </c>
      <c r="Y83" s="8">
        <f t="shared" si="53"/>
        <v>8.6088665509933771E-2</v>
      </c>
      <c r="Z83" s="2">
        <f t="shared" si="106"/>
        <v>8.6088665509933771E-2</v>
      </c>
      <c r="AA83" s="2">
        <f t="shared" si="107"/>
        <v>8.6088665509933771E-2</v>
      </c>
      <c r="AD83" s="8" t="e">
        <f t="shared" si="321"/>
        <v>#DIV/0!</v>
      </c>
      <c r="AE83" s="2" t="e">
        <f t="shared" si="55"/>
        <v>#DIV/0!</v>
      </c>
      <c r="AF83" s="2" t="e">
        <f t="shared" ref="AF83:AG83" si="439">EXP(-EXP($AD83+AG$31))</f>
        <v>#DIV/0!</v>
      </c>
      <c r="AG83" s="2" t="e">
        <f t="shared" si="439"/>
        <v>#DIV/0!</v>
      </c>
      <c r="AI83" s="8" t="e">
        <f t="shared" si="323"/>
        <v>#DIV/0!</v>
      </c>
      <c r="AJ83" s="2" t="e">
        <f t="shared" si="57"/>
        <v>#DIV/0!</v>
      </c>
      <c r="AK83" s="2" t="e">
        <f t="shared" ref="AK83:AL83" si="440">1-(EXP($AI83+AL$31)/(1 + EXP($AI83+AL$31)))</f>
        <v>#DIV/0!</v>
      </c>
      <c r="AL83" s="2" t="e">
        <f t="shared" si="440"/>
        <v>#DIV/0!</v>
      </c>
      <c r="AN83" s="8" t="e">
        <f t="shared" si="325"/>
        <v>#DIV/0!</v>
      </c>
      <c r="AO83" s="2" t="e">
        <f t="shared" si="59"/>
        <v>#DIV/0!</v>
      </c>
      <c r="AP83" s="2" t="e">
        <f t="shared" ref="AP83:AQ83" si="441">1-NORMSDIST($AN83+AQ$31)</f>
        <v>#DIV/0!</v>
      </c>
      <c r="AQ83" s="2" t="e">
        <f t="shared" si="441"/>
        <v>#DIV/0!</v>
      </c>
      <c r="AS83" s="8" t="e">
        <f t="shared" si="327"/>
        <v>#DIV/0!</v>
      </c>
      <c r="AT83" s="2" t="e">
        <f t="shared" si="61"/>
        <v>#DIV/0!</v>
      </c>
      <c r="AU83" s="2" t="e">
        <f t="shared" si="111"/>
        <v>#DIV/0!</v>
      </c>
      <c r="AV83" s="2" t="e">
        <f t="shared" si="112"/>
        <v>#DIV/0!</v>
      </c>
      <c r="AY83" s="8" t="e">
        <f t="shared" si="328"/>
        <v>#DIV/0!</v>
      </c>
      <c r="AZ83" s="2" t="e">
        <f t="shared" si="63"/>
        <v>#DIV/0!</v>
      </c>
      <c r="BA83" s="2" t="e">
        <f t="shared" si="113"/>
        <v>#DIV/0!</v>
      </c>
      <c r="BB83" s="2" t="e">
        <f t="shared" si="114"/>
        <v>#DIV/0!</v>
      </c>
      <c r="BE83" s="8" t="e">
        <f t="shared" si="329"/>
        <v>#DIV/0!</v>
      </c>
      <c r="BF83" s="2" t="e">
        <f t="shared" si="65"/>
        <v>#DIV/0!</v>
      </c>
      <c r="BG83" s="2" t="e">
        <f t="shared" si="66"/>
        <v>#DIV/0!</v>
      </c>
      <c r="BH83" s="2" t="e">
        <f t="shared" si="67"/>
        <v>#DIV/0!</v>
      </c>
    </row>
    <row r="84" spans="1:60" x14ac:dyDescent="0.2">
      <c r="A84" s="2">
        <f t="shared" si="100"/>
        <v>4.0000000000000027</v>
      </c>
      <c r="B84" s="2">
        <f t="shared" si="41"/>
        <v>1.831563888873413E-2</v>
      </c>
      <c r="C84" s="2">
        <f t="shared" si="195"/>
        <v>1.831563888873413E-2</v>
      </c>
      <c r="D84" s="2">
        <f t="shared" si="195"/>
        <v>1.831563888873413E-2</v>
      </c>
      <c r="E84" s="8">
        <f t="shared" si="43"/>
        <v>1.831563888873413E-2</v>
      </c>
      <c r="F84" s="2">
        <f t="shared" ref="F84:G84" si="442">EXP(-(($A84*$F$31*G$31)^$E$31))</f>
        <v>1.831563888873413E-2</v>
      </c>
      <c r="G84" s="2">
        <f t="shared" si="442"/>
        <v>1.831563888873413E-2</v>
      </c>
      <c r="I84" s="8" t="e">
        <f t="shared" si="45"/>
        <v>#DIV/0!</v>
      </c>
      <c r="J84" s="2" t="e">
        <f t="shared" ref="J84:K84" si="443">EXP(-(($J$31*K$31)/$I$31)*(EXP($I$31*$A84)-1))</f>
        <v>#DIV/0!</v>
      </c>
      <c r="K84" s="2" t="e">
        <f t="shared" si="443"/>
        <v>#DIV/0!</v>
      </c>
      <c r="M84" s="8">
        <f t="shared" si="47"/>
        <v>8.2828519001698409E-2</v>
      </c>
      <c r="N84" s="2">
        <f t="shared" ref="N84:O84" si="444">1-_xlfn.NORM.S.DIST((LN($A84)-$M$31-O$31)/$N$31,TRUE)</f>
        <v>8.2828519001698409E-2</v>
      </c>
      <c r="O84" s="2">
        <f t="shared" si="444"/>
        <v>8.2828519001698409E-2</v>
      </c>
      <c r="Q84" s="8">
        <f t="shared" si="49"/>
        <v>0.19999999999999984</v>
      </c>
      <c r="R84" s="2">
        <f t="shared" ref="R84:S84" si="445">1-(1/(1+($A84/($R$31*S$31))^(-$Q$31)))</f>
        <v>0.19999999999999984</v>
      </c>
      <c r="S84" s="2">
        <f t="shared" si="445"/>
        <v>0.19999999999999984</v>
      </c>
      <c r="U84" s="8">
        <f t="shared" si="51"/>
        <v>1.8315638888734109E-2</v>
      </c>
      <c r="V84" s="2">
        <f t="shared" ref="V84" si="446">1-(_xlfn.GAMMA.DIST($V$31*W$31*$A84,$U$31,1,TRUE)*EXP(GAMMALN($U$31)))/EXP(GAMMALN($U$31))</f>
        <v>1.8315638888734109E-2</v>
      </c>
      <c r="W84" s="2">
        <f t="shared" si="31"/>
        <v>1.8315638888734109E-2</v>
      </c>
      <c r="Y84" s="8">
        <f t="shared" si="53"/>
        <v>8.2828519001698409E-2</v>
      </c>
      <c r="Z84" s="2">
        <f t="shared" si="106"/>
        <v>8.2828519001698409E-2</v>
      </c>
      <c r="AA84" s="2">
        <f t="shared" si="107"/>
        <v>8.2828519001698409E-2</v>
      </c>
      <c r="AD84" s="8" t="e">
        <f t="shared" si="321"/>
        <v>#DIV/0!</v>
      </c>
      <c r="AE84" s="2" t="e">
        <f t="shared" si="55"/>
        <v>#DIV/0!</v>
      </c>
      <c r="AF84" s="2" t="e">
        <f t="shared" ref="AF84:AG84" si="447">EXP(-EXP($AD84+AG$31))</f>
        <v>#DIV/0!</v>
      </c>
      <c r="AG84" s="2" t="e">
        <f t="shared" si="447"/>
        <v>#DIV/0!</v>
      </c>
      <c r="AI84" s="8" t="e">
        <f t="shared" si="323"/>
        <v>#DIV/0!</v>
      </c>
      <c r="AJ84" s="2" t="e">
        <f t="shared" si="57"/>
        <v>#DIV/0!</v>
      </c>
      <c r="AK84" s="2" t="e">
        <f t="shared" ref="AK84:AL84" si="448">1-(EXP($AI84+AL$31)/(1 + EXP($AI84+AL$31)))</f>
        <v>#DIV/0!</v>
      </c>
      <c r="AL84" s="2" t="e">
        <f t="shared" si="448"/>
        <v>#DIV/0!</v>
      </c>
      <c r="AN84" s="8" t="e">
        <f t="shared" si="325"/>
        <v>#DIV/0!</v>
      </c>
      <c r="AO84" s="2" t="e">
        <f t="shared" si="59"/>
        <v>#DIV/0!</v>
      </c>
      <c r="AP84" s="2" t="e">
        <f t="shared" ref="AP84:AQ84" si="449">1-NORMSDIST($AN84+AQ$31)</f>
        <v>#DIV/0!</v>
      </c>
      <c r="AQ84" s="2" t="e">
        <f t="shared" si="449"/>
        <v>#DIV/0!</v>
      </c>
      <c r="AS84" s="8" t="e">
        <f t="shared" si="327"/>
        <v>#DIV/0!</v>
      </c>
      <c r="AT84" s="2" t="e">
        <f t="shared" si="61"/>
        <v>#DIV/0!</v>
      </c>
      <c r="AU84" s="2" t="e">
        <f t="shared" si="111"/>
        <v>#DIV/0!</v>
      </c>
      <c r="AV84" s="2" t="e">
        <f t="shared" si="112"/>
        <v>#DIV/0!</v>
      </c>
      <c r="AY84" s="8" t="e">
        <f t="shared" si="328"/>
        <v>#DIV/0!</v>
      </c>
      <c r="AZ84" s="2" t="e">
        <f t="shared" si="63"/>
        <v>#DIV/0!</v>
      </c>
      <c r="BA84" s="2" t="e">
        <f t="shared" si="113"/>
        <v>#DIV/0!</v>
      </c>
      <c r="BB84" s="2" t="e">
        <f t="shared" si="114"/>
        <v>#DIV/0!</v>
      </c>
      <c r="BE84" s="8" t="e">
        <f t="shared" si="329"/>
        <v>#DIV/0!</v>
      </c>
      <c r="BF84" s="2" t="e">
        <f t="shared" si="65"/>
        <v>#DIV/0!</v>
      </c>
      <c r="BG84" s="2" t="e">
        <f t="shared" si="66"/>
        <v>#DIV/0!</v>
      </c>
      <c r="BH84" s="2" t="e">
        <f t="shared" si="67"/>
        <v>#DIV/0!</v>
      </c>
    </row>
    <row r="85" spans="1:60" x14ac:dyDescent="0.2">
      <c r="A85" s="2">
        <f t="shared" si="100"/>
        <v>4.0833333333333357</v>
      </c>
      <c r="B85" s="2">
        <f t="shared" si="41"/>
        <v>1.6851201259947466E-2</v>
      </c>
      <c r="C85" s="2">
        <f t="shared" si="195"/>
        <v>1.6851201259947466E-2</v>
      </c>
      <c r="D85" s="2">
        <f t="shared" si="195"/>
        <v>1.6851201259947466E-2</v>
      </c>
      <c r="E85" s="8">
        <f t="shared" si="43"/>
        <v>1.6851201259947466E-2</v>
      </c>
      <c r="F85" s="2">
        <f t="shared" ref="F85:G85" si="450">EXP(-(($A85*$F$31*G$31)^$E$31))</f>
        <v>1.6851201259947466E-2</v>
      </c>
      <c r="G85" s="2">
        <f t="shared" si="450"/>
        <v>1.6851201259947466E-2</v>
      </c>
      <c r="I85" s="8" t="e">
        <f t="shared" si="45"/>
        <v>#DIV/0!</v>
      </c>
      <c r="J85" s="2" t="e">
        <f t="shared" ref="J85:K85" si="451">EXP(-(($J$31*K$31)/$I$31)*(EXP($I$31*$A85)-1))</f>
        <v>#DIV/0!</v>
      </c>
      <c r="K85" s="2" t="e">
        <f t="shared" si="451"/>
        <v>#DIV/0!</v>
      </c>
      <c r="M85" s="8">
        <f t="shared" si="47"/>
        <v>7.9726497982045785E-2</v>
      </c>
      <c r="N85" s="2">
        <f t="shared" ref="N85:O85" si="452">1-_xlfn.NORM.S.DIST((LN($A85)-$M$31-O$31)/$N$31,TRUE)</f>
        <v>7.9726497982045785E-2</v>
      </c>
      <c r="O85" s="2">
        <f t="shared" si="452"/>
        <v>7.9726497982045785E-2</v>
      </c>
      <c r="Q85" s="8">
        <f t="shared" si="49"/>
        <v>0.19672131147540972</v>
      </c>
      <c r="R85" s="2">
        <f t="shared" ref="R85:S85" si="453">1-(1/(1+($A85/($R$31*S$31))^(-$Q$31)))</f>
        <v>0.19672131147540972</v>
      </c>
      <c r="S85" s="2">
        <f t="shared" si="453"/>
        <v>0.19672131147540972</v>
      </c>
      <c r="U85" s="8">
        <f t="shared" si="51"/>
        <v>1.6851201259947435E-2</v>
      </c>
      <c r="V85" s="2">
        <f t="shared" ref="V85" si="454">1-(_xlfn.GAMMA.DIST($V$31*W$31*$A85,$U$31,1,TRUE)*EXP(GAMMALN($U$31)))/EXP(GAMMALN($U$31))</f>
        <v>1.6851201259947435E-2</v>
      </c>
      <c r="W85" s="2">
        <f t="shared" si="31"/>
        <v>1.6851201259947435E-2</v>
      </c>
      <c r="Y85" s="8">
        <f t="shared" si="53"/>
        <v>7.9726497982045785E-2</v>
      </c>
      <c r="Z85" s="2">
        <f t="shared" si="106"/>
        <v>7.9726497982045785E-2</v>
      </c>
      <c r="AA85" s="2">
        <f t="shared" si="107"/>
        <v>7.9726497982045785E-2</v>
      </c>
      <c r="AD85" s="8" t="e">
        <f t="shared" si="321"/>
        <v>#DIV/0!</v>
      </c>
      <c r="AE85" s="2" t="e">
        <f t="shared" si="55"/>
        <v>#DIV/0!</v>
      </c>
      <c r="AF85" s="2" t="e">
        <f t="shared" ref="AF85:AG85" si="455">EXP(-EXP($AD85+AG$31))</f>
        <v>#DIV/0!</v>
      </c>
      <c r="AG85" s="2" t="e">
        <f t="shared" si="455"/>
        <v>#DIV/0!</v>
      </c>
      <c r="AI85" s="8" t="e">
        <f t="shared" si="323"/>
        <v>#DIV/0!</v>
      </c>
      <c r="AJ85" s="2" t="e">
        <f t="shared" si="57"/>
        <v>#DIV/0!</v>
      </c>
      <c r="AK85" s="2" t="e">
        <f t="shared" ref="AK85:AL85" si="456">1-(EXP($AI85+AL$31)/(1 + EXP($AI85+AL$31)))</f>
        <v>#DIV/0!</v>
      </c>
      <c r="AL85" s="2" t="e">
        <f t="shared" si="456"/>
        <v>#DIV/0!</v>
      </c>
      <c r="AN85" s="8" t="e">
        <f t="shared" si="325"/>
        <v>#DIV/0!</v>
      </c>
      <c r="AO85" s="2" t="e">
        <f t="shared" si="59"/>
        <v>#DIV/0!</v>
      </c>
      <c r="AP85" s="2" t="e">
        <f t="shared" ref="AP85:AQ85" si="457">1-NORMSDIST($AN85+AQ$31)</f>
        <v>#DIV/0!</v>
      </c>
      <c r="AQ85" s="2" t="e">
        <f t="shared" si="457"/>
        <v>#DIV/0!</v>
      </c>
      <c r="AS85" s="8" t="e">
        <f t="shared" si="327"/>
        <v>#DIV/0!</v>
      </c>
      <c r="AT85" s="2" t="e">
        <f t="shared" si="61"/>
        <v>#DIV/0!</v>
      </c>
      <c r="AU85" s="2" t="e">
        <f t="shared" si="111"/>
        <v>#DIV/0!</v>
      </c>
      <c r="AV85" s="2" t="e">
        <f t="shared" si="112"/>
        <v>#DIV/0!</v>
      </c>
      <c r="AY85" s="8" t="e">
        <f t="shared" si="328"/>
        <v>#DIV/0!</v>
      </c>
      <c r="AZ85" s="2" t="e">
        <f t="shared" si="63"/>
        <v>#DIV/0!</v>
      </c>
      <c r="BA85" s="2" t="e">
        <f t="shared" si="113"/>
        <v>#DIV/0!</v>
      </c>
      <c r="BB85" s="2" t="e">
        <f t="shared" si="114"/>
        <v>#DIV/0!</v>
      </c>
      <c r="BE85" s="8" t="e">
        <f t="shared" si="329"/>
        <v>#DIV/0!</v>
      </c>
      <c r="BF85" s="2" t="e">
        <f t="shared" si="65"/>
        <v>#DIV/0!</v>
      </c>
      <c r="BG85" s="2" t="e">
        <f t="shared" si="66"/>
        <v>#DIV/0!</v>
      </c>
      <c r="BH85" s="2" t="e">
        <f t="shared" si="67"/>
        <v>#DIV/0!</v>
      </c>
    </row>
    <row r="86" spans="1:60" x14ac:dyDescent="0.2">
      <c r="A86" s="2">
        <f t="shared" si="100"/>
        <v>4.1666666666666687</v>
      </c>
      <c r="B86" s="2">
        <f t="shared" si="41"/>
        <v>1.5503853599009286E-2</v>
      </c>
      <c r="C86" s="2">
        <f t="shared" si="195"/>
        <v>1.5503853599009286E-2</v>
      </c>
      <c r="D86" s="2">
        <f t="shared" si="195"/>
        <v>1.5503853599009286E-2</v>
      </c>
      <c r="E86" s="8">
        <f t="shared" si="43"/>
        <v>1.5503853599009286E-2</v>
      </c>
      <c r="F86" s="2">
        <f t="shared" ref="F86:G86" si="458">EXP(-(($A86*$F$31*G$31)^$E$31))</f>
        <v>1.5503853599009286E-2</v>
      </c>
      <c r="G86" s="2">
        <f t="shared" si="458"/>
        <v>1.5503853599009286E-2</v>
      </c>
      <c r="I86" s="8" t="e">
        <f t="shared" si="45"/>
        <v>#DIV/0!</v>
      </c>
      <c r="J86" s="2" t="e">
        <f t="shared" ref="J86:K86" si="459">EXP(-(($J$31*K$31)/$I$31)*(EXP($I$31*$A86)-1))</f>
        <v>#DIV/0!</v>
      </c>
      <c r="K86" s="2" t="e">
        <f t="shared" si="459"/>
        <v>#DIV/0!</v>
      </c>
      <c r="M86" s="8">
        <f t="shared" si="47"/>
        <v>7.677317943158557E-2</v>
      </c>
      <c r="N86" s="2">
        <f t="shared" ref="N86:O86" si="460">1-_xlfn.NORM.S.DIST((LN($A86)-$M$31-O$31)/$N$31,TRUE)</f>
        <v>7.677317943158557E-2</v>
      </c>
      <c r="O86" s="2">
        <f t="shared" si="460"/>
        <v>7.677317943158557E-2</v>
      </c>
      <c r="Q86" s="8">
        <f t="shared" si="49"/>
        <v>0.19354838709677402</v>
      </c>
      <c r="R86" s="2">
        <f t="shared" ref="R86:S86" si="461">1-(1/(1+($A86/($R$31*S$31))^(-$Q$31)))</f>
        <v>0.19354838709677402</v>
      </c>
      <c r="S86" s="2">
        <f t="shared" si="461"/>
        <v>0.19354838709677402</v>
      </c>
      <c r="U86" s="8">
        <f t="shared" si="51"/>
        <v>1.5503853599009298E-2</v>
      </c>
      <c r="V86" s="2">
        <f t="shared" ref="V86" si="462">1-(_xlfn.GAMMA.DIST($V$31*W$31*$A86,$U$31,1,TRUE)*EXP(GAMMALN($U$31)))/EXP(GAMMALN($U$31))</f>
        <v>1.5503853599009298E-2</v>
      </c>
      <c r="W86" s="2">
        <f t="shared" si="31"/>
        <v>1.5503853599009298E-2</v>
      </c>
      <c r="Y86" s="8">
        <f t="shared" si="53"/>
        <v>7.677317943158557E-2</v>
      </c>
      <c r="Z86" s="2">
        <f t="shared" si="106"/>
        <v>7.677317943158557E-2</v>
      </c>
      <c r="AA86" s="2">
        <f t="shared" si="107"/>
        <v>7.677317943158557E-2</v>
      </c>
      <c r="AD86" s="8" t="e">
        <f t="shared" si="321"/>
        <v>#DIV/0!</v>
      </c>
      <c r="AE86" s="2" t="e">
        <f t="shared" si="55"/>
        <v>#DIV/0!</v>
      </c>
      <c r="AF86" s="2" t="e">
        <f t="shared" ref="AF86:AG86" si="463">EXP(-EXP($AD86+AG$31))</f>
        <v>#DIV/0!</v>
      </c>
      <c r="AG86" s="2" t="e">
        <f t="shared" si="463"/>
        <v>#DIV/0!</v>
      </c>
      <c r="AI86" s="8" t="e">
        <f t="shared" si="323"/>
        <v>#DIV/0!</v>
      </c>
      <c r="AJ86" s="2" t="e">
        <f t="shared" si="57"/>
        <v>#DIV/0!</v>
      </c>
      <c r="AK86" s="2" t="e">
        <f t="shared" ref="AK86:AL86" si="464">1-(EXP($AI86+AL$31)/(1 + EXP($AI86+AL$31)))</f>
        <v>#DIV/0!</v>
      </c>
      <c r="AL86" s="2" t="e">
        <f t="shared" si="464"/>
        <v>#DIV/0!</v>
      </c>
      <c r="AN86" s="8" t="e">
        <f t="shared" si="325"/>
        <v>#DIV/0!</v>
      </c>
      <c r="AO86" s="2" t="e">
        <f t="shared" si="59"/>
        <v>#DIV/0!</v>
      </c>
      <c r="AP86" s="2" t="e">
        <f t="shared" ref="AP86:AQ86" si="465">1-NORMSDIST($AN86+AQ$31)</f>
        <v>#DIV/0!</v>
      </c>
      <c r="AQ86" s="2" t="e">
        <f t="shared" si="465"/>
        <v>#DIV/0!</v>
      </c>
      <c r="AS86" s="8" t="e">
        <f t="shared" si="327"/>
        <v>#DIV/0!</v>
      </c>
      <c r="AT86" s="2" t="e">
        <f t="shared" si="61"/>
        <v>#DIV/0!</v>
      </c>
      <c r="AU86" s="2" t="e">
        <f t="shared" si="111"/>
        <v>#DIV/0!</v>
      </c>
      <c r="AV86" s="2" t="e">
        <f t="shared" si="112"/>
        <v>#DIV/0!</v>
      </c>
      <c r="AY86" s="8" t="e">
        <f t="shared" si="328"/>
        <v>#DIV/0!</v>
      </c>
      <c r="AZ86" s="2" t="e">
        <f t="shared" si="63"/>
        <v>#DIV/0!</v>
      </c>
      <c r="BA86" s="2" t="e">
        <f t="shared" si="113"/>
        <v>#DIV/0!</v>
      </c>
      <c r="BB86" s="2" t="e">
        <f t="shared" si="114"/>
        <v>#DIV/0!</v>
      </c>
      <c r="BE86" s="8" t="e">
        <f t="shared" si="329"/>
        <v>#DIV/0!</v>
      </c>
      <c r="BF86" s="2" t="e">
        <f t="shared" si="65"/>
        <v>#DIV/0!</v>
      </c>
      <c r="BG86" s="2" t="e">
        <f t="shared" si="66"/>
        <v>#DIV/0!</v>
      </c>
      <c r="BH86" s="2" t="e">
        <f t="shared" si="67"/>
        <v>#DIV/0!</v>
      </c>
    </row>
    <row r="87" spans="1:60" x14ac:dyDescent="0.2">
      <c r="A87" s="2">
        <f t="shared" si="100"/>
        <v>4.2500000000000018</v>
      </c>
      <c r="B87" s="2">
        <f t="shared" si="41"/>
        <v>1.4264233908999229E-2</v>
      </c>
      <c r="C87" s="2">
        <f t="shared" si="195"/>
        <v>1.4264233908999229E-2</v>
      </c>
      <c r="D87" s="2">
        <f t="shared" si="195"/>
        <v>1.4264233908999229E-2</v>
      </c>
      <c r="E87" s="8">
        <f t="shared" si="43"/>
        <v>1.4264233908999229E-2</v>
      </c>
      <c r="F87" s="2">
        <f t="shared" ref="F87:G87" si="466">EXP(-(($A87*$F$31*G$31)^$E$31))</f>
        <v>1.4264233908999229E-2</v>
      </c>
      <c r="G87" s="2">
        <f t="shared" si="466"/>
        <v>1.4264233908999229E-2</v>
      </c>
      <c r="I87" s="8" t="e">
        <f t="shared" si="45"/>
        <v>#DIV/0!</v>
      </c>
      <c r="J87" s="2" t="e">
        <f t="shared" ref="J87:K87" si="467">EXP(-(($J$31*K$31)/$I$31)*(EXP($I$31*$A87)-1))</f>
        <v>#DIV/0!</v>
      </c>
      <c r="K87" s="2" t="e">
        <f t="shared" si="467"/>
        <v>#DIV/0!</v>
      </c>
      <c r="M87" s="8">
        <f t="shared" si="47"/>
        <v>7.3959807899369845E-2</v>
      </c>
      <c r="N87" s="2">
        <f t="shared" ref="N87:O87" si="468">1-_xlfn.NORM.S.DIST((LN($A87)-$M$31-O$31)/$N$31,TRUE)</f>
        <v>7.3959807899369845E-2</v>
      </c>
      <c r="O87" s="2">
        <f t="shared" si="468"/>
        <v>7.3959807899369845E-2</v>
      </c>
      <c r="Q87" s="8">
        <f t="shared" si="49"/>
        <v>0.19047619047619035</v>
      </c>
      <c r="R87" s="2">
        <f t="shared" ref="R87:S87" si="469">1-(1/(1+($A87/($R$31*S$31))^(-$Q$31)))</f>
        <v>0.19047619047619035</v>
      </c>
      <c r="S87" s="2">
        <f t="shared" si="469"/>
        <v>0.19047619047619035</v>
      </c>
      <c r="U87" s="8">
        <f t="shared" si="51"/>
        <v>1.4264233908999224E-2</v>
      </c>
      <c r="V87" s="2">
        <f t="shared" ref="V87" si="470">1-(_xlfn.GAMMA.DIST($V$31*W$31*$A87,$U$31,1,TRUE)*EXP(GAMMALN($U$31)))/EXP(GAMMALN($U$31))</f>
        <v>1.4264233908999224E-2</v>
      </c>
      <c r="W87" s="2">
        <f t="shared" si="31"/>
        <v>1.4264233908999224E-2</v>
      </c>
      <c r="Y87" s="8">
        <f t="shared" si="53"/>
        <v>7.3959807899369845E-2</v>
      </c>
      <c r="Z87" s="2">
        <f t="shared" si="106"/>
        <v>7.3959807899369845E-2</v>
      </c>
      <c r="AA87" s="2">
        <f t="shared" si="107"/>
        <v>7.3959807899369845E-2</v>
      </c>
      <c r="AD87" s="8" t="e">
        <f t="shared" si="321"/>
        <v>#DIV/0!</v>
      </c>
      <c r="AE87" s="2" t="e">
        <f t="shared" si="55"/>
        <v>#DIV/0!</v>
      </c>
      <c r="AF87" s="2" t="e">
        <f t="shared" ref="AF87:AG87" si="471">EXP(-EXP($AD87+AG$31))</f>
        <v>#DIV/0!</v>
      </c>
      <c r="AG87" s="2" t="e">
        <f t="shared" si="471"/>
        <v>#DIV/0!</v>
      </c>
      <c r="AI87" s="8" t="e">
        <f t="shared" si="323"/>
        <v>#DIV/0!</v>
      </c>
      <c r="AJ87" s="2" t="e">
        <f t="shared" si="57"/>
        <v>#DIV/0!</v>
      </c>
      <c r="AK87" s="2" t="e">
        <f t="shared" ref="AK87:AL87" si="472">1-(EXP($AI87+AL$31)/(1 + EXP($AI87+AL$31)))</f>
        <v>#DIV/0!</v>
      </c>
      <c r="AL87" s="2" t="e">
        <f t="shared" si="472"/>
        <v>#DIV/0!</v>
      </c>
      <c r="AN87" s="8" t="e">
        <f t="shared" si="325"/>
        <v>#DIV/0!</v>
      </c>
      <c r="AO87" s="2" t="e">
        <f t="shared" si="59"/>
        <v>#DIV/0!</v>
      </c>
      <c r="AP87" s="2" t="e">
        <f t="shared" ref="AP87:AQ87" si="473">1-NORMSDIST($AN87+AQ$31)</f>
        <v>#DIV/0!</v>
      </c>
      <c r="AQ87" s="2" t="e">
        <f t="shared" si="473"/>
        <v>#DIV/0!</v>
      </c>
      <c r="AS87" s="8" t="e">
        <f t="shared" si="327"/>
        <v>#DIV/0!</v>
      </c>
      <c r="AT87" s="2" t="e">
        <f t="shared" si="61"/>
        <v>#DIV/0!</v>
      </c>
      <c r="AU87" s="2" t="e">
        <f t="shared" si="111"/>
        <v>#DIV/0!</v>
      </c>
      <c r="AV87" s="2" t="e">
        <f t="shared" si="112"/>
        <v>#DIV/0!</v>
      </c>
      <c r="AY87" s="8" t="e">
        <f t="shared" si="328"/>
        <v>#DIV/0!</v>
      </c>
      <c r="AZ87" s="2" t="e">
        <f t="shared" si="63"/>
        <v>#DIV/0!</v>
      </c>
      <c r="BA87" s="2" t="e">
        <f t="shared" si="113"/>
        <v>#DIV/0!</v>
      </c>
      <c r="BB87" s="2" t="e">
        <f t="shared" si="114"/>
        <v>#DIV/0!</v>
      </c>
      <c r="BE87" s="8" t="e">
        <f t="shared" si="329"/>
        <v>#DIV/0!</v>
      </c>
      <c r="BF87" s="2" t="e">
        <f t="shared" si="65"/>
        <v>#DIV/0!</v>
      </c>
      <c r="BG87" s="2" t="e">
        <f t="shared" si="66"/>
        <v>#DIV/0!</v>
      </c>
      <c r="BH87" s="2" t="e">
        <f t="shared" si="67"/>
        <v>#DIV/0!</v>
      </c>
    </row>
    <row r="88" spans="1:60" x14ac:dyDescent="0.2">
      <c r="A88" s="2">
        <f t="shared" si="100"/>
        <v>4.3333333333333348</v>
      </c>
      <c r="B88" s="2">
        <f t="shared" si="41"/>
        <v>1.3123728736940943E-2</v>
      </c>
      <c r="C88" s="2">
        <f t="shared" si="195"/>
        <v>1.3123728736940943E-2</v>
      </c>
      <c r="D88" s="2">
        <f t="shared" si="195"/>
        <v>1.3123728736940943E-2</v>
      </c>
      <c r="E88" s="8">
        <f t="shared" si="43"/>
        <v>1.3123728736940943E-2</v>
      </c>
      <c r="F88" s="2">
        <f t="shared" ref="F88:G88" si="474">EXP(-(($A88*$F$31*G$31)^$E$31))</f>
        <v>1.3123728736940943E-2</v>
      </c>
      <c r="G88" s="2">
        <f t="shared" si="474"/>
        <v>1.3123728736940943E-2</v>
      </c>
      <c r="I88" s="8" t="e">
        <f t="shared" si="45"/>
        <v>#DIV/0!</v>
      </c>
      <c r="J88" s="2" t="e">
        <f t="shared" ref="J88:K88" si="475">EXP(-(($J$31*K$31)/$I$31)*(EXP($I$31*$A88)-1))</f>
        <v>#DIV/0!</v>
      </c>
      <c r="K88" s="2" t="e">
        <f t="shared" si="475"/>
        <v>#DIV/0!</v>
      </c>
      <c r="M88" s="8">
        <f t="shared" si="47"/>
        <v>7.1278240752786548E-2</v>
      </c>
      <c r="N88" s="2">
        <f t="shared" ref="N88:O88" si="476">1-_xlfn.NORM.S.DIST((LN($A88)-$M$31-O$31)/$N$31,TRUE)</f>
        <v>7.1278240752786548E-2</v>
      </c>
      <c r="O88" s="2">
        <f t="shared" si="476"/>
        <v>7.1278240752786548E-2</v>
      </c>
      <c r="Q88" s="8">
        <f t="shared" si="49"/>
        <v>0.18749999999999989</v>
      </c>
      <c r="R88" s="2">
        <f t="shared" ref="R88:S88" si="477">1-(1/(1+($A88/($R$31*S$31))^(-$Q$31)))</f>
        <v>0.18749999999999989</v>
      </c>
      <c r="S88" s="2">
        <f t="shared" si="477"/>
        <v>0.18749999999999989</v>
      </c>
      <c r="U88" s="8">
        <f t="shared" si="51"/>
        <v>1.3123728736940898E-2</v>
      </c>
      <c r="V88" s="2">
        <f t="shared" ref="V88" si="478">1-(_xlfn.GAMMA.DIST($V$31*W$31*$A88,$U$31,1,TRUE)*EXP(GAMMALN($U$31)))/EXP(GAMMALN($U$31))</f>
        <v>1.3123728736940898E-2</v>
      </c>
      <c r="W88" s="2">
        <f t="shared" si="31"/>
        <v>1.3123728736940898E-2</v>
      </c>
      <c r="Y88" s="8">
        <f t="shared" si="53"/>
        <v>7.1278240752786548E-2</v>
      </c>
      <c r="Z88" s="2">
        <f t="shared" si="106"/>
        <v>7.1278240752786548E-2</v>
      </c>
      <c r="AA88" s="2">
        <f t="shared" si="107"/>
        <v>7.1278240752786548E-2</v>
      </c>
      <c r="AD88" s="8" t="e">
        <f t="shared" si="321"/>
        <v>#DIV/0!</v>
      </c>
      <c r="AE88" s="2" t="e">
        <f t="shared" si="55"/>
        <v>#DIV/0!</v>
      </c>
      <c r="AF88" s="2" t="e">
        <f t="shared" ref="AF88:AG88" si="479">EXP(-EXP($AD88+AG$31))</f>
        <v>#DIV/0!</v>
      </c>
      <c r="AG88" s="2" t="e">
        <f t="shared" si="479"/>
        <v>#DIV/0!</v>
      </c>
      <c r="AI88" s="8" t="e">
        <f t="shared" si="323"/>
        <v>#DIV/0!</v>
      </c>
      <c r="AJ88" s="2" t="e">
        <f t="shared" si="57"/>
        <v>#DIV/0!</v>
      </c>
      <c r="AK88" s="2" t="e">
        <f t="shared" ref="AK88:AL88" si="480">1-(EXP($AI88+AL$31)/(1 + EXP($AI88+AL$31)))</f>
        <v>#DIV/0!</v>
      </c>
      <c r="AL88" s="2" t="e">
        <f t="shared" si="480"/>
        <v>#DIV/0!</v>
      </c>
      <c r="AN88" s="8" t="e">
        <f t="shared" si="325"/>
        <v>#DIV/0!</v>
      </c>
      <c r="AO88" s="2" t="e">
        <f t="shared" si="59"/>
        <v>#DIV/0!</v>
      </c>
      <c r="AP88" s="2" t="e">
        <f t="shared" ref="AP88:AQ88" si="481">1-NORMSDIST($AN88+AQ$31)</f>
        <v>#DIV/0!</v>
      </c>
      <c r="AQ88" s="2" t="e">
        <f t="shared" si="481"/>
        <v>#DIV/0!</v>
      </c>
      <c r="AS88" s="8" t="e">
        <f t="shared" si="327"/>
        <v>#DIV/0!</v>
      </c>
      <c r="AT88" s="2" t="e">
        <f t="shared" si="61"/>
        <v>#DIV/0!</v>
      </c>
      <c r="AU88" s="2" t="e">
        <f t="shared" si="111"/>
        <v>#DIV/0!</v>
      </c>
      <c r="AV88" s="2" t="e">
        <f t="shared" si="112"/>
        <v>#DIV/0!</v>
      </c>
      <c r="AY88" s="8" t="e">
        <f t="shared" si="328"/>
        <v>#DIV/0!</v>
      </c>
      <c r="AZ88" s="2" t="e">
        <f t="shared" si="63"/>
        <v>#DIV/0!</v>
      </c>
      <c r="BA88" s="2" t="e">
        <f t="shared" si="113"/>
        <v>#DIV/0!</v>
      </c>
      <c r="BB88" s="2" t="e">
        <f t="shared" si="114"/>
        <v>#DIV/0!</v>
      </c>
      <c r="BE88" s="8" t="e">
        <f t="shared" si="329"/>
        <v>#DIV/0!</v>
      </c>
      <c r="BF88" s="2" t="e">
        <f t="shared" si="65"/>
        <v>#DIV/0!</v>
      </c>
      <c r="BG88" s="2" t="e">
        <f t="shared" si="66"/>
        <v>#DIV/0!</v>
      </c>
      <c r="BH88" s="2" t="e">
        <f t="shared" si="67"/>
        <v>#DIV/0!</v>
      </c>
    </row>
    <row r="89" spans="1:60" x14ac:dyDescent="0.2">
      <c r="A89" s="2">
        <f t="shared" si="100"/>
        <v>4.4166666666666679</v>
      </c>
      <c r="B89" s="2">
        <f t="shared" si="41"/>
        <v>1.2074413323532861E-2</v>
      </c>
      <c r="C89" s="2">
        <f t="shared" si="195"/>
        <v>1.2074413323532861E-2</v>
      </c>
      <c r="D89" s="2">
        <f t="shared" si="195"/>
        <v>1.2074413323532861E-2</v>
      </c>
      <c r="E89" s="8">
        <f t="shared" si="43"/>
        <v>1.2074413323532861E-2</v>
      </c>
      <c r="F89" s="2">
        <f t="shared" ref="F89:G89" si="482">EXP(-(($A89*$F$31*G$31)^$E$31))</f>
        <v>1.2074413323532861E-2</v>
      </c>
      <c r="G89" s="2">
        <f t="shared" si="482"/>
        <v>1.2074413323532861E-2</v>
      </c>
      <c r="I89" s="8" t="e">
        <f t="shared" si="45"/>
        <v>#DIV/0!</v>
      </c>
      <c r="J89" s="2" t="e">
        <f t="shared" ref="J89:K89" si="483">EXP(-(($J$31*K$31)/$I$31)*(EXP($I$31*$A89)-1))</f>
        <v>#DIV/0!</v>
      </c>
      <c r="K89" s="2" t="e">
        <f t="shared" si="483"/>
        <v>#DIV/0!</v>
      </c>
      <c r="M89" s="8">
        <f t="shared" si="47"/>
        <v>6.8720898512798168E-2</v>
      </c>
      <c r="N89" s="2">
        <f t="shared" ref="N89:O89" si="484">1-_xlfn.NORM.S.DIST((LN($A89)-$M$31-O$31)/$N$31,TRUE)</f>
        <v>6.8720898512798168E-2</v>
      </c>
      <c r="O89" s="2">
        <f t="shared" si="484"/>
        <v>6.8720898512798168E-2</v>
      </c>
      <c r="Q89" s="8">
        <f t="shared" si="49"/>
        <v>0.18461538461538463</v>
      </c>
      <c r="R89" s="2">
        <f t="shared" ref="R89:S89" si="485">1-(1/(1+($A89/($R$31*S$31))^(-$Q$31)))</f>
        <v>0.18461538461538463</v>
      </c>
      <c r="S89" s="2">
        <f t="shared" si="485"/>
        <v>0.18461538461538463</v>
      </c>
      <c r="U89" s="8">
        <f t="shared" si="51"/>
        <v>1.2074413323532873E-2</v>
      </c>
      <c r="V89" s="2">
        <f t="shared" ref="V89" si="486">1-(_xlfn.GAMMA.DIST($V$31*W$31*$A89,$U$31,1,TRUE)*EXP(GAMMALN($U$31)))/EXP(GAMMALN($U$31))</f>
        <v>1.2074413323532873E-2</v>
      </c>
      <c r="W89" s="2">
        <f t="shared" si="31"/>
        <v>1.2074413323532873E-2</v>
      </c>
      <c r="Y89" s="8">
        <f t="shared" si="53"/>
        <v>6.8720898512798168E-2</v>
      </c>
      <c r="Z89" s="2">
        <f t="shared" si="106"/>
        <v>6.8720898512798168E-2</v>
      </c>
      <c r="AA89" s="2">
        <f t="shared" si="107"/>
        <v>6.8720898512798168E-2</v>
      </c>
      <c r="AD89" s="8" t="e">
        <f t="shared" si="321"/>
        <v>#DIV/0!</v>
      </c>
      <c r="AE89" s="2" t="e">
        <f t="shared" si="55"/>
        <v>#DIV/0!</v>
      </c>
      <c r="AF89" s="2" t="e">
        <f t="shared" ref="AF89:AG89" si="487">EXP(-EXP($AD89+AG$31))</f>
        <v>#DIV/0!</v>
      </c>
      <c r="AG89" s="2" t="e">
        <f t="shared" si="487"/>
        <v>#DIV/0!</v>
      </c>
      <c r="AI89" s="8" t="e">
        <f t="shared" si="323"/>
        <v>#DIV/0!</v>
      </c>
      <c r="AJ89" s="2" t="e">
        <f t="shared" si="57"/>
        <v>#DIV/0!</v>
      </c>
      <c r="AK89" s="2" t="e">
        <f t="shared" ref="AK89:AL89" si="488">1-(EXP($AI89+AL$31)/(1 + EXP($AI89+AL$31)))</f>
        <v>#DIV/0!</v>
      </c>
      <c r="AL89" s="2" t="e">
        <f t="shared" si="488"/>
        <v>#DIV/0!</v>
      </c>
      <c r="AN89" s="8" t="e">
        <f t="shared" si="325"/>
        <v>#DIV/0!</v>
      </c>
      <c r="AO89" s="2" t="e">
        <f t="shared" si="59"/>
        <v>#DIV/0!</v>
      </c>
      <c r="AP89" s="2" t="e">
        <f t="shared" ref="AP89:AQ89" si="489">1-NORMSDIST($AN89+AQ$31)</f>
        <v>#DIV/0!</v>
      </c>
      <c r="AQ89" s="2" t="e">
        <f t="shared" si="489"/>
        <v>#DIV/0!</v>
      </c>
      <c r="AS89" s="8" t="e">
        <f t="shared" si="327"/>
        <v>#DIV/0!</v>
      </c>
      <c r="AT89" s="2" t="e">
        <f t="shared" si="61"/>
        <v>#DIV/0!</v>
      </c>
      <c r="AU89" s="2" t="e">
        <f t="shared" si="111"/>
        <v>#DIV/0!</v>
      </c>
      <c r="AV89" s="2" t="e">
        <f t="shared" si="112"/>
        <v>#DIV/0!</v>
      </c>
      <c r="AY89" s="8" t="e">
        <f t="shared" si="328"/>
        <v>#DIV/0!</v>
      </c>
      <c r="AZ89" s="2" t="e">
        <f t="shared" si="63"/>
        <v>#DIV/0!</v>
      </c>
      <c r="BA89" s="2" t="e">
        <f t="shared" si="113"/>
        <v>#DIV/0!</v>
      </c>
      <c r="BB89" s="2" t="e">
        <f t="shared" si="114"/>
        <v>#DIV/0!</v>
      </c>
      <c r="BE89" s="8" t="e">
        <f t="shared" si="329"/>
        <v>#DIV/0!</v>
      </c>
      <c r="BF89" s="2" t="e">
        <f t="shared" si="65"/>
        <v>#DIV/0!</v>
      </c>
      <c r="BG89" s="2" t="e">
        <f t="shared" si="66"/>
        <v>#DIV/0!</v>
      </c>
      <c r="BH89" s="2" t="e">
        <f t="shared" si="67"/>
        <v>#DIV/0!</v>
      </c>
    </row>
    <row r="90" spans="1:60" x14ac:dyDescent="0.2">
      <c r="A90" s="2">
        <f t="shared" si="100"/>
        <v>4.5000000000000009</v>
      </c>
      <c r="B90" s="2">
        <f t="shared" si="41"/>
        <v>1.1108996538242297E-2</v>
      </c>
      <c r="C90" s="2">
        <f t="shared" si="195"/>
        <v>1.1108996538242297E-2</v>
      </c>
      <c r="D90" s="2">
        <f t="shared" si="195"/>
        <v>1.1108996538242297E-2</v>
      </c>
      <c r="E90" s="8">
        <f t="shared" si="43"/>
        <v>1.1108996538242297E-2</v>
      </c>
      <c r="F90" s="2">
        <f t="shared" ref="F90:G90" si="490">EXP(-(($A90*$F$31*G$31)^$E$31))</f>
        <v>1.1108996538242297E-2</v>
      </c>
      <c r="G90" s="2">
        <f t="shared" si="490"/>
        <v>1.1108996538242297E-2</v>
      </c>
      <c r="I90" s="8" t="e">
        <f t="shared" si="45"/>
        <v>#DIV/0!</v>
      </c>
      <c r="J90" s="2" t="e">
        <f t="shared" ref="J90:K90" si="491">EXP(-(($J$31*K$31)/$I$31)*(EXP($I$31*$A90)-1))</f>
        <v>#DIV/0!</v>
      </c>
      <c r="K90" s="2" t="e">
        <f t="shared" si="491"/>
        <v>#DIV/0!</v>
      </c>
      <c r="M90" s="8">
        <f t="shared" si="47"/>
        <v>6.6280719749549299E-2</v>
      </c>
      <c r="N90" s="2">
        <f t="shared" ref="N90:O90" si="492">1-_xlfn.NORM.S.DIST((LN($A90)-$M$31-O$31)/$N$31,TRUE)</f>
        <v>6.6280719749549299E-2</v>
      </c>
      <c r="O90" s="2">
        <f t="shared" si="492"/>
        <v>6.6280719749549299E-2</v>
      </c>
      <c r="Q90" s="8">
        <f t="shared" si="49"/>
        <v>0.18181818181818177</v>
      </c>
      <c r="R90" s="2">
        <f t="shared" ref="R90:S90" si="493">1-(1/(1+($A90/($R$31*S$31))^(-$Q$31)))</f>
        <v>0.18181818181818177</v>
      </c>
      <c r="S90" s="2">
        <f t="shared" si="493"/>
        <v>0.18181818181818177</v>
      </c>
      <c r="U90" s="8">
        <f t="shared" si="51"/>
        <v>1.1108996538242266E-2</v>
      </c>
      <c r="V90" s="2">
        <f t="shared" ref="V90" si="494">1-(_xlfn.GAMMA.DIST($V$31*W$31*$A90,$U$31,1,TRUE)*EXP(GAMMALN($U$31)))/EXP(GAMMALN($U$31))</f>
        <v>1.1108996538242266E-2</v>
      </c>
      <c r="W90" s="2">
        <f t="shared" si="31"/>
        <v>1.1108996538242266E-2</v>
      </c>
      <c r="Y90" s="8">
        <f t="shared" si="53"/>
        <v>6.6280719749549299E-2</v>
      </c>
      <c r="Z90" s="2">
        <f t="shared" si="106"/>
        <v>6.6280719749549299E-2</v>
      </c>
      <c r="AA90" s="2">
        <f t="shared" si="107"/>
        <v>6.6280719749549299E-2</v>
      </c>
      <c r="AD90" s="8" t="e">
        <f t="shared" si="321"/>
        <v>#DIV/0!</v>
      </c>
      <c r="AE90" s="2" t="e">
        <f t="shared" si="55"/>
        <v>#DIV/0!</v>
      </c>
      <c r="AF90" s="2" t="e">
        <f t="shared" ref="AF90:AG90" si="495">EXP(-EXP($AD90+AG$31))</f>
        <v>#DIV/0!</v>
      </c>
      <c r="AG90" s="2" t="e">
        <f t="shared" si="495"/>
        <v>#DIV/0!</v>
      </c>
      <c r="AI90" s="8" t="e">
        <f t="shared" si="323"/>
        <v>#DIV/0!</v>
      </c>
      <c r="AJ90" s="2" t="e">
        <f t="shared" si="57"/>
        <v>#DIV/0!</v>
      </c>
      <c r="AK90" s="2" t="e">
        <f t="shared" ref="AK90:AL90" si="496">1-(EXP($AI90+AL$31)/(1 + EXP($AI90+AL$31)))</f>
        <v>#DIV/0!</v>
      </c>
      <c r="AL90" s="2" t="e">
        <f t="shared" si="496"/>
        <v>#DIV/0!</v>
      </c>
      <c r="AN90" s="8" t="e">
        <f t="shared" si="325"/>
        <v>#DIV/0!</v>
      </c>
      <c r="AO90" s="2" t="e">
        <f t="shared" si="59"/>
        <v>#DIV/0!</v>
      </c>
      <c r="AP90" s="2" t="e">
        <f t="shared" ref="AP90:AQ90" si="497">1-NORMSDIST($AN90+AQ$31)</f>
        <v>#DIV/0!</v>
      </c>
      <c r="AQ90" s="2" t="e">
        <f t="shared" si="497"/>
        <v>#DIV/0!</v>
      </c>
      <c r="AS90" s="8" t="e">
        <f t="shared" si="327"/>
        <v>#DIV/0!</v>
      </c>
      <c r="AT90" s="2" t="e">
        <f t="shared" si="61"/>
        <v>#DIV/0!</v>
      </c>
      <c r="AU90" s="2" t="e">
        <f t="shared" si="111"/>
        <v>#DIV/0!</v>
      </c>
      <c r="AV90" s="2" t="e">
        <f t="shared" si="112"/>
        <v>#DIV/0!</v>
      </c>
      <c r="AY90" s="8" t="e">
        <f t="shared" si="328"/>
        <v>#DIV/0!</v>
      </c>
      <c r="AZ90" s="2" t="e">
        <f t="shared" si="63"/>
        <v>#DIV/0!</v>
      </c>
      <c r="BA90" s="2" t="e">
        <f t="shared" si="113"/>
        <v>#DIV/0!</v>
      </c>
      <c r="BB90" s="2" t="e">
        <f t="shared" si="114"/>
        <v>#DIV/0!</v>
      </c>
      <c r="BE90" s="8" t="e">
        <f t="shared" si="329"/>
        <v>#DIV/0!</v>
      </c>
      <c r="BF90" s="2" t="e">
        <f t="shared" si="65"/>
        <v>#DIV/0!</v>
      </c>
      <c r="BG90" s="2" t="e">
        <f t="shared" si="66"/>
        <v>#DIV/0!</v>
      </c>
      <c r="BH90" s="2" t="e">
        <f t="shared" si="67"/>
        <v>#DIV/0!</v>
      </c>
    </row>
    <row r="91" spans="1:60" x14ac:dyDescent="0.2">
      <c r="A91" s="2">
        <f t="shared" si="100"/>
        <v>4.5833333333333339</v>
      </c>
      <c r="B91" s="2">
        <f t="shared" si="41"/>
        <v>1.0220770217146315E-2</v>
      </c>
      <c r="C91" s="2">
        <f t="shared" si="195"/>
        <v>1.0220770217146315E-2</v>
      </c>
      <c r="D91" s="2">
        <f t="shared" si="195"/>
        <v>1.0220770217146315E-2</v>
      </c>
      <c r="E91" s="8">
        <f t="shared" si="43"/>
        <v>1.0220770217146315E-2</v>
      </c>
      <c r="F91" s="2">
        <f t="shared" ref="F91:G91" si="498">EXP(-(($A91*$F$31*G$31)^$E$31))</f>
        <v>1.0220770217146315E-2</v>
      </c>
      <c r="G91" s="2">
        <f t="shared" si="498"/>
        <v>1.0220770217146315E-2</v>
      </c>
      <c r="I91" s="8" t="e">
        <f t="shared" si="45"/>
        <v>#DIV/0!</v>
      </c>
      <c r="J91" s="2" t="e">
        <f t="shared" ref="J91:K91" si="499">EXP(-(($J$31*K$31)/$I$31)*(EXP($I$31*$A91)-1))</f>
        <v>#DIV/0!</v>
      </c>
      <c r="K91" s="2" t="e">
        <f t="shared" si="499"/>
        <v>#DIV/0!</v>
      </c>
      <c r="M91" s="8">
        <f t="shared" si="47"/>
        <v>6.3951120072597178E-2</v>
      </c>
      <c r="N91" s="2">
        <f t="shared" ref="N91:O91" si="500">1-_xlfn.NORM.S.DIST((LN($A91)-$M$31-O$31)/$N$31,TRUE)</f>
        <v>6.3951120072597178E-2</v>
      </c>
      <c r="O91" s="2">
        <f t="shared" si="500"/>
        <v>6.3951120072597178E-2</v>
      </c>
      <c r="Q91" s="8">
        <f t="shared" si="49"/>
        <v>0.17910447761194037</v>
      </c>
      <c r="R91" s="2">
        <f t="shared" ref="R91:S91" si="501">1-(1/(1+($A91/($R$31*S$31))^(-$Q$31)))</f>
        <v>0.17910447761194037</v>
      </c>
      <c r="S91" s="2">
        <f t="shared" si="501"/>
        <v>0.17910447761194037</v>
      </c>
      <c r="U91" s="8">
        <f t="shared" si="51"/>
        <v>1.0220770217146291E-2</v>
      </c>
      <c r="V91" s="2">
        <f t="shared" ref="V91" si="502">1-(_xlfn.GAMMA.DIST($V$31*W$31*$A91,$U$31,1,TRUE)*EXP(GAMMALN($U$31)))/EXP(GAMMALN($U$31))</f>
        <v>1.0220770217146291E-2</v>
      </c>
      <c r="W91" s="2">
        <f t="shared" si="31"/>
        <v>1.0220770217146291E-2</v>
      </c>
      <c r="Y91" s="8">
        <f t="shared" si="53"/>
        <v>6.3951120072597178E-2</v>
      </c>
      <c r="Z91" s="2">
        <f t="shared" si="106"/>
        <v>6.3951120072597178E-2</v>
      </c>
      <c r="AA91" s="2">
        <f t="shared" si="107"/>
        <v>6.3951120072597178E-2</v>
      </c>
      <c r="AD91" s="8" t="e">
        <f t="shared" si="321"/>
        <v>#DIV/0!</v>
      </c>
      <c r="AE91" s="2" t="e">
        <f t="shared" si="55"/>
        <v>#DIV/0!</v>
      </c>
      <c r="AF91" s="2" t="e">
        <f t="shared" ref="AF91:AG91" si="503">EXP(-EXP($AD91+AG$31))</f>
        <v>#DIV/0!</v>
      </c>
      <c r="AG91" s="2" t="e">
        <f t="shared" si="503"/>
        <v>#DIV/0!</v>
      </c>
      <c r="AI91" s="8" t="e">
        <f t="shared" si="323"/>
        <v>#DIV/0!</v>
      </c>
      <c r="AJ91" s="2" t="e">
        <f t="shared" si="57"/>
        <v>#DIV/0!</v>
      </c>
      <c r="AK91" s="2" t="e">
        <f t="shared" ref="AK91:AL91" si="504">1-(EXP($AI91+AL$31)/(1 + EXP($AI91+AL$31)))</f>
        <v>#DIV/0!</v>
      </c>
      <c r="AL91" s="2" t="e">
        <f t="shared" si="504"/>
        <v>#DIV/0!</v>
      </c>
      <c r="AN91" s="8" t="e">
        <f t="shared" si="325"/>
        <v>#DIV/0!</v>
      </c>
      <c r="AO91" s="2" t="e">
        <f t="shared" si="59"/>
        <v>#DIV/0!</v>
      </c>
      <c r="AP91" s="2" t="e">
        <f t="shared" ref="AP91:AQ91" si="505">1-NORMSDIST($AN91+AQ$31)</f>
        <v>#DIV/0!</v>
      </c>
      <c r="AQ91" s="2" t="e">
        <f t="shared" si="505"/>
        <v>#DIV/0!</v>
      </c>
      <c r="AS91" s="8" t="e">
        <f t="shared" si="327"/>
        <v>#DIV/0!</v>
      </c>
      <c r="AT91" s="2" t="e">
        <f t="shared" si="61"/>
        <v>#DIV/0!</v>
      </c>
      <c r="AU91" s="2" t="e">
        <f t="shared" si="111"/>
        <v>#DIV/0!</v>
      </c>
      <c r="AV91" s="2" t="e">
        <f t="shared" si="112"/>
        <v>#DIV/0!</v>
      </c>
      <c r="AY91" s="8" t="e">
        <f t="shared" si="328"/>
        <v>#DIV/0!</v>
      </c>
      <c r="AZ91" s="2" t="e">
        <f t="shared" si="63"/>
        <v>#DIV/0!</v>
      </c>
      <c r="BA91" s="2" t="e">
        <f t="shared" si="113"/>
        <v>#DIV/0!</v>
      </c>
      <c r="BB91" s="2" t="e">
        <f t="shared" si="114"/>
        <v>#DIV/0!</v>
      </c>
      <c r="BE91" s="8" t="e">
        <f t="shared" si="329"/>
        <v>#DIV/0!</v>
      </c>
      <c r="BF91" s="2" t="e">
        <f t="shared" si="65"/>
        <v>#DIV/0!</v>
      </c>
      <c r="BG91" s="2" t="e">
        <f t="shared" si="66"/>
        <v>#DIV/0!</v>
      </c>
      <c r="BH91" s="2" t="e">
        <f t="shared" si="67"/>
        <v>#DIV/0!</v>
      </c>
    </row>
    <row r="92" spans="1:60" x14ac:dyDescent="0.2">
      <c r="A92" s="2">
        <f t="shared" si="100"/>
        <v>4.666666666666667</v>
      </c>
      <c r="B92" s="2">
        <f t="shared" si="41"/>
        <v>9.4035625514952061E-3</v>
      </c>
      <c r="C92" s="2">
        <f t="shared" si="195"/>
        <v>9.4035625514952061E-3</v>
      </c>
      <c r="D92" s="2">
        <f t="shared" si="195"/>
        <v>9.4035625514952061E-3</v>
      </c>
      <c r="E92" s="8">
        <f t="shared" si="43"/>
        <v>9.4035625514952061E-3</v>
      </c>
      <c r="F92" s="2">
        <f t="shared" ref="F92:G92" si="506">EXP(-(($A92*$F$31*G$31)^$E$31))</f>
        <v>9.4035625514952061E-3</v>
      </c>
      <c r="G92" s="2">
        <f t="shared" si="506"/>
        <v>9.4035625514952061E-3</v>
      </c>
      <c r="I92" s="8" t="e">
        <f t="shared" si="45"/>
        <v>#DIV/0!</v>
      </c>
      <c r="J92" s="2" t="e">
        <f t="shared" ref="J92:K92" si="507">EXP(-(($J$31*K$31)/$I$31)*(EXP($I$31*$A92)-1))</f>
        <v>#DIV/0!</v>
      </c>
      <c r="K92" s="2" t="e">
        <f t="shared" si="507"/>
        <v>#DIV/0!</v>
      </c>
      <c r="M92" s="8">
        <f t="shared" si="47"/>
        <v>6.1725954802054339E-2</v>
      </c>
      <c r="N92" s="2">
        <f t="shared" ref="N92:O92" si="508">1-_xlfn.NORM.S.DIST((LN($A92)-$M$31-O$31)/$N$31,TRUE)</f>
        <v>6.1725954802054339E-2</v>
      </c>
      <c r="O92" s="2">
        <f t="shared" si="508"/>
        <v>6.1725954802054339E-2</v>
      </c>
      <c r="Q92" s="8">
        <f t="shared" si="49"/>
        <v>0.17647058823529405</v>
      </c>
      <c r="R92" s="2">
        <f t="shared" ref="R92:S92" si="509">1-(1/(1+($A92/($R$31*S$31))^(-$Q$31)))</f>
        <v>0.17647058823529405</v>
      </c>
      <c r="S92" s="2">
        <f t="shared" si="509"/>
        <v>0.17647058823529405</v>
      </c>
      <c r="U92" s="8">
        <f t="shared" si="51"/>
        <v>9.4035625514952148E-3</v>
      </c>
      <c r="V92" s="2">
        <f t="shared" ref="V92" si="510">1-(_xlfn.GAMMA.DIST($V$31*W$31*$A92,$U$31,1,TRUE)*EXP(GAMMALN($U$31)))/EXP(GAMMALN($U$31))</f>
        <v>9.4035625514952148E-3</v>
      </c>
      <c r="W92" s="2">
        <f t="shared" si="31"/>
        <v>9.4035625514952148E-3</v>
      </c>
      <c r="Y92" s="8">
        <f t="shared" si="53"/>
        <v>6.1725954802054339E-2</v>
      </c>
      <c r="Z92" s="2">
        <f t="shared" si="106"/>
        <v>6.1725954802054339E-2</v>
      </c>
      <c r="AA92" s="2">
        <f t="shared" si="107"/>
        <v>6.1725954802054339E-2</v>
      </c>
      <c r="AD92" s="8" t="e">
        <f t="shared" si="321"/>
        <v>#DIV/0!</v>
      </c>
      <c r="AE92" s="2" t="e">
        <f t="shared" si="55"/>
        <v>#DIV/0!</v>
      </c>
      <c r="AF92" s="2" t="e">
        <f t="shared" ref="AF92:AG92" si="511">EXP(-EXP($AD92+AG$31))</f>
        <v>#DIV/0!</v>
      </c>
      <c r="AG92" s="2" t="e">
        <f t="shared" si="511"/>
        <v>#DIV/0!</v>
      </c>
      <c r="AI92" s="8" t="e">
        <f t="shared" si="323"/>
        <v>#DIV/0!</v>
      </c>
      <c r="AJ92" s="2" t="e">
        <f t="shared" si="57"/>
        <v>#DIV/0!</v>
      </c>
      <c r="AK92" s="2" t="e">
        <f t="shared" ref="AK92:AL92" si="512">1-(EXP($AI92+AL$31)/(1 + EXP($AI92+AL$31)))</f>
        <v>#DIV/0!</v>
      </c>
      <c r="AL92" s="2" t="e">
        <f t="shared" si="512"/>
        <v>#DIV/0!</v>
      </c>
      <c r="AN92" s="8" t="e">
        <f t="shared" si="325"/>
        <v>#DIV/0!</v>
      </c>
      <c r="AO92" s="2" t="e">
        <f t="shared" si="59"/>
        <v>#DIV/0!</v>
      </c>
      <c r="AP92" s="2" t="e">
        <f t="shared" ref="AP92:AQ92" si="513">1-NORMSDIST($AN92+AQ$31)</f>
        <v>#DIV/0!</v>
      </c>
      <c r="AQ92" s="2" t="e">
        <f t="shared" si="513"/>
        <v>#DIV/0!</v>
      </c>
      <c r="AS92" s="8" t="e">
        <f t="shared" si="327"/>
        <v>#DIV/0!</v>
      </c>
      <c r="AT92" s="2" t="e">
        <f t="shared" si="61"/>
        <v>#DIV/0!</v>
      </c>
      <c r="AU92" s="2" t="e">
        <f t="shared" si="111"/>
        <v>#DIV/0!</v>
      </c>
      <c r="AV92" s="2" t="e">
        <f t="shared" si="112"/>
        <v>#DIV/0!</v>
      </c>
      <c r="AY92" s="8" t="e">
        <f t="shared" si="328"/>
        <v>#DIV/0!</v>
      </c>
      <c r="AZ92" s="2" t="e">
        <f t="shared" si="63"/>
        <v>#DIV/0!</v>
      </c>
      <c r="BA92" s="2" t="e">
        <f t="shared" si="113"/>
        <v>#DIV/0!</v>
      </c>
      <c r="BB92" s="2" t="e">
        <f t="shared" si="114"/>
        <v>#DIV/0!</v>
      </c>
      <c r="BE92" s="8" t="e">
        <f t="shared" si="329"/>
        <v>#DIV/0!</v>
      </c>
      <c r="BF92" s="2" t="e">
        <f t="shared" si="65"/>
        <v>#DIV/0!</v>
      </c>
      <c r="BG92" s="2" t="e">
        <f t="shared" si="66"/>
        <v>#DIV/0!</v>
      </c>
      <c r="BH92" s="2" t="e">
        <f t="shared" si="67"/>
        <v>#DIV/0!</v>
      </c>
    </row>
    <row r="93" spans="1:60" x14ac:dyDescent="0.2">
      <c r="A93" s="2">
        <f t="shared" si="100"/>
        <v>4.75</v>
      </c>
      <c r="B93" s="2">
        <f t="shared" si="41"/>
        <v>8.6516952031206341E-3</v>
      </c>
      <c r="C93" s="2">
        <f t="shared" si="195"/>
        <v>8.6516952031206341E-3</v>
      </c>
      <c r="D93" s="2">
        <f t="shared" si="195"/>
        <v>8.6516952031206341E-3</v>
      </c>
      <c r="E93" s="8">
        <f t="shared" si="43"/>
        <v>8.6516952031206341E-3</v>
      </c>
      <c r="F93" s="2">
        <f t="shared" ref="F93:G93" si="514">EXP(-(($A93*$F$31*G$31)^$E$31))</f>
        <v>8.6516952031206341E-3</v>
      </c>
      <c r="G93" s="2">
        <f t="shared" si="514"/>
        <v>8.6516952031206341E-3</v>
      </c>
      <c r="I93" s="8" t="e">
        <f t="shared" si="45"/>
        <v>#DIV/0!</v>
      </c>
      <c r="J93" s="2" t="e">
        <f t="shared" ref="J93:K93" si="515">EXP(-(($J$31*K$31)/$I$31)*(EXP($I$31*$A93)-1))</f>
        <v>#DIV/0!</v>
      </c>
      <c r="K93" s="2" t="e">
        <f t="shared" si="515"/>
        <v>#DIV/0!</v>
      </c>
      <c r="M93" s="8">
        <f t="shared" si="47"/>
        <v>5.9599484952713833E-2</v>
      </c>
      <c r="N93" s="2">
        <f t="shared" ref="N93:O93" si="516">1-_xlfn.NORM.S.DIST((LN($A93)-$M$31-O$31)/$N$31,TRUE)</f>
        <v>5.9599484952713833E-2</v>
      </c>
      <c r="O93" s="2">
        <f t="shared" si="516"/>
        <v>5.9599484952713833E-2</v>
      </c>
      <c r="Q93" s="8">
        <f t="shared" si="49"/>
        <v>0.17391304347826086</v>
      </c>
      <c r="R93" s="2">
        <f t="shared" ref="R93:S93" si="517">1-(1/(1+($A93/($R$31*S$31))^(-$Q$31)))</f>
        <v>0.17391304347826086</v>
      </c>
      <c r="S93" s="2">
        <f t="shared" si="517"/>
        <v>0.17391304347826086</v>
      </c>
      <c r="U93" s="8">
        <f t="shared" si="51"/>
        <v>8.6516952031205907E-3</v>
      </c>
      <c r="V93" s="2">
        <f t="shared" ref="V93" si="518">1-(_xlfn.GAMMA.DIST($V$31*W$31*$A93,$U$31,1,TRUE)*EXP(GAMMALN($U$31)))/EXP(GAMMALN($U$31))</f>
        <v>8.6516952031205907E-3</v>
      </c>
      <c r="W93" s="2">
        <f t="shared" si="31"/>
        <v>8.6516952031205907E-3</v>
      </c>
      <c r="Y93" s="8">
        <f t="shared" si="53"/>
        <v>5.9599484952713833E-2</v>
      </c>
      <c r="Z93" s="2">
        <f t="shared" si="106"/>
        <v>5.9599484952713833E-2</v>
      </c>
      <c r="AA93" s="2">
        <f t="shared" si="107"/>
        <v>5.9599484952713833E-2</v>
      </c>
      <c r="AD93" s="8" t="e">
        <f t="shared" si="321"/>
        <v>#DIV/0!</v>
      </c>
      <c r="AE93" s="2" t="e">
        <f t="shared" si="55"/>
        <v>#DIV/0!</v>
      </c>
      <c r="AF93" s="2" t="e">
        <f t="shared" ref="AF93:AG93" si="519">EXP(-EXP($AD93+AG$31))</f>
        <v>#DIV/0!</v>
      </c>
      <c r="AG93" s="2" t="e">
        <f t="shared" si="519"/>
        <v>#DIV/0!</v>
      </c>
      <c r="AI93" s="8" t="e">
        <f t="shared" si="323"/>
        <v>#DIV/0!</v>
      </c>
      <c r="AJ93" s="2" t="e">
        <f t="shared" si="57"/>
        <v>#DIV/0!</v>
      </c>
      <c r="AK93" s="2" t="e">
        <f t="shared" ref="AK93:AL93" si="520">1-(EXP($AI93+AL$31)/(1 + EXP($AI93+AL$31)))</f>
        <v>#DIV/0!</v>
      </c>
      <c r="AL93" s="2" t="e">
        <f t="shared" si="520"/>
        <v>#DIV/0!</v>
      </c>
      <c r="AN93" s="8" t="e">
        <f t="shared" si="325"/>
        <v>#DIV/0!</v>
      </c>
      <c r="AO93" s="2" t="e">
        <f t="shared" si="59"/>
        <v>#DIV/0!</v>
      </c>
      <c r="AP93" s="2" t="e">
        <f t="shared" ref="AP93:AQ93" si="521">1-NORMSDIST($AN93+AQ$31)</f>
        <v>#DIV/0!</v>
      </c>
      <c r="AQ93" s="2" t="e">
        <f t="shared" si="521"/>
        <v>#DIV/0!</v>
      </c>
      <c r="AS93" s="8" t="e">
        <f t="shared" si="327"/>
        <v>#DIV/0!</v>
      </c>
      <c r="AT93" s="2" t="e">
        <f t="shared" si="61"/>
        <v>#DIV/0!</v>
      </c>
      <c r="AU93" s="2" t="e">
        <f t="shared" si="111"/>
        <v>#DIV/0!</v>
      </c>
      <c r="AV93" s="2" t="e">
        <f t="shared" si="112"/>
        <v>#DIV/0!</v>
      </c>
      <c r="AY93" s="8" t="e">
        <f t="shared" si="328"/>
        <v>#DIV/0!</v>
      </c>
      <c r="AZ93" s="2" t="e">
        <f t="shared" si="63"/>
        <v>#DIV/0!</v>
      </c>
      <c r="BA93" s="2" t="e">
        <f t="shared" si="113"/>
        <v>#DIV/0!</v>
      </c>
      <c r="BB93" s="2" t="e">
        <f t="shared" si="114"/>
        <v>#DIV/0!</v>
      </c>
      <c r="BE93" s="8" t="e">
        <f t="shared" si="329"/>
        <v>#DIV/0!</v>
      </c>
      <c r="BF93" s="2" t="e">
        <f t="shared" si="65"/>
        <v>#DIV/0!</v>
      </c>
      <c r="BG93" s="2" t="e">
        <f t="shared" si="66"/>
        <v>#DIV/0!</v>
      </c>
      <c r="BH93" s="2" t="e">
        <f t="shared" si="67"/>
        <v>#DIV/0!</v>
      </c>
    </row>
    <row r="94" spans="1:60" x14ac:dyDescent="0.2">
      <c r="A94" s="2">
        <f t="shared" si="100"/>
        <v>4.833333333333333</v>
      </c>
      <c r="B94" s="2">
        <f t="shared" si="41"/>
        <v>7.9599438487064494E-3</v>
      </c>
      <c r="C94" s="2">
        <f t="shared" si="195"/>
        <v>7.9599438487064494E-3</v>
      </c>
      <c r="D94" s="2">
        <f t="shared" si="195"/>
        <v>7.9599438487064494E-3</v>
      </c>
      <c r="E94" s="8">
        <f t="shared" si="43"/>
        <v>7.9599438487064494E-3</v>
      </c>
      <c r="F94" s="2">
        <f t="shared" ref="F94:G94" si="522">EXP(-(($A94*$F$31*G$31)^$E$31))</f>
        <v>7.9599438487064494E-3</v>
      </c>
      <c r="G94" s="2">
        <f t="shared" si="522"/>
        <v>7.9599438487064494E-3</v>
      </c>
      <c r="I94" s="8" t="e">
        <f t="shared" si="45"/>
        <v>#DIV/0!</v>
      </c>
      <c r="J94" s="2" t="e">
        <f t="shared" ref="J94:K94" si="523">EXP(-(($J$31*K$31)/$I$31)*(EXP($I$31*$A94)-1))</f>
        <v>#DIV/0!</v>
      </c>
      <c r="K94" s="2" t="e">
        <f t="shared" si="523"/>
        <v>#DIV/0!</v>
      </c>
      <c r="M94" s="8">
        <f t="shared" si="47"/>
        <v>5.7566346203538954E-2</v>
      </c>
      <c r="N94" s="2">
        <f t="shared" ref="N94:O94" si="524">1-_xlfn.NORM.S.DIST((LN($A94)-$M$31-O$31)/$N$31,TRUE)</f>
        <v>5.7566346203538954E-2</v>
      </c>
      <c r="O94" s="2">
        <f t="shared" si="524"/>
        <v>5.7566346203538954E-2</v>
      </c>
      <c r="Q94" s="8">
        <f t="shared" si="49"/>
        <v>0.17142857142857137</v>
      </c>
      <c r="R94" s="2">
        <f t="shared" ref="R94:S94" si="525">1-(1/(1+($A94/($R$31*S$31))^(-$Q$31)))</f>
        <v>0.17142857142857137</v>
      </c>
      <c r="S94" s="2">
        <f t="shared" si="525"/>
        <v>0.17142857142857137</v>
      </c>
      <c r="U94" s="8">
        <f t="shared" si="51"/>
        <v>7.9599438487064633E-3</v>
      </c>
      <c r="V94" s="2">
        <f t="shared" ref="V94" si="526">1-(_xlfn.GAMMA.DIST($V$31*W$31*$A94,$U$31,1,TRUE)*EXP(GAMMALN($U$31)))/EXP(GAMMALN($U$31))</f>
        <v>7.9599438487064633E-3</v>
      </c>
      <c r="W94" s="2">
        <f t="shared" si="31"/>
        <v>7.9599438487064633E-3</v>
      </c>
      <c r="Y94" s="8">
        <f t="shared" si="53"/>
        <v>5.7566346203538954E-2</v>
      </c>
      <c r="Z94" s="2">
        <f t="shared" si="106"/>
        <v>5.7566346203538954E-2</v>
      </c>
      <c r="AA94" s="2">
        <f t="shared" si="107"/>
        <v>5.7566346203538954E-2</v>
      </c>
      <c r="AD94" s="8" t="e">
        <f t="shared" si="321"/>
        <v>#DIV/0!</v>
      </c>
      <c r="AE94" s="2" t="e">
        <f t="shared" si="55"/>
        <v>#DIV/0!</v>
      </c>
      <c r="AF94" s="2" t="e">
        <f t="shared" ref="AF94:AG94" si="527">EXP(-EXP($AD94+AG$31))</f>
        <v>#DIV/0!</v>
      </c>
      <c r="AG94" s="2" t="e">
        <f t="shared" si="527"/>
        <v>#DIV/0!</v>
      </c>
      <c r="AI94" s="8" t="e">
        <f t="shared" si="323"/>
        <v>#DIV/0!</v>
      </c>
      <c r="AJ94" s="2" t="e">
        <f t="shared" si="57"/>
        <v>#DIV/0!</v>
      </c>
      <c r="AK94" s="2" t="e">
        <f t="shared" ref="AK94:AL94" si="528">1-(EXP($AI94+AL$31)/(1 + EXP($AI94+AL$31)))</f>
        <v>#DIV/0!</v>
      </c>
      <c r="AL94" s="2" t="e">
        <f t="shared" si="528"/>
        <v>#DIV/0!</v>
      </c>
      <c r="AN94" s="8" t="e">
        <f t="shared" si="325"/>
        <v>#DIV/0!</v>
      </c>
      <c r="AO94" s="2" t="e">
        <f t="shared" si="59"/>
        <v>#DIV/0!</v>
      </c>
      <c r="AP94" s="2" t="e">
        <f t="shared" ref="AP94:AQ94" si="529">1-NORMSDIST($AN94+AQ$31)</f>
        <v>#DIV/0!</v>
      </c>
      <c r="AQ94" s="2" t="e">
        <f t="shared" si="529"/>
        <v>#DIV/0!</v>
      </c>
      <c r="AS94" s="8" t="e">
        <f t="shared" si="327"/>
        <v>#DIV/0!</v>
      </c>
      <c r="AT94" s="2" t="e">
        <f t="shared" si="61"/>
        <v>#DIV/0!</v>
      </c>
      <c r="AU94" s="2" t="e">
        <f t="shared" si="111"/>
        <v>#DIV/0!</v>
      </c>
      <c r="AV94" s="2" t="e">
        <f t="shared" si="112"/>
        <v>#DIV/0!</v>
      </c>
      <c r="AY94" s="8" t="e">
        <f t="shared" si="328"/>
        <v>#DIV/0!</v>
      </c>
      <c r="AZ94" s="2" t="e">
        <f t="shared" si="63"/>
        <v>#DIV/0!</v>
      </c>
      <c r="BA94" s="2" t="e">
        <f t="shared" si="113"/>
        <v>#DIV/0!</v>
      </c>
      <c r="BB94" s="2" t="e">
        <f t="shared" si="114"/>
        <v>#DIV/0!</v>
      </c>
      <c r="BE94" s="8" t="e">
        <f t="shared" si="329"/>
        <v>#DIV/0!</v>
      </c>
      <c r="BF94" s="2" t="e">
        <f t="shared" si="65"/>
        <v>#DIV/0!</v>
      </c>
      <c r="BG94" s="2" t="e">
        <f t="shared" si="66"/>
        <v>#DIV/0!</v>
      </c>
      <c r="BH94" s="2" t="e">
        <f t="shared" si="67"/>
        <v>#DIV/0!</v>
      </c>
    </row>
    <row r="95" spans="1:60" x14ac:dyDescent="0.2">
      <c r="A95" s="2">
        <f t="shared" si="100"/>
        <v>4.9166666666666661</v>
      </c>
      <c r="B95" s="2">
        <f t="shared" si="41"/>
        <v>7.3235018787654108E-3</v>
      </c>
      <c r="C95" s="2">
        <f t="shared" si="195"/>
        <v>7.3235018787654108E-3</v>
      </c>
      <c r="D95" s="2">
        <f t="shared" si="195"/>
        <v>7.3235018787654108E-3</v>
      </c>
      <c r="E95" s="8">
        <f t="shared" si="43"/>
        <v>7.3235018787654108E-3</v>
      </c>
      <c r="F95" s="2">
        <f t="shared" ref="F95:G95" si="530">EXP(-(($A95*$F$31*G$31)^$E$31))</f>
        <v>7.3235018787654108E-3</v>
      </c>
      <c r="G95" s="2">
        <f t="shared" si="530"/>
        <v>7.3235018787654108E-3</v>
      </c>
      <c r="I95" s="8" t="e">
        <f t="shared" si="45"/>
        <v>#DIV/0!</v>
      </c>
      <c r="J95" s="2" t="e">
        <f t="shared" ref="J95:K95" si="531">EXP(-(($J$31*K$31)/$I$31)*(EXP($I$31*$A95)-1))</f>
        <v>#DIV/0!</v>
      </c>
      <c r="K95" s="2" t="e">
        <f t="shared" si="531"/>
        <v>#DIV/0!</v>
      </c>
      <c r="M95" s="8">
        <f t="shared" si="47"/>
        <v>5.5621520560444115E-2</v>
      </c>
      <c r="N95" s="2">
        <f t="shared" ref="N95:O95" si="532">1-_xlfn.NORM.S.DIST((LN($A95)-$M$31-O$31)/$N$31,TRUE)</f>
        <v>5.5621520560444115E-2</v>
      </c>
      <c r="O95" s="2">
        <f t="shared" si="532"/>
        <v>5.5621520560444115E-2</v>
      </c>
      <c r="Q95" s="8">
        <f t="shared" si="49"/>
        <v>0.16901408450704214</v>
      </c>
      <c r="R95" s="2">
        <f t="shared" ref="R95:S95" si="533">1-(1/(1+($A95/($R$31*S$31))^(-$Q$31)))</f>
        <v>0.16901408450704214</v>
      </c>
      <c r="S95" s="2">
        <f t="shared" si="533"/>
        <v>0.16901408450704214</v>
      </c>
      <c r="U95" s="8">
        <f t="shared" si="51"/>
        <v>7.3235018787654038E-3</v>
      </c>
      <c r="V95" s="2">
        <f t="shared" ref="V95" si="534">1-(_xlfn.GAMMA.DIST($V$31*W$31*$A95,$U$31,1,TRUE)*EXP(GAMMALN($U$31)))/EXP(GAMMALN($U$31))</f>
        <v>7.3235018787654038E-3</v>
      </c>
      <c r="W95" s="2">
        <f t="shared" si="31"/>
        <v>7.3235018787654038E-3</v>
      </c>
      <c r="Y95" s="8">
        <f t="shared" si="53"/>
        <v>5.5621520560444115E-2</v>
      </c>
      <c r="Z95" s="2">
        <f t="shared" si="106"/>
        <v>5.5621520560444115E-2</v>
      </c>
      <c r="AA95" s="2">
        <f t="shared" si="107"/>
        <v>5.5621520560444115E-2</v>
      </c>
      <c r="AD95" s="8" t="e">
        <f t="shared" si="321"/>
        <v>#DIV/0!</v>
      </c>
      <c r="AE95" s="2" t="e">
        <f t="shared" si="55"/>
        <v>#DIV/0!</v>
      </c>
      <c r="AF95" s="2" t="e">
        <f t="shared" ref="AF95:AG95" si="535">EXP(-EXP($AD95+AG$31))</f>
        <v>#DIV/0!</v>
      </c>
      <c r="AG95" s="2" t="e">
        <f t="shared" si="535"/>
        <v>#DIV/0!</v>
      </c>
      <c r="AI95" s="8" t="e">
        <f t="shared" si="323"/>
        <v>#DIV/0!</v>
      </c>
      <c r="AJ95" s="2" t="e">
        <f t="shared" si="57"/>
        <v>#DIV/0!</v>
      </c>
      <c r="AK95" s="2" t="e">
        <f t="shared" ref="AK95:AL95" si="536">1-(EXP($AI95+AL$31)/(1 + EXP($AI95+AL$31)))</f>
        <v>#DIV/0!</v>
      </c>
      <c r="AL95" s="2" t="e">
        <f t="shared" si="536"/>
        <v>#DIV/0!</v>
      </c>
      <c r="AN95" s="8" t="e">
        <f t="shared" si="325"/>
        <v>#DIV/0!</v>
      </c>
      <c r="AO95" s="2" t="e">
        <f t="shared" si="59"/>
        <v>#DIV/0!</v>
      </c>
      <c r="AP95" s="2" t="e">
        <f t="shared" ref="AP95:AQ95" si="537">1-NORMSDIST($AN95+AQ$31)</f>
        <v>#DIV/0!</v>
      </c>
      <c r="AQ95" s="2" t="e">
        <f t="shared" si="537"/>
        <v>#DIV/0!</v>
      </c>
      <c r="AS95" s="8" t="e">
        <f t="shared" si="327"/>
        <v>#DIV/0!</v>
      </c>
      <c r="AT95" s="2" t="e">
        <f t="shared" si="61"/>
        <v>#DIV/0!</v>
      </c>
      <c r="AU95" s="2" t="e">
        <f t="shared" si="111"/>
        <v>#DIV/0!</v>
      </c>
      <c r="AV95" s="2" t="e">
        <f t="shared" si="112"/>
        <v>#DIV/0!</v>
      </c>
      <c r="AY95" s="8" t="e">
        <f t="shared" si="328"/>
        <v>#DIV/0!</v>
      </c>
      <c r="AZ95" s="2" t="e">
        <f t="shared" si="63"/>
        <v>#DIV/0!</v>
      </c>
      <c r="BA95" s="2" t="e">
        <f t="shared" si="113"/>
        <v>#DIV/0!</v>
      </c>
      <c r="BB95" s="2" t="e">
        <f t="shared" si="114"/>
        <v>#DIV/0!</v>
      </c>
      <c r="BE95" s="8" t="e">
        <f t="shared" si="329"/>
        <v>#DIV/0!</v>
      </c>
      <c r="BF95" s="2" t="e">
        <f t="shared" si="65"/>
        <v>#DIV/0!</v>
      </c>
      <c r="BG95" s="2" t="e">
        <f t="shared" si="66"/>
        <v>#DIV/0!</v>
      </c>
      <c r="BH95" s="2" t="e">
        <f t="shared" si="67"/>
        <v>#DIV/0!</v>
      </c>
    </row>
    <row r="96" spans="1:60" x14ac:dyDescent="0.2">
      <c r="A96" s="2">
        <f t="shared" si="100"/>
        <v>4.9999999999999991</v>
      </c>
      <c r="B96" s="2">
        <f t="shared" si="41"/>
        <v>6.7379469990854731E-3</v>
      </c>
      <c r="C96" s="2">
        <f t="shared" si="195"/>
        <v>6.7379469990854731E-3</v>
      </c>
      <c r="D96" s="2">
        <f t="shared" si="195"/>
        <v>6.7379469990854731E-3</v>
      </c>
      <c r="E96" s="8">
        <f t="shared" si="43"/>
        <v>6.7379469990854731E-3</v>
      </c>
      <c r="F96" s="2">
        <f t="shared" ref="F96:G96" si="538">EXP(-(($A96*$F$31*G$31)^$E$31))</f>
        <v>6.7379469990854731E-3</v>
      </c>
      <c r="G96" s="2">
        <f t="shared" si="538"/>
        <v>6.7379469990854731E-3</v>
      </c>
      <c r="I96" s="8" t="e">
        <f t="shared" si="45"/>
        <v>#DIV/0!</v>
      </c>
      <c r="J96" s="2" t="e">
        <f t="shared" ref="J96:K96" si="539">EXP(-(($J$31*K$31)/$I$31)*(EXP($I$31*$A96)-1))</f>
        <v>#DIV/0!</v>
      </c>
      <c r="K96" s="2" t="e">
        <f t="shared" si="539"/>
        <v>#DIV/0!</v>
      </c>
      <c r="M96" s="8">
        <f t="shared" si="47"/>
        <v>5.3760310451663185E-2</v>
      </c>
      <c r="N96" s="2">
        <f t="shared" ref="N96:O96" si="540">1-_xlfn.NORM.S.DIST((LN($A96)-$M$31-O$31)/$N$31,TRUE)</f>
        <v>5.3760310451663185E-2</v>
      </c>
      <c r="O96" s="2">
        <f t="shared" si="540"/>
        <v>5.3760310451663185E-2</v>
      </c>
      <c r="Q96" s="8">
        <f t="shared" si="49"/>
        <v>0.16666666666666663</v>
      </c>
      <c r="R96" s="2">
        <f t="shared" ref="R96:S96" si="541">1-(1/(1+($A96/($R$31*S$31))^(-$Q$31)))</f>
        <v>0.16666666666666663</v>
      </c>
      <c r="S96" s="2">
        <f t="shared" si="541"/>
        <v>0.16666666666666663</v>
      </c>
      <c r="U96" s="8">
        <f t="shared" si="51"/>
        <v>6.7379469990854757E-3</v>
      </c>
      <c r="V96" s="2">
        <f t="shared" ref="V96" si="542">1-(_xlfn.GAMMA.DIST($V$31*W$31*$A96,$U$31,1,TRUE)*EXP(GAMMALN($U$31)))/EXP(GAMMALN($U$31))</f>
        <v>6.7379469990854757E-3</v>
      </c>
      <c r="W96" s="2">
        <f t="shared" si="31"/>
        <v>6.7379469990854757E-3</v>
      </c>
      <c r="Y96" s="8">
        <f t="shared" si="53"/>
        <v>5.3760310451663185E-2</v>
      </c>
      <c r="Z96" s="2">
        <f t="shared" si="106"/>
        <v>5.3760310451663185E-2</v>
      </c>
      <c r="AA96" s="2">
        <f t="shared" si="107"/>
        <v>5.3760310451663185E-2</v>
      </c>
      <c r="AD96" s="8" t="e">
        <f t="shared" si="321"/>
        <v>#DIV/0!</v>
      </c>
      <c r="AE96" s="2" t="e">
        <f t="shared" si="55"/>
        <v>#DIV/0!</v>
      </c>
      <c r="AF96" s="2" t="e">
        <f t="shared" ref="AF96:AG96" si="543">EXP(-EXP($AD96+AG$31))</f>
        <v>#DIV/0!</v>
      </c>
      <c r="AG96" s="2" t="e">
        <f t="shared" si="543"/>
        <v>#DIV/0!</v>
      </c>
      <c r="AI96" s="8" t="e">
        <f t="shared" si="323"/>
        <v>#DIV/0!</v>
      </c>
      <c r="AJ96" s="2" t="e">
        <f t="shared" si="57"/>
        <v>#DIV/0!</v>
      </c>
      <c r="AK96" s="2" t="e">
        <f t="shared" ref="AK96:AL96" si="544">1-(EXP($AI96+AL$31)/(1 + EXP($AI96+AL$31)))</f>
        <v>#DIV/0!</v>
      </c>
      <c r="AL96" s="2" t="e">
        <f t="shared" si="544"/>
        <v>#DIV/0!</v>
      </c>
      <c r="AN96" s="8" t="e">
        <f t="shared" si="325"/>
        <v>#DIV/0!</v>
      </c>
      <c r="AO96" s="2" t="e">
        <f t="shared" si="59"/>
        <v>#DIV/0!</v>
      </c>
      <c r="AP96" s="2" t="e">
        <f t="shared" ref="AP96:AQ96" si="545">1-NORMSDIST($AN96+AQ$31)</f>
        <v>#DIV/0!</v>
      </c>
      <c r="AQ96" s="2" t="e">
        <f t="shared" si="545"/>
        <v>#DIV/0!</v>
      </c>
      <c r="AS96" s="8" t="e">
        <f t="shared" si="327"/>
        <v>#DIV/0!</v>
      </c>
      <c r="AT96" s="2" t="e">
        <f t="shared" si="61"/>
        <v>#DIV/0!</v>
      </c>
      <c r="AU96" s="2" t="e">
        <f t="shared" si="111"/>
        <v>#DIV/0!</v>
      </c>
      <c r="AV96" s="2" t="e">
        <f t="shared" si="112"/>
        <v>#DIV/0!</v>
      </c>
      <c r="AY96" s="8" t="e">
        <f t="shared" si="328"/>
        <v>#DIV/0!</v>
      </c>
      <c r="AZ96" s="2" t="e">
        <f t="shared" si="63"/>
        <v>#DIV/0!</v>
      </c>
      <c r="BA96" s="2" t="e">
        <f t="shared" si="113"/>
        <v>#DIV/0!</v>
      </c>
      <c r="BB96" s="2" t="e">
        <f t="shared" si="114"/>
        <v>#DIV/0!</v>
      </c>
      <c r="BE96" s="8" t="e">
        <f t="shared" si="329"/>
        <v>#DIV/0!</v>
      </c>
      <c r="BF96" s="2" t="e">
        <f t="shared" si="65"/>
        <v>#DIV/0!</v>
      </c>
      <c r="BG96" s="2" t="e">
        <f t="shared" si="66"/>
        <v>#DIV/0!</v>
      </c>
      <c r="BH96" s="2" t="e">
        <f t="shared" si="67"/>
        <v>#DIV/0!</v>
      </c>
    </row>
    <row r="97" spans="1:60" x14ac:dyDescent="0.2">
      <c r="A97" s="2">
        <f t="shared" si="100"/>
        <v>5.0833333333333321</v>
      </c>
      <c r="B97" s="2">
        <f t="shared" si="41"/>
        <v>6.199210502577001E-3</v>
      </c>
      <c r="C97" s="2">
        <f t="shared" si="195"/>
        <v>6.199210502577001E-3</v>
      </c>
      <c r="D97" s="2">
        <f t="shared" si="195"/>
        <v>6.199210502577001E-3</v>
      </c>
      <c r="E97" s="8">
        <f t="shared" si="43"/>
        <v>6.199210502577001E-3</v>
      </c>
      <c r="F97" s="2">
        <f t="shared" ref="F97:G97" si="546">EXP(-(($A97*$F$31*G$31)^$E$31))</f>
        <v>6.199210502577001E-3</v>
      </c>
      <c r="G97" s="2">
        <f t="shared" si="546"/>
        <v>6.199210502577001E-3</v>
      </c>
      <c r="I97" s="8" t="e">
        <f t="shared" si="45"/>
        <v>#DIV/0!</v>
      </c>
      <c r="J97" s="2" t="e">
        <f t="shared" ref="J97:K97" si="547">EXP(-(($J$31*K$31)/$I$31)*(EXP($I$31*$A97)-1))</f>
        <v>#DIV/0!</v>
      </c>
      <c r="K97" s="2" t="e">
        <f t="shared" si="547"/>
        <v>#DIV/0!</v>
      </c>
      <c r="M97" s="8">
        <f t="shared" si="47"/>
        <v>5.1978315022725319E-2</v>
      </c>
      <c r="N97" s="2">
        <f t="shared" ref="N97:O97" si="548">1-_xlfn.NORM.S.DIST((LN($A97)-$M$31-O$31)/$N$31,TRUE)</f>
        <v>5.1978315022725319E-2</v>
      </c>
      <c r="O97" s="2">
        <f t="shared" si="548"/>
        <v>5.1978315022725319E-2</v>
      </c>
      <c r="Q97" s="8">
        <f t="shared" si="49"/>
        <v>0.16438356164383561</v>
      </c>
      <c r="R97" s="2">
        <f t="shared" ref="R97:S97" si="549">1-(1/(1+($A97/($R$31*S$31))^(-$Q$31)))</f>
        <v>0.16438356164383561</v>
      </c>
      <c r="S97" s="2">
        <f t="shared" si="549"/>
        <v>0.16438356164383561</v>
      </c>
      <c r="U97" s="8">
        <f t="shared" si="51"/>
        <v>6.1992105025769906E-3</v>
      </c>
      <c r="V97" s="2">
        <f t="shared" ref="V97" si="550">1-(_xlfn.GAMMA.DIST($V$31*W$31*$A97,$U$31,1,TRUE)*EXP(GAMMALN($U$31)))/EXP(GAMMALN($U$31))</f>
        <v>6.1992105025769906E-3</v>
      </c>
      <c r="W97" s="2">
        <f t="shared" si="31"/>
        <v>6.1992105025769906E-3</v>
      </c>
      <c r="Y97" s="8">
        <f t="shared" si="53"/>
        <v>5.1978315022725319E-2</v>
      </c>
      <c r="Z97" s="2">
        <f t="shared" si="106"/>
        <v>5.1978315022725319E-2</v>
      </c>
      <c r="AA97" s="2">
        <f t="shared" si="107"/>
        <v>5.1978315022725319E-2</v>
      </c>
      <c r="AD97" s="8" t="e">
        <f t="shared" si="321"/>
        <v>#DIV/0!</v>
      </c>
      <c r="AE97" s="2" t="e">
        <f t="shared" si="55"/>
        <v>#DIV/0!</v>
      </c>
      <c r="AF97" s="2" t="e">
        <f t="shared" ref="AF97:AG97" si="551">EXP(-EXP($AD97+AG$31))</f>
        <v>#DIV/0!</v>
      </c>
      <c r="AG97" s="2" t="e">
        <f t="shared" si="551"/>
        <v>#DIV/0!</v>
      </c>
      <c r="AI97" s="8" t="e">
        <f t="shared" si="323"/>
        <v>#DIV/0!</v>
      </c>
      <c r="AJ97" s="2" t="e">
        <f t="shared" si="57"/>
        <v>#DIV/0!</v>
      </c>
      <c r="AK97" s="2" t="e">
        <f t="shared" ref="AK97:AL97" si="552">1-(EXP($AI97+AL$31)/(1 + EXP($AI97+AL$31)))</f>
        <v>#DIV/0!</v>
      </c>
      <c r="AL97" s="2" t="e">
        <f t="shared" si="552"/>
        <v>#DIV/0!</v>
      </c>
      <c r="AN97" s="8" t="e">
        <f t="shared" si="325"/>
        <v>#DIV/0!</v>
      </c>
      <c r="AO97" s="2" t="e">
        <f t="shared" si="59"/>
        <v>#DIV/0!</v>
      </c>
      <c r="AP97" s="2" t="e">
        <f t="shared" ref="AP97:AQ97" si="553">1-NORMSDIST($AN97+AQ$31)</f>
        <v>#DIV/0!</v>
      </c>
      <c r="AQ97" s="2" t="e">
        <f t="shared" si="553"/>
        <v>#DIV/0!</v>
      </c>
      <c r="AS97" s="8" t="e">
        <f t="shared" si="327"/>
        <v>#DIV/0!</v>
      </c>
      <c r="AT97" s="2" t="e">
        <f t="shared" si="61"/>
        <v>#DIV/0!</v>
      </c>
      <c r="AU97" s="2" t="e">
        <f t="shared" si="111"/>
        <v>#DIV/0!</v>
      </c>
      <c r="AV97" s="2" t="e">
        <f t="shared" si="112"/>
        <v>#DIV/0!</v>
      </c>
      <c r="AY97" s="8" t="e">
        <f t="shared" si="328"/>
        <v>#DIV/0!</v>
      </c>
      <c r="AZ97" s="2" t="e">
        <f t="shared" si="63"/>
        <v>#DIV/0!</v>
      </c>
      <c r="BA97" s="2" t="e">
        <f t="shared" si="113"/>
        <v>#DIV/0!</v>
      </c>
      <c r="BB97" s="2" t="e">
        <f t="shared" si="114"/>
        <v>#DIV/0!</v>
      </c>
      <c r="BE97" s="8" t="e">
        <f t="shared" si="329"/>
        <v>#DIV/0!</v>
      </c>
      <c r="BF97" s="2" t="e">
        <f t="shared" si="65"/>
        <v>#DIV/0!</v>
      </c>
      <c r="BG97" s="2" t="e">
        <f t="shared" si="66"/>
        <v>#DIV/0!</v>
      </c>
      <c r="BH97" s="2" t="e">
        <f t="shared" si="67"/>
        <v>#DIV/0!</v>
      </c>
    </row>
    <row r="98" spans="1:60" x14ac:dyDescent="0.2">
      <c r="A98" s="2">
        <f t="shared" si="100"/>
        <v>5.1666666666666652</v>
      </c>
      <c r="B98" s="2">
        <f t="shared" si="41"/>
        <v>5.7035489980074112E-3</v>
      </c>
      <c r="C98" s="2">
        <f t="shared" si="195"/>
        <v>5.7035489980074112E-3</v>
      </c>
      <c r="D98" s="2">
        <f t="shared" si="195"/>
        <v>5.7035489980074112E-3</v>
      </c>
      <c r="E98" s="8">
        <f t="shared" si="43"/>
        <v>5.7035489980074112E-3</v>
      </c>
      <c r="F98" s="2">
        <f t="shared" ref="F98:G98" si="554">EXP(-(($A98*$F$31*G$31)^$E$31))</f>
        <v>5.7035489980074112E-3</v>
      </c>
      <c r="G98" s="2">
        <f t="shared" si="554"/>
        <v>5.7035489980074112E-3</v>
      </c>
      <c r="I98" s="8" t="e">
        <f t="shared" si="45"/>
        <v>#DIV/0!</v>
      </c>
      <c r="J98" s="2" t="e">
        <f t="shared" ref="J98:K98" si="555">EXP(-(($J$31*K$31)/$I$31)*(EXP($I$31*$A98)-1))</f>
        <v>#DIV/0!</v>
      </c>
      <c r="K98" s="2" t="e">
        <f t="shared" si="555"/>
        <v>#DIV/0!</v>
      </c>
      <c r="M98" s="8">
        <f t="shared" si="47"/>
        <v>5.0271408422590702E-2</v>
      </c>
      <c r="N98" s="2">
        <f t="shared" ref="N98:O98" si="556">1-_xlfn.NORM.S.DIST((LN($A98)-$M$31-O$31)/$N$31,TRUE)</f>
        <v>5.0271408422590702E-2</v>
      </c>
      <c r="O98" s="2">
        <f t="shared" si="556"/>
        <v>5.0271408422590702E-2</v>
      </c>
      <c r="Q98" s="8">
        <f t="shared" si="49"/>
        <v>0.16216216216216217</v>
      </c>
      <c r="R98" s="2">
        <f t="shared" ref="R98:S98" si="557">1-(1/(1+($A98/($R$31*S$31))^(-$Q$31)))</f>
        <v>0.16216216216216217</v>
      </c>
      <c r="S98" s="2">
        <f t="shared" si="557"/>
        <v>0.16216216216216217</v>
      </c>
      <c r="U98" s="8">
        <f t="shared" si="51"/>
        <v>5.7035489980074017E-3</v>
      </c>
      <c r="V98" s="2">
        <f t="shared" ref="V98" si="558">1-(_xlfn.GAMMA.DIST($V$31*W$31*$A98,$U$31,1,TRUE)*EXP(GAMMALN($U$31)))/EXP(GAMMALN($U$31))</f>
        <v>5.7035489980074017E-3</v>
      </c>
      <c r="W98" s="2">
        <f t="shared" si="31"/>
        <v>5.7035489980074017E-3</v>
      </c>
      <c r="Y98" s="8">
        <f t="shared" si="53"/>
        <v>5.0271408422590702E-2</v>
      </c>
      <c r="Z98" s="2">
        <f t="shared" si="106"/>
        <v>5.0271408422590702E-2</v>
      </c>
      <c r="AA98" s="2">
        <f t="shared" si="107"/>
        <v>5.0271408422590702E-2</v>
      </c>
      <c r="AD98" s="8" t="e">
        <f t="shared" si="321"/>
        <v>#DIV/0!</v>
      </c>
      <c r="AE98" s="2" t="e">
        <f t="shared" si="55"/>
        <v>#DIV/0!</v>
      </c>
      <c r="AF98" s="2" t="e">
        <f t="shared" ref="AF98:AG98" si="559">EXP(-EXP($AD98+AG$31))</f>
        <v>#DIV/0!</v>
      </c>
      <c r="AG98" s="2" t="e">
        <f t="shared" si="559"/>
        <v>#DIV/0!</v>
      </c>
      <c r="AI98" s="8" t="e">
        <f t="shared" si="323"/>
        <v>#DIV/0!</v>
      </c>
      <c r="AJ98" s="2" t="e">
        <f t="shared" si="57"/>
        <v>#DIV/0!</v>
      </c>
      <c r="AK98" s="2" t="e">
        <f t="shared" ref="AK98:AL98" si="560">1-(EXP($AI98+AL$31)/(1 + EXP($AI98+AL$31)))</f>
        <v>#DIV/0!</v>
      </c>
      <c r="AL98" s="2" t="e">
        <f t="shared" si="560"/>
        <v>#DIV/0!</v>
      </c>
      <c r="AN98" s="8" t="e">
        <f t="shared" si="325"/>
        <v>#DIV/0!</v>
      </c>
      <c r="AO98" s="2" t="e">
        <f t="shared" si="59"/>
        <v>#DIV/0!</v>
      </c>
      <c r="AP98" s="2" t="e">
        <f t="shared" ref="AP98:AQ98" si="561">1-NORMSDIST($AN98+AQ$31)</f>
        <v>#DIV/0!</v>
      </c>
      <c r="AQ98" s="2" t="e">
        <f t="shared" si="561"/>
        <v>#DIV/0!</v>
      </c>
      <c r="AS98" s="8" t="e">
        <f t="shared" si="327"/>
        <v>#DIV/0!</v>
      </c>
      <c r="AT98" s="2" t="e">
        <f t="shared" si="61"/>
        <v>#DIV/0!</v>
      </c>
      <c r="AU98" s="2" t="e">
        <f t="shared" si="111"/>
        <v>#DIV/0!</v>
      </c>
      <c r="AV98" s="2" t="e">
        <f t="shared" si="112"/>
        <v>#DIV/0!</v>
      </c>
      <c r="AY98" s="8" t="e">
        <f t="shared" si="328"/>
        <v>#DIV/0!</v>
      </c>
      <c r="AZ98" s="2" t="e">
        <f t="shared" si="63"/>
        <v>#DIV/0!</v>
      </c>
      <c r="BA98" s="2" t="e">
        <f t="shared" si="113"/>
        <v>#DIV/0!</v>
      </c>
      <c r="BB98" s="2" t="e">
        <f t="shared" si="114"/>
        <v>#DIV/0!</v>
      </c>
      <c r="BE98" s="8" t="e">
        <f t="shared" si="329"/>
        <v>#DIV/0!</v>
      </c>
      <c r="BF98" s="2" t="e">
        <f t="shared" si="65"/>
        <v>#DIV/0!</v>
      </c>
      <c r="BG98" s="2" t="e">
        <f t="shared" si="66"/>
        <v>#DIV/0!</v>
      </c>
      <c r="BH98" s="2" t="e">
        <f t="shared" si="67"/>
        <v>#DIV/0!</v>
      </c>
    </row>
    <row r="99" spans="1:60" x14ac:dyDescent="0.2">
      <c r="A99" s="2">
        <f t="shared" si="100"/>
        <v>5.2499999999999982</v>
      </c>
      <c r="B99" s="2">
        <f t="shared" si="41"/>
        <v>5.2475183991813933E-3</v>
      </c>
      <c r="C99" s="2">
        <f t="shared" si="195"/>
        <v>5.2475183991813933E-3</v>
      </c>
      <c r="D99" s="2">
        <f t="shared" si="195"/>
        <v>5.2475183991813933E-3</v>
      </c>
      <c r="E99" s="8">
        <f t="shared" si="43"/>
        <v>5.2475183991813933E-3</v>
      </c>
      <c r="F99" s="2">
        <f t="shared" ref="F99:G99" si="562">EXP(-(($A99*$F$31*G$31)^$E$31))</f>
        <v>5.2475183991813933E-3</v>
      </c>
      <c r="G99" s="2">
        <f t="shared" si="562"/>
        <v>5.2475183991813933E-3</v>
      </c>
      <c r="I99" s="8" t="e">
        <f t="shared" si="45"/>
        <v>#DIV/0!</v>
      </c>
      <c r="J99" s="2" t="e">
        <f t="shared" ref="J99:K99" si="563">EXP(-(($J$31*K$31)/$I$31)*(EXP($I$31*$A99)-1))</f>
        <v>#DIV/0!</v>
      </c>
      <c r="K99" s="2" t="e">
        <f t="shared" si="563"/>
        <v>#DIV/0!</v>
      </c>
      <c r="M99" s="8">
        <f t="shared" si="47"/>
        <v>4.8635719894219109E-2</v>
      </c>
      <c r="N99" s="2">
        <f t="shared" ref="N99:O99" si="564">1-_xlfn.NORM.S.DIST((LN($A99)-$M$31-O$31)/$N$31,TRUE)</f>
        <v>4.8635719894219109E-2</v>
      </c>
      <c r="O99" s="2">
        <f t="shared" si="564"/>
        <v>4.8635719894219109E-2</v>
      </c>
      <c r="Q99" s="8">
        <f t="shared" si="49"/>
        <v>0.16000000000000003</v>
      </c>
      <c r="R99" s="2">
        <f t="shared" ref="R99:S99" si="565">1-(1/(1+($A99/($R$31*S$31))^(-$Q$31)))</f>
        <v>0.16000000000000003</v>
      </c>
      <c r="S99" s="2">
        <f t="shared" si="565"/>
        <v>0.16000000000000003</v>
      </c>
      <c r="U99" s="8">
        <f t="shared" si="51"/>
        <v>5.2475183991813612E-3</v>
      </c>
      <c r="V99" s="2">
        <f t="shared" ref="V99" si="566">1-(_xlfn.GAMMA.DIST($V$31*W$31*$A99,$U$31,1,TRUE)*EXP(GAMMALN($U$31)))/EXP(GAMMALN($U$31))</f>
        <v>5.2475183991813612E-3</v>
      </c>
      <c r="W99" s="2">
        <f t="shared" si="31"/>
        <v>5.2475183991813612E-3</v>
      </c>
      <c r="Y99" s="8">
        <f t="shared" si="53"/>
        <v>4.8635719894219109E-2</v>
      </c>
      <c r="Z99" s="2">
        <f t="shared" si="106"/>
        <v>4.8635719894219109E-2</v>
      </c>
      <c r="AA99" s="2">
        <f t="shared" si="107"/>
        <v>4.8635719894219109E-2</v>
      </c>
      <c r="AD99" s="8" t="e">
        <f t="shared" si="321"/>
        <v>#DIV/0!</v>
      </c>
      <c r="AE99" s="2" t="e">
        <f t="shared" si="55"/>
        <v>#DIV/0!</v>
      </c>
      <c r="AF99" s="2" t="e">
        <f t="shared" ref="AF99:AG99" si="567">EXP(-EXP($AD99+AG$31))</f>
        <v>#DIV/0!</v>
      </c>
      <c r="AG99" s="2" t="e">
        <f t="shared" si="567"/>
        <v>#DIV/0!</v>
      </c>
      <c r="AI99" s="8" t="e">
        <f t="shared" si="323"/>
        <v>#DIV/0!</v>
      </c>
      <c r="AJ99" s="2" t="e">
        <f t="shared" si="57"/>
        <v>#DIV/0!</v>
      </c>
      <c r="AK99" s="2" t="e">
        <f t="shared" ref="AK99:AL99" si="568">1-(EXP($AI99+AL$31)/(1 + EXP($AI99+AL$31)))</f>
        <v>#DIV/0!</v>
      </c>
      <c r="AL99" s="2" t="e">
        <f t="shared" si="568"/>
        <v>#DIV/0!</v>
      </c>
      <c r="AN99" s="8" t="e">
        <f t="shared" si="325"/>
        <v>#DIV/0!</v>
      </c>
      <c r="AO99" s="2" t="e">
        <f t="shared" si="59"/>
        <v>#DIV/0!</v>
      </c>
      <c r="AP99" s="2" t="e">
        <f t="shared" ref="AP99:AQ99" si="569">1-NORMSDIST($AN99+AQ$31)</f>
        <v>#DIV/0!</v>
      </c>
      <c r="AQ99" s="2" t="e">
        <f t="shared" si="569"/>
        <v>#DIV/0!</v>
      </c>
      <c r="AS99" s="8" t="e">
        <f t="shared" si="327"/>
        <v>#DIV/0!</v>
      </c>
      <c r="AT99" s="2" t="e">
        <f t="shared" si="61"/>
        <v>#DIV/0!</v>
      </c>
      <c r="AU99" s="2" t="e">
        <f t="shared" si="111"/>
        <v>#DIV/0!</v>
      </c>
      <c r="AV99" s="2" t="e">
        <f t="shared" si="112"/>
        <v>#DIV/0!</v>
      </c>
      <c r="AY99" s="8" t="e">
        <f t="shared" si="328"/>
        <v>#DIV/0!</v>
      </c>
      <c r="AZ99" s="2" t="e">
        <f t="shared" si="63"/>
        <v>#DIV/0!</v>
      </c>
      <c r="BA99" s="2" t="e">
        <f t="shared" si="113"/>
        <v>#DIV/0!</v>
      </c>
      <c r="BB99" s="2" t="e">
        <f t="shared" si="114"/>
        <v>#DIV/0!</v>
      </c>
      <c r="BE99" s="8" t="e">
        <f t="shared" si="329"/>
        <v>#DIV/0!</v>
      </c>
      <c r="BF99" s="2" t="e">
        <f t="shared" si="65"/>
        <v>#DIV/0!</v>
      </c>
      <c r="BG99" s="2" t="e">
        <f t="shared" si="66"/>
        <v>#DIV/0!</v>
      </c>
      <c r="BH99" s="2" t="e">
        <f t="shared" si="67"/>
        <v>#DIV/0!</v>
      </c>
    </row>
    <row r="100" spans="1:60" x14ac:dyDescent="0.2">
      <c r="A100" s="2">
        <f t="shared" si="100"/>
        <v>5.3333333333333313</v>
      </c>
      <c r="B100" s="2">
        <f t="shared" si="41"/>
        <v>4.8279499938314501E-3</v>
      </c>
      <c r="C100" s="2">
        <f t="shared" si="195"/>
        <v>4.8279499938314501E-3</v>
      </c>
      <c r="D100" s="2">
        <f t="shared" si="195"/>
        <v>4.8279499938314501E-3</v>
      </c>
      <c r="E100" s="8">
        <f t="shared" si="43"/>
        <v>4.8279499938314501E-3</v>
      </c>
      <c r="F100" s="2">
        <f t="shared" ref="F100:G100" si="570">EXP(-(($A100*$F$31*G$31)^$E$31))</f>
        <v>4.8279499938314501E-3</v>
      </c>
      <c r="G100" s="2">
        <f t="shared" si="570"/>
        <v>4.8279499938314501E-3</v>
      </c>
      <c r="I100" s="8" t="e">
        <f t="shared" si="45"/>
        <v>#DIV/0!</v>
      </c>
      <c r="J100" s="2" t="e">
        <f t="shared" ref="J100:K100" si="571">EXP(-(($J$31*K$31)/$I$31)*(EXP($I$31*$A100)-1))</f>
        <v>#DIV/0!</v>
      </c>
      <c r="K100" s="2" t="e">
        <f t="shared" si="571"/>
        <v>#DIV/0!</v>
      </c>
      <c r="M100" s="8">
        <f t="shared" si="47"/>
        <v>4.7067615502118132E-2</v>
      </c>
      <c r="N100" s="2">
        <f t="shared" ref="N100:O100" si="572">1-_xlfn.NORM.S.DIST((LN($A100)-$M$31-O$31)/$N$31,TRUE)</f>
        <v>4.7067615502118132E-2</v>
      </c>
      <c r="O100" s="2">
        <f t="shared" si="572"/>
        <v>4.7067615502118132E-2</v>
      </c>
      <c r="Q100" s="8">
        <f t="shared" si="49"/>
        <v>0.15789473684210531</v>
      </c>
      <c r="R100" s="2">
        <f t="shared" ref="R100:S100" si="573">1-(1/(1+($A100/($R$31*S$31))^(-$Q$31)))</f>
        <v>0.15789473684210531</v>
      </c>
      <c r="S100" s="2">
        <f t="shared" si="573"/>
        <v>0.15789473684210531</v>
      </c>
      <c r="U100" s="8">
        <f t="shared" si="51"/>
        <v>4.8279499938314041E-3</v>
      </c>
      <c r="V100" s="2">
        <f t="shared" ref="V100" si="574">1-(_xlfn.GAMMA.DIST($V$31*W$31*$A100,$U$31,1,TRUE)*EXP(GAMMALN($U$31)))/EXP(GAMMALN($U$31))</f>
        <v>4.8279499938314041E-3</v>
      </c>
      <c r="W100" s="2">
        <f t="shared" si="31"/>
        <v>4.8279499938314041E-3</v>
      </c>
      <c r="Y100" s="8">
        <f t="shared" si="53"/>
        <v>4.7067615502118132E-2</v>
      </c>
      <c r="Z100" s="2">
        <f t="shared" si="106"/>
        <v>4.7067615502118132E-2</v>
      </c>
      <c r="AA100" s="2">
        <f t="shared" si="107"/>
        <v>4.7067615502118132E-2</v>
      </c>
      <c r="AD100" s="8" t="e">
        <f t="shared" si="321"/>
        <v>#DIV/0!</v>
      </c>
      <c r="AE100" s="2" t="e">
        <f t="shared" si="55"/>
        <v>#DIV/0!</v>
      </c>
      <c r="AF100" s="2" t="e">
        <f t="shared" ref="AF100:AG100" si="575">EXP(-EXP($AD100+AG$31))</f>
        <v>#DIV/0!</v>
      </c>
      <c r="AG100" s="2" t="e">
        <f t="shared" si="575"/>
        <v>#DIV/0!</v>
      </c>
      <c r="AI100" s="8" t="e">
        <f t="shared" si="323"/>
        <v>#DIV/0!</v>
      </c>
      <c r="AJ100" s="2" t="e">
        <f t="shared" si="57"/>
        <v>#DIV/0!</v>
      </c>
      <c r="AK100" s="2" t="e">
        <f t="shared" ref="AK100:AL100" si="576">1-(EXP($AI100+AL$31)/(1 + EXP($AI100+AL$31)))</f>
        <v>#DIV/0!</v>
      </c>
      <c r="AL100" s="2" t="e">
        <f t="shared" si="576"/>
        <v>#DIV/0!</v>
      </c>
      <c r="AN100" s="8" t="e">
        <f t="shared" si="325"/>
        <v>#DIV/0!</v>
      </c>
      <c r="AO100" s="2" t="e">
        <f t="shared" si="59"/>
        <v>#DIV/0!</v>
      </c>
      <c r="AP100" s="2" t="e">
        <f t="shared" ref="AP100:AQ100" si="577">1-NORMSDIST($AN100+AQ$31)</f>
        <v>#DIV/0!</v>
      </c>
      <c r="AQ100" s="2" t="e">
        <f t="shared" si="577"/>
        <v>#DIV/0!</v>
      </c>
      <c r="AS100" s="8" t="e">
        <f t="shared" si="327"/>
        <v>#DIV/0!</v>
      </c>
      <c r="AT100" s="2" t="e">
        <f t="shared" si="61"/>
        <v>#DIV/0!</v>
      </c>
      <c r="AU100" s="2" t="e">
        <f t="shared" si="111"/>
        <v>#DIV/0!</v>
      </c>
      <c r="AV100" s="2" t="e">
        <f t="shared" si="112"/>
        <v>#DIV/0!</v>
      </c>
      <c r="AY100" s="8" t="e">
        <f t="shared" si="328"/>
        <v>#DIV/0!</v>
      </c>
      <c r="AZ100" s="2" t="e">
        <f t="shared" si="63"/>
        <v>#DIV/0!</v>
      </c>
      <c r="BA100" s="2" t="e">
        <f t="shared" si="113"/>
        <v>#DIV/0!</v>
      </c>
      <c r="BB100" s="2" t="e">
        <f t="shared" si="114"/>
        <v>#DIV/0!</v>
      </c>
      <c r="BE100" s="8" t="e">
        <f t="shared" si="329"/>
        <v>#DIV/0!</v>
      </c>
      <c r="BF100" s="2" t="e">
        <f t="shared" si="65"/>
        <v>#DIV/0!</v>
      </c>
      <c r="BG100" s="2" t="e">
        <f t="shared" si="66"/>
        <v>#DIV/0!</v>
      </c>
      <c r="BH100" s="2" t="e">
        <f t="shared" si="67"/>
        <v>#DIV/0!</v>
      </c>
    </row>
    <row r="101" spans="1:60" x14ac:dyDescent="0.2">
      <c r="A101" s="2">
        <f t="shared" si="100"/>
        <v>5.4166666666666643</v>
      </c>
      <c r="B101" s="2">
        <f t="shared" si="41"/>
        <v>4.441928425934303E-3</v>
      </c>
      <c r="C101" s="2">
        <f t="shared" si="195"/>
        <v>4.441928425934303E-3</v>
      </c>
      <c r="D101" s="2">
        <f t="shared" si="195"/>
        <v>4.441928425934303E-3</v>
      </c>
      <c r="E101" s="8">
        <f t="shared" si="43"/>
        <v>4.441928425934303E-3</v>
      </c>
      <c r="F101" s="2">
        <f t="shared" ref="F101:G101" si="578">EXP(-(($A101*$F$31*G$31)^$E$31))</f>
        <v>4.441928425934303E-3</v>
      </c>
      <c r="G101" s="2">
        <f t="shared" si="578"/>
        <v>4.441928425934303E-3</v>
      </c>
      <c r="I101" s="8" t="e">
        <f t="shared" si="45"/>
        <v>#DIV/0!</v>
      </c>
      <c r="J101" s="2" t="e">
        <f t="shared" ref="J101:K101" si="579">EXP(-(($J$31*K$31)/$I$31)*(EXP($I$31*$A101)-1))</f>
        <v>#DIV/0!</v>
      </c>
      <c r="K101" s="2" t="e">
        <f t="shared" si="579"/>
        <v>#DIV/0!</v>
      </c>
      <c r="M101" s="8">
        <f t="shared" si="47"/>
        <v>4.5563681346523777E-2</v>
      </c>
      <c r="N101" s="2">
        <f t="shared" ref="N101:O101" si="580">1-_xlfn.NORM.S.DIST((LN($A101)-$M$31-O$31)/$N$31,TRUE)</f>
        <v>4.5563681346523777E-2</v>
      </c>
      <c r="O101" s="2">
        <f t="shared" si="580"/>
        <v>4.5563681346523777E-2</v>
      </c>
      <c r="Q101" s="8">
        <f t="shared" si="49"/>
        <v>0.1558441558441559</v>
      </c>
      <c r="R101" s="2">
        <f t="shared" ref="R101:S101" si="581">1-(1/(1+($A101/($R$31*S$31))^(-$Q$31)))</f>
        <v>0.1558441558441559</v>
      </c>
      <c r="S101" s="2">
        <f t="shared" si="581"/>
        <v>0.1558441558441559</v>
      </c>
      <c r="U101" s="8">
        <f t="shared" si="51"/>
        <v>4.4419284259342717E-3</v>
      </c>
      <c r="V101" s="2">
        <f t="shared" ref="V101:W116" si="582">1-(_xlfn.GAMMA.DIST($V$31*W$31*$A101,$U$31,1,TRUE)*EXP(GAMMALN($U$31)))/EXP(GAMMALN($U$31))</f>
        <v>4.4419284259342717E-3</v>
      </c>
      <c r="W101" s="2">
        <f t="shared" si="582"/>
        <v>4.4419284259342717E-3</v>
      </c>
      <c r="Y101" s="8">
        <f t="shared" si="53"/>
        <v>4.5563681346523777E-2</v>
      </c>
      <c r="Z101" s="2">
        <f t="shared" si="106"/>
        <v>4.5563681346523777E-2</v>
      </c>
      <c r="AA101" s="2">
        <f t="shared" si="107"/>
        <v>4.5563681346523777E-2</v>
      </c>
      <c r="AD101" s="8" t="e">
        <f t="shared" ref="AD101:AD132" si="583">AD$31+
AE$31*LN($A101)+
AF$31*(MAX(LN($A101)-AE$9,0)^3-AF$33*MAX(LN($A101)-AD$9,0)^3-(1-AF$33)*MAX(LN($A101)-AF$9,0)^3)</f>
        <v>#DIV/0!</v>
      </c>
      <c r="AE101" s="2" t="e">
        <f t="shared" si="55"/>
        <v>#DIV/0!</v>
      </c>
      <c r="AF101" s="2" t="e">
        <f t="shared" ref="AF101:AG101" si="584">EXP(-EXP($AD101+AG$31))</f>
        <v>#DIV/0!</v>
      </c>
      <c r="AG101" s="2" t="e">
        <f t="shared" si="584"/>
        <v>#DIV/0!</v>
      </c>
      <c r="AI101" s="8" t="e">
        <f t="shared" ref="AI101:AI132" si="585">AI$31+
AJ$31*LN($A101)+
AK$31*(MAX(LN($A101)-AJ$9,0)^3-AK$33*MAX(LN($A101)-AI$9,0)^3-(1-AK$33)*MAX(LN($A101)-AK$9,0)^3)</f>
        <v>#DIV/0!</v>
      </c>
      <c r="AJ101" s="2" t="e">
        <f t="shared" si="57"/>
        <v>#DIV/0!</v>
      </c>
      <c r="AK101" s="2" t="e">
        <f t="shared" ref="AK101:AL101" si="586">1-(EXP($AI101+AL$31)/(1 + EXP($AI101+AL$31)))</f>
        <v>#DIV/0!</v>
      </c>
      <c r="AL101" s="2" t="e">
        <f t="shared" si="586"/>
        <v>#DIV/0!</v>
      </c>
      <c r="AN101" s="8" t="e">
        <f t="shared" ref="AN101:AN132" si="587">AN$31+
AO$31*LN($A101)+
AP$31*(MAX(LN($A101)-AO$9,0)^3-AP$33*MAX(LN($A101)-AN$9,0)^3-(1-AP$33)*MAX(LN($A101)-AP$9,0)^3)</f>
        <v>#DIV/0!</v>
      </c>
      <c r="AO101" s="2" t="e">
        <f t="shared" si="59"/>
        <v>#DIV/0!</v>
      </c>
      <c r="AP101" s="2" t="e">
        <f t="shared" ref="AP101:AQ101" si="588">1-NORMSDIST($AN101+AQ$31)</f>
        <v>#DIV/0!</v>
      </c>
      <c r="AQ101" s="2" t="e">
        <f t="shared" si="588"/>
        <v>#DIV/0!</v>
      </c>
      <c r="AS101" s="8" t="e">
        <f t="shared" ref="AS101:AS132" si="589">AS$31+
AT$31*LN($A101)+
AU$31*(MAX(LN($A101)-AT$9,0)^3-AU$33*MAX(LN($A101)-AS$9,0)^3-(1-AU$33)*MAX(LN($A101)-AV$9,0)^3)+
AV$31*(MAX(LN($A101)-AU$9,0)^3-AV$33*MAX(LN($A101)-AS$9,0)^3-(1-AV$33)*MAX(LN($A101)-AV$9,0)^3)</f>
        <v>#DIV/0!</v>
      </c>
      <c r="AT101" s="2" t="e">
        <f t="shared" si="61"/>
        <v>#DIV/0!</v>
      </c>
      <c r="AU101" s="2" t="e">
        <f t="shared" si="111"/>
        <v>#DIV/0!</v>
      </c>
      <c r="AV101" s="2" t="e">
        <f t="shared" si="112"/>
        <v>#DIV/0!</v>
      </c>
      <c r="AY101" s="8" t="e">
        <f t="shared" ref="AY101:AY132" si="590">AY$31+
AZ$31*LN($A101)+
BA$31*(MAX(LN($A101)-AZ$9,0)^3-BA$33*MAX(LN($A101)-AY$9,0)^3-(1-BA$33)*MAX(LN($A101)-BB$9,0)^3)+
BB$31*(MAX(LN($A101)-BA$9,0)^3-BB$33*MAX(LN($A101)-AY$9,0)^3-(1-BB$33)*MAX(LN($A101)-BB$9,0)^3)</f>
        <v>#DIV/0!</v>
      </c>
      <c r="AZ101" s="2" t="e">
        <f t="shared" si="63"/>
        <v>#DIV/0!</v>
      </c>
      <c r="BA101" s="2" t="e">
        <f t="shared" si="113"/>
        <v>#DIV/0!</v>
      </c>
      <c r="BB101" s="2" t="e">
        <f t="shared" si="114"/>
        <v>#DIV/0!</v>
      </c>
      <c r="BE101" s="8" t="e">
        <f t="shared" ref="BE101:BE132" si="591">BE$31+
BF$31*LN($A101)+
BG$31*(MAX(LN($A101)-BF$9,0)^3-BG$33*MAX(LN($A101)-BE$9,0)^3-(1-BG$33)*MAX(LN($A101)-BH$9,0)^3)+
BH$31*(MAX(LN($A101)-BG$9,0)^3-BH$33*MAX(LN($A101)-BE$9,0)^3-(1-BH$33)*MAX(LN($A101)-BH$9,0)^3)</f>
        <v>#DIV/0!</v>
      </c>
      <c r="BF101" s="2" t="e">
        <f t="shared" si="65"/>
        <v>#DIV/0!</v>
      </c>
      <c r="BG101" s="2" t="e">
        <f t="shared" si="66"/>
        <v>#DIV/0!</v>
      </c>
      <c r="BH101" s="2" t="e">
        <f t="shared" si="67"/>
        <v>#DIV/0!</v>
      </c>
    </row>
    <row r="102" spans="1:60" x14ac:dyDescent="0.2">
      <c r="A102" s="2">
        <f t="shared" si="100"/>
        <v>5.4999999999999973</v>
      </c>
      <c r="B102" s="2">
        <f t="shared" ref="B102:B156" si="592">EXP(-$A102*$B$31)</f>
        <v>4.0867714384640779E-3</v>
      </c>
      <c r="C102" s="2">
        <f t="shared" si="195"/>
        <v>4.0867714384640779E-3</v>
      </c>
      <c r="D102" s="2">
        <f t="shared" si="195"/>
        <v>4.0867714384640779E-3</v>
      </c>
      <c r="E102" s="8">
        <f t="shared" ref="E102:E156" si="593">EXP(-(($A102*$F$31)^$E$31))</f>
        <v>4.0867714384640779E-3</v>
      </c>
      <c r="F102" s="2">
        <f t="shared" ref="F102:G102" si="594">EXP(-(($A102*$F$31*G$31)^$E$31))</f>
        <v>4.0867714384640779E-3</v>
      </c>
      <c r="G102" s="2">
        <f t="shared" si="594"/>
        <v>4.0867714384640779E-3</v>
      </c>
      <c r="I102" s="8" t="e">
        <f t="shared" ref="I102:I156" si="595">EXP(-(($J$31)/$I$31)*(EXP($I$31*$A102)-1))</f>
        <v>#DIV/0!</v>
      </c>
      <c r="J102" s="2" t="e">
        <f t="shared" ref="J102:K102" si="596">EXP(-(($J$31*K$31)/$I$31)*(EXP($I$31*$A102)-1))</f>
        <v>#DIV/0!</v>
      </c>
      <c r="K102" s="2" t="e">
        <f t="shared" si="596"/>
        <v>#DIV/0!</v>
      </c>
      <c r="M102" s="8">
        <f t="shared" ref="M102:M156" si="597">1-_xlfn.NORM.S.DIST((LN($A102)-$M$31)/$N$31,TRUE)</f>
        <v>4.4120708129076203E-2</v>
      </c>
      <c r="N102" s="2">
        <f t="shared" ref="N102:O102" si="598">1-_xlfn.NORM.S.DIST((LN($A102)-$M$31-O$31)/$N$31,TRUE)</f>
        <v>4.4120708129076203E-2</v>
      </c>
      <c r="O102" s="2">
        <f t="shared" si="598"/>
        <v>4.4120708129076203E-2</v>
      </c>
      <c r="Q102" s="8">
        <f t="shared" ref="Q102:Q156" si="599">1-(1/(1+($A102/($R$31))^(-$Q$31)))</f>
        <v>0.15384615384615385</v>
      </c>
      <c r="R102" s="2">
        <f t="shared" ref="R102:S102" si="600">1-(1/(1+($A102/($R$31*S$31))^(-$Q$31)))</f>
        <v>0.15384615384615385</v>
      </c>
      <c r="S102" s="2">
        <f t="shared" si="600"/>
        <v>0.15384615384615385</v>
      </c>
      <c r="U102" s="8">
        <f t="shared" ref="U102:U156" si="601">1-(_xlfn.GAMMA.DIST($V$31*$A102,$U$31,1,TRUE)*EXP(GAMMALN($U$31)))/EXP(GAMMALN($U$31))</f>
        <v>4.0867714384640319E-3</v>
      </c>
      <c r="V102" s="2">
        <f t="shared" ref="V102" si="602">1-(_xlfn.GAMMA.DIST($V$31*W$31*$A102,$U$31,1,TRUE)*EXP(GAMMALN($U$31)))/EXP(GAMMALN($U$31))</f>
        <v>4.0867714384640319E-3</v>
      </c>
      <c r="W102" s="2">
        <f t="shared" si="582"/>
        <v>4.0867714384640319E-3</v>
      </c>
      <c r="Y102" s="8">
        <f t="shared" ref="Y102:Y156" si="603">IF(ABS($AA$31)&lt;0.05,
        1-_xlfn.NORM.S.DIST((LN($A102)-$Y$31)/$Z$31,TRUE),
        IF(0=1-
            IF($AA$31&gt;0,
                    _xlfn.GAMMA.DIST(EXP($AA$31*((LN($A102)-$Y$31)/$Z$31))*($AA$31^(-2)),($AA$31^(-2)),1, TRUE),
                    1-_xlfn.GAMMA.DIST(EXP($AA$31*((LN($A102)-$Y$31)/$Z$31))*($AA$31^(-2)),($AA$31^(-2)),1, TRUE)),
            0,
            EXP(LN(1-
                IF($AA$31&gt;0,
                    _xlfn.GAMMA.DIST(EXP($AA$31*((LN($A102)-$Y$31)/$Z$31))*($AA$31^(-2)),($AA$31^(-2)),1, TRUE),
                    1-_xlfn.GAMMA.DIST(EXP($AA$31*((LN($A102)-$Y$31)/$Z$31))*($AA$31^(-2)),($AA$31^(-2)),1, TRUE))))))</f>
        <v>4.4120708129076203E-2</v>
      </c>
      <c r="Z102" s="2">
        <f t="shared" si="106"/>
        <v>4.4120708129076203E-2</v>
      </c>
      <c r="AA102" s="2">
        <f t="shared" si="107"/>
        <v>4.4120708129076203E-2</v>
      </c>
      <c r="AD102" s="8" t="e">
        <f t="shared" si="583"/>
        <v>#DIV/0!</v>
      </c>
      <c r="AE102" s="2" t="e">
        <f t="shared" ref="AE102:AE156" si="604">EXP(-EXP($AD102))</f>
        <v>#DIV/0!</v>
      </c>
      <c r="AF102" s="2" t="e">
        <f t="shared" ref="AF102:AG102" si="605">EXP(-EXP($AD102+AG$31))</f>
        <v>#DIV/0!</v>
      </c>
      <c r="AG102" s="2" t="e">
        <f t="shared" si="605"/>
        <v>#DIV/0!</v>
      </c>
      <c r="AI102" s="8" t="e">
        <f t="shared" si="585"/>
        <v>#DIV/0!</v>
      </c>
      <c r="AJ102" s="2" t="e">
        <f t="shared" ref="AJ102:AJ156" si="606">1-(EXP($AI102)/(1 + EXP($AI102)))</f>
        <v>#DIV/0!</v>
      </c>
      <c r="AK102" s="2" t="e">
        <f t="shared" ref="AK102:AL102" si="607">1-(EXP($AI102+AL$31)/(1 + EXP($AI102+AL$31)))</f>
        <v>#DIV/0!</v>
      </c>
      <c r="AL102" s="2" t="e">
        <f t="shared" si="607"/>
        <v>#DIV/0!</v>
      </c>
      <c r="AN102" s="8" t="e">
        <f t="shared" si="587"/>
        <v>#DIV/0!</v>
      </c>
      <c r="AO102" s="2" t="e">
        <f t="shared" ref="AO102:AO156" si="608">1-NORMSDIST($AN102)</f>
        <v>#DIV/0!</v>
      </c>
      <c r="AP102" s="2" t="e">
        <f t="shared" ref="AP102:AQ102" si="609">1-NORMSDIST($AN102+AQ$31)</f>
        <v>#DIV/0!</v>
      </c>
      <c r="AQ102" s="2" t="e">
        <f t="shared" si="609"/>
        <v>#DIV/0!</v>
      </c>
      <c r="AS102" s="8" t="e">
        <f t="shared" si="589"/>
        <v>#DIV/0!</v>
      </c>
      <c r="AT102" s="2" t="e">
        <f t="shared" ref="AT102:AT156" si="610">EXP(-EXP($AS102))</f>
        <v>#DIV/0!</v>
      </c>
      <c r="AU102" s="2" t="e">
        <f t="shared" si="111"/>
        <v>#DIV/0!</v>
      </c>
      <c r="AV102" s="2" t="e">
        <f t="shared" si="112"/>
        <v>#DIV/0!</v>
      </c>
      <c r="AY102" s="8" t="e">
        <f t="shared" si="590"/>
        <v>#DIV/0!</v>
      </c>
      <c r="AZ102" s="2" t="e">
        <f t="shared" ref="AZ102:AZ156" si="611">1-(EXP($AY102)/(1 + EXP($AY102)))</f>
        <v>#DIV/0!</v>
      </c>
      <c r="BA102" s="2" t="e">
        <f t="shared" si="113"/>
        <v>#DIV/0!</v>
      </c>
      <c r="BB102" s="2" t="e">
        <f t="shared" si="114"/>
        <v>#DIV/0!</v>
      </c>
      <c r="BE102" s="8" t="e">
        <f t="shared" si="591"/>
        <v>#DIV/0!</v>
      </c>
      <c r="BF102" s="2" t="e">
        <f t="shared" ref="BF102:BF156" si="612">1-NORMSDIST($BE102)</f>
        <v>#DIV/0!</v>
      </c>
      <c r="BG102" s="2" t="e">
        <f t="shared" ref="BG102:BG156" si="613">1-NORMSDIST($BE102+BI$31)</f>
        <v>#DIV/0!</v>
      </c>
      <c r="BH102" s="2" t="e">
        <f t="shared" ref="BH102:BH156" si="614">1-NORMSDIST($BE102+BJ$31)</f>
        <v>#DIV/0!</v>
      </c>
    </row>
    <row r="103" spans="1:60" x14ac:dyDescent="0.2">
      <c r="A103" s="2">
        <f t="shared" si="100"/>
        <v>5.5833333333333304</v>
      </c>
      <c r="B103" s="2">
        <f t="shared" si="592"/>
        <v>3.7600112358255212E-3</v>
      </c>
      <c r="C103" s="2">
        <f t="shared" si="195"/>
        <v>3.7600112358255212E-3</v>
      </c>
      <c r="D103" s="2">
        <f t="shared" si="195"/>
        <v>3.7600112358255212E-3</v>
      </c>
      <c r="E103" s="8">
        <f t="shared" si="593"/>
        <v>3.7600112358255212E-3</v>
      </c>
      <c r="F103" s="2">
        <f t="shared" ref="F103:G103" si="615">EXP(-(($A103*$F$31*G$31)^$E$31))</f>
        <v>3.7600112358255212E-3</v>
      </c>
      <c r="G103" s="2">
        <f t="shared" si="615"/>
        <v>3.7600112358255212E-3</v>
      </c>
      <c r="I103" s="8" t="e">
        <f t="shared" si="595"/>
        <v>#DIV/0!</v>
      </c>
      <c r="J103" s="2" t="e">
        <f t="shared" ref="J103:K103" si="616">EXP(-(($J$31*K$31)/$I$31)*(EXP($I$31*$A103)-1))</f>
        <v>#DIV/0!</v>
      </c>
      <c r="K103" s="2" t="e">
        <f t="shared" si="616"/>
        <v>#DIV/0!</v>
      </c>
      <c r="M103" s="8">
        <f t="shared" si="597"/>
        <v>4.2735676948384538E-2</v>
      </c>
      <c r="N103" s="2">
        <f t="shared" ref="N103:O103" si="617">1-_xlfn.NORM.S.DIST((LN($A103)-$M$31-O$31)/$N$31,TRUE)</f>
        <v>4.2735676948384538E-2</v>
      </c>
      <c r="O103" s="2">
        <f t="shared" si="617"/>
        <v>4.2735676948384538E-2</v>
      </c>
      <c r="Q103" s="8">
        <f t="shared" si="599"/>
        <v>0.15189873417721522</v>
      </c>
      <c r="R103" s="2">
        <f t="shared" ref="R103:S103" si="618">1-(1/(1+($A103/($R$31*S$31))^(-$Q$31)))</f>
        <v>0.15189873417721522</v>
      </c>
      <c r="S103" s="2">
        <f t="shared" si="618"/>
        <v>0.15189873417721522</v>
      </c>
      <c r="U103" s="8">
        <f t="shared" si="601"/>
        <v>3.7600112358254778E-3</v>
      </c>
      <c r="V103" s="2">
        <f t="shared" ref="V103" si="619">1-(_xlfn.GAMMA.DIST($V$31*W$31*$A103,$U$31,1,TRUE)*EXP(GAMMALN($U$31)))/EXP(GAMMALN($U$31))</f>
        <v>3.7600112358254778E-3</v>
      </c>
      <c r="W103" s="2">
        <f t="shared" si="582"/>
        <v>3.7600112358254778E-3</v>
      </c>
      <c r="Y103" s="8">
        <f t="shared" si="603"/>
        <v>4.2735676948384538E-2</v>
      </c>
      <c r="Z103" s="2">
        <f t="shared" si="106"/>
        <v>4.2735676948384538E-2</v>
      </c>
      <c r="AA103" s="2">
        <f t="shared" si="107"/>
        <v>4.2735676948384538E-2</v>
      </c>
      <c r="AD103" s="8" t="e">
        <f t="shared" si="583"/>
        <v>#DIV/0!</v>
      </c>
      <c r="AE103" s="2" t="e">
        <f t="shared" si="604"/>
        <v>#DIV/0!</v>
      </c>
      <c r="AF103" s="2" t="e">
        <f t="shared" ref="AF103:AG103" si="620">EXP(-EXP($AD103+AG$31))</f>
        <v>#DIV/0!</v>
      </c>
      <c r="AG103" s="2" t="e">
        <f t="shared" si="620"/>
        <v>#DIV/0!</v>
      </c>
      <c r="AI103" s="8" t="e">
        <f t="shared" si="585"/>
        <v>#DIV/0!</v>
      </c>
      <c r="AJ103" s="2" t="e">
        <f t="shared" si="606"/>
        <v>#DIV/0!</v>
      </c>
      <c r="AK103" s="2" t="e">
        <f t="shared" ref="AK103:AL103" si="621">1-(EXP($AI103+AL$31)/(1 + EXP($AI103+AL$31)))</f>
        <v>#DIV/0!</v>
      </c>
      <c r="AL103" s="2" t="e">
        <f t="shared" si="621"/>
        <v>#DIV/0!</v>
      </c>
      <c r="AN103" s="8" t="e">
        <f t="shared" si="587"/>
        <v>#DIV/0!</v>
      </c>
      <c r="AO103" s="2" t="e">
        <f t="shared" si="608"/>
        <v>#DIV/0!</v>
      </c>
      <c r="AP103" s="2" t="e">
        <f t="shared" ref="AP103:AQ103" si="622">1-NORMSDIST($AN103+AQ$31)</f>
        <v>#DIV/0!</v>
      </c>
      <c r="AQ103" s="2" t="e">
        <f t="shared" si="622"/>
        <v>#DIV/0!</v>
      </c>
      <c r="AS103" s="8" t="e">
        <f t="shared" si="589"/>
        <v>#DIV/0!</v>
      </c>
      <c r="AT103" s="2" t="e">
        <f t="shared" si="610"/>
        <v>#DIV/0!</v>
      </c>
      <c r="AU103" s="2" t="e">
        <f t="shared" si="111"/>
        <v>#DIV/0!</v>
      </c>
      <c r="AV103" s="2" t="e">
        <f t="shared" si="112"/>
        <v>#DIV/0!</v>
      </c>
      <c r="AY103" s="8" t="e">
        <f t="shared" si="590"/>
        <v>#DIV/0!</v>
      </c>
      <c r="AZ103" s="2" t="e">
        <f t="shared" si="611"/>
        <v>#DIV/0!</v>
      </c>
      <c r="BA103" s="2" t="e">
        <f t="shared" si="113"/>
        <v>#DIV/0!</v>
      </c>
      <c r="BB103" s="2" t="e">
        <f t="shared" si="114"/>
        <v>#DIV/0!</v>
      </c>
      <c r="BE103" s="8" t="e">
        <f t="shared" si="591"/>
        <v>#DIV/0!</v>
      </c>
      <c r="BF103" s="2" t="e">
        <f t="shared" si="612"/>
        <v>#DIV/0!</v>
      </c>
      <c r="BG103" s="2" t="e">
        <f t="shared" si="613"/>
        <v>#DIV/0!</v>
      </c>
      <c r="BH103" s="2" t="e">
        <f t="shared" si="614"/>
        <v>#DIV/0!</v>
      </c>
    </row>
    <row r="104" spans="1:60" x14ac:dyDescent="0.2">
      <c r="A104" s="2">
        <f t="shared" si="100"/>
        <v>5.6666666666666634</v>
      </c>
      <c r="B104" s="2">
        <f t="shared" si="592"/>
        <v>3.4593773364647706E-3</v>
      </c>
      <c r="C104" s="2">
        <f t="shared" si="195"/>
        <v>3.4593773364647706E-3</v>
      </c>
      <c r="D104" s="2">
        <f t="shared" si="195"/>
        <v>3.4593773364647706E-3</v>
      </c>
      <c r="E104" s="8">
        <f t="shared" si="593"/>
        <v>3.4593773364647706E-3</v>
      </c>
      <c r="F104" s="2">
        <f t="shared" ref="F104:G104" si="623">EXP(-(($A104*$F$31*G$31)^$E$31))</f>
        <v>3.4593773364647706E-3</v>
      </c>
      <c r="G104" s="2">
        <f t="shared" si="623"/>
        <v>3.4593773364647706E-3</v>
      </c>
      <c r="I104" s="8" t="e">
        <f t="shared" si="595"/>
        <v>#DIV/0!</v>
      </c>
      <c r="J104" s="2" t="e">
        <f t="shared" ref="J104:K104" si="624">EXP(-(($J$31*K$31)/$I$31)*(EXP($I$31*$A104)-1))</f>
        <v>#DIV/0!</v>
      </c>
      <c r="K104" s="2" t="e">
        <f t="shared" si="624"/>
        <v>#DIV/0!</v>
      </c>
      <c r="M104" s="8">
        <f t="shared" si="597"/>
        <v>4.1405746215938177E-2</v>
      </c>
      <c r="N104" s="2">
        <f t="shared" ref="N104:O104" si="625">1-_xlfn.NORM.S.DIST((LN($A104)-$M$31-O$31)/$N$31,TRUE)</f>
        <v>4.1405746215938177E-2</v>
      </c>
      <c r="O104" s="2">
        <f t="shared" si="625"/>
        <v>4.1405746215938177E-2</v>
      </c>
      <c r="Q104" s="8">
        <f t="shared" si="599"/>
        <v>0.15000000000000002</v>
      </c>
      <c r="R104" s="2">
        <f t="shared" ref="R104:S104" si="626">1-(1/(1+($A104/($R$31*S$31))^(-$Q$31)))</f>
        <v>0.15000000000000002</v>
      </c>
      <c r="S104" s="2">
        <f t="shared" si="626"/>
        <v>0.15000000000000002</v>
      </c>
      <c r="U104" s="8">
        <f t="shared" si="601"/>
        <v>3.4593773364647307E-3</v>
      </c>
      <c r="V104" s="2">
        <f t="shared" ref="V104" si="627">1-(_xlfn.GAMMA.DIST($V$31*W$31*$A104,$U$31,1,TRUE)*EXP(GAMMALN($U$31)))/EXP(GAMMALN($U$31))</f>
        <v>3.4593773364647307E-3</v>
      </c>
      <c r="W104" s="2">
        <f t="shared" si="582"/>
        <v>3.4593773364647307E-3</v>
      </c>
      <c r="Y104" s="8">
        <f t="shared" si="603"/>
        <v>4.1405746215938177E-2</v>
      </c>
      <c r="Z104" s="2">
        <f t="shared" si="106"/>
        <v>4.1405746215938177E-2</v>
      </c>
      <c r="AA104" s="2">
        <f t="shared" si="107"/>
        <v>4.1405746215938177E-2</v>
      </c>
      <c r="AD104" s="8" t="e">
        <f t="shared" si="583"/>
        <v>#DIV/0!</v>
      </c>
      <c r="AE104" s="2" t="e">
        <f t="shared" si="604"/>
        <v>#DIV/0!</v>
      </c>
      <c r="AF104" s="2" t="e">
        <f t="shared" ref="AF104:AG104" si="628">EXP(-EXP($AD104+AG$31))</f>
        <v>#DIV/0!</v>
      </c>
      <c r="AG104" s="2" t="e">
        <f t="shared" si="628"/>
        <v>#DIV/0!</v>
      </c>
      <c r="AI104" s="8" t="e">
        <f t="shared" si="585"/>
        <v>#DIV/0!</v>
      </c>
      <c r="AJ104" s="2" t="e">
        <f t="shared" si="606"/>
        <v>#DIV/0!</v>
      </c>
      <c r="AK104" s="2" t="e">
        <f t="shared" ref="AK104:AL104" si="629">1-(EXP($AI104+AL$31)/(1 + EXP($AI104+AL$31)))</f>
        <v>#DIV/0!</v>
      </c>
      <c r="AL104" s="2" t="e">
        <f t="shared" si="629"/>
        <v>#DIV/0!</v>
      </c>
      <c r="AN104" s="8" t="e">
        <f t="shared" si="587"/>
        <v>#DIV/0!</v>
      </c>
      <c r="AO104" s="2" t="e">
        <f t="shared" si="608"/>
        <v>#DIV/0!</v>
      </c>
      <c r="AP104" s="2" t="e">
        <f t="shared" ref="AP104:AQ104" si="630">1-NORMSDIST($AN104+AQ$31)</f>
        <v>#DIV/0!</v>
      </c>
      <c r="AQ104" s="2" t="e">
        <f t="shared" si="630"/>
        <v>#DIV/0!</v>
      </c>
      <c r="AS104" s="8" t="e">
        <f t="shared" si="589"/>
        <v>#DIV/0!</v>
      </c>
      <c r="AT104" s="2" t="e">
        <f t="shared" si="610"/>
        <v>#DIV/0!</v>
      </c>
      <c r="AU104" s="2" t="e">
        <f t="shared" si="111"/>
        <v>#DIV/0!</v>
      </c>
      <c r="AV104" s="2" t="e">
        <f t="shared" si="112"/>
        <v>#DIV/0!</v>
      </c>
      <c r="AY104" s="8" t="e">
        <f t="shared" si="590"/>
        <v>#DIV/0!</v>
      </c>
      <c r="AZ104" s="2" t="e">
        <f t="shared" si="611"/>
        <v>#DIV/0!</v>
      </c>
      <c r="BA104" s="2" t="e">
        <f t="shared" si="113"/>
        <v>#DIV/0!</v>
      </c>
      <c r="BB104" s="2" t="e">
        <f t="shared" si="114"/>
        <v>#DIV/0!</v>
      </c>
      <c r="BE104" s="8" t="e">
        <f t="shared" si="591"/>
        <v>#DIV/0!</v>
      </c>
      <c r="BF104" s="2" t="e">
        <f t="shared" si="612"/>
        <v>#DIV/0!</v>
      </c>
      <c r="BG104" s="2" t="e">
        <f t="shared" si="613"/>
        <v>#DIV/0!</v>
      </c>
      <c r="BH104" s="2" t="e">
        <f t="shared" si="614"/>
        <v>#DIV/0!</v>
      </c>
    </row>
    <row r="105" spans="1:60" x14ac:dyDescent="0.2">
      <c r="A105" s="2">
        <f t="shared" si="100"/>
        <v>5.7499999999999964</v>
      </c>
      <c r="B105" s="2">
        <f t="shared" si="592"/>
        <v>3.1827807965096782E-3</v>
      </c>
      <c r="C105" s="2">
        <f t="shared" si="195"/>
        <v>3.1827807965096782E-3</v>
      </c>
      <c r="D105" s="2">
        <f t="shared" si="195"/>
        <v>3.1827807965096782E-3</v>
      </c>
      <c r="E105" s="8">
        <f t="shared" si="593"/>
        <v>3.1827807965096782E-3</v>
      </c>
      <c r="F105" s="2">
        <f t="shared" ref="F105:G105" si="631">EXP(-(($A105*$F$31*G$31)^$E$31))</f>
        <v>3.1827807965096782E-3</v>
      </c>
      <c r="G105" s="2">
        <f t="shared" si="631"/>
        <v>3.1827807965096782E-3</v>
      </c>
      <c r="I105" s="8" t="e">
        <f t="shared" si="595"/>
        <v>#DIV/0!</v>
      </c>
      <c r="J105" s="2" t="e">
        <f t="shared" ref="J105:K105" si="632">EXP(-(($J$31*K$31)/$I$31)*(EXP($I$31*$A105)-1))</f>
        <v>#DIV/0!</v>
      </c>
      <c r="K105" s="2" t="e">
        <f t="shared" si="632"/>
        <v>#DIV/0!</v>
      </c>
      <c r="M105" s="8">
        <f t="shared" si="597"/>
        <v>4.012823959357692E-2</v>
      </c>
      <c r="N105" s="2">
        <f t="shared" ref="N105:O105" si="633">1-_xlfn.NORM.S.DIST((LN($A105)-$M$31-O$31)/$N$31,TRUE)</f>
        <v>4.012823959357692E-2</v>
      </c>
      <c r="O105" s="2">
        <f t="shared" si="633"/>
        <v>4.012823959357692E-2</v>
      </c>
      <c r="Q105" s="8">
        <f t="shared" si="599"/>
        <v>0.14814814814814825</v>
      </c>
      <c r="R105" s="2">
        <f t="shared" ref="R105:S105" si="634">1-(1/(1+($A105/($R$31*S$31))^(-$Q$31)))</f>
        <v>0.14814814814814825</v>
      </c>
      <c r="S105" s="2">
        <f t="shared" si="634"/>
        <v>0.14814814814814825</v>
      </c>
      <c r="U105" s="8">
        <f t="shared" si="601"/>
        <v>3.1827807965096877E-3</v>
      </c>
      <c r="V105" s="2">
        <f t="shared" ref="V105" si="635">1-(_xlfn.GAMMA.DIST($V$31*W$31*$A105,$U$31,1,TRUE)*EXP(GAMMALN($U$31)))/EXP(GAMMALN($U$31))</f>
        <v>3.1827807965096877E-3</v>
      </c>
      <c r="W105" s="2">
        <f t="shared" si="582"/>
        <v>3.1827807965096877E-3</v>
      </c>
      <c r="Y105" s="8">
        <f t="shared" si="603"/>
        <v>4.012823959357692E-2</v>
      </c>
      <c r="Z105" s="2">
        <f t="shared" si="106"/>
        <v>4.012823959357692E-2</v>
      </c>
      <c r="AA105" s="2">
        <f t="shared" si="107"/>
        <v>4.012823959357692E-2</v>
      </c>
      <c r="AD105" s="8" t="e">
        <f t="shared" si="583"/>
        <v>#DIV/0!</v>
      </c>
      <c r="AE105" s="2" t="e">
        <f t="shared" si="604"/>
        <v>#DIV/0!</v>
      </c>
      <c r="AF105" s="2" t="e">
        <f t="shared" ref="AF105:AG105" si="636">EXP(-EXP($AD105+AG$31))</f>
        <v>#DIV/0!</v>
      </c>
      <c r="AG105" s="2" t="e">
        <f t="shared" si="636"/>
        <v>#DIV/0!</v>
      </c>
      <c r="AI105" s="8" t="e">
        <f t="shared" si="585"/>
        <v>#DIV/0!</v>
      </c>
      <c r="AJ105" s="2" t="e">
        <f t="shared" si="606"/>
        <v>#DIV/0!</v>
      </c>
      <c r="AK105" s="2" t="e">
        <f t="shared" ref="AK105:AL105" si="637">1-(EXP($AI105+AL$31)/(1 + EXP($AI105+AL$31)))</f>
        <v>#DIV/0!</v>
      </c>
      <c r="AL105" s="2" t="e">
        <f t="shared" si="637"/>
        <v>#DIV/0!</v>
      </c>
      <c r="AN105" s="8" t="e">
        <f t="shared" si="587"/>
        <v>#DIV/0!</v>
      </c>
      <c r="AO105" s="2" t="e">
        <f t="shared" si="608"/>
        <v>#DIV/0!</v>
      </c>
      <c r="AP105" s="2" t="e">
        <f t="shared" ref="AP105:AQ105" si="638">1-NORMSDIST($AN105+AQ$31)</f>
        <v>#DIV/0!</v>
      </c>
      <c r="AQ105" s="2" t="e">
        <f t="shared" si="638"/>
        <v>#DIV/0!</v>
      </c>
      <c r="AS105" s="8" t="e">
        <f t="shared" si="589"/>
        <v>#DIV/0!</v>
      </c>
      <c r="AT105" s="2" t="e">
        <f t="shared" si="610"/>
        <v>#DIV/0!</v>
      </c>
      <c r="AU105" s="2" t="e">
        <f t="shared" si="111"/>
        <v>#DIV/0!</v>
      </c>
      <c r="AV105" s="2" t="e">
        <f t="shared" si="112"/>
        <v>#DIV/0!</v>
      </c>
      <c r="AY105" s="8" t="e">
        <f t="shared" si="590"/>
        <v>#DIV/0!</v>
      </c>
      <c r="AZ105" s="2" t="e">
        <f t="shared" si="611"/>
        <v>#DIV/0!</v>
      </c>
      <c r="BA105" s="2" t="e">
        <f t="shared" si="113"/>
        <v>#DIV/0!</v>
      </c>
      <c r="BB105" s="2" t="e">
        <f t="shared" si="114"/>
        <v>#DIV/0!</v>
      </c>
      <c r="BE105" s="8" t="e">
        <f t="shared" si="591"/>
        <v>#DIV/0!</v>
      </c>
      <c r="BF105" s="2" t="e">
        <f t="shared" si="612"/>
        <v>#DIV/0!</v>
      </c>
      <c r="BG105" s="2" t="e">
        <f t="shared" si="613"/>
        <v>#DIV/0!</v>
      </c>
      <c r="BH105" s="2" t="e">
        <f t="shared" si="614"/>
        <v>#DIV/0!</v>
      </c>
    </row>
    <row r="106" spans="1:60" x14ac:dyDescent="0.2">
      <c r="A106" s="2">
        <f t="shared" si="100"/>
        <v>5.8333333333333295</v>
      </c>
      <c r="B106" s="2">
        <f t="shared" si="592"/>
        <v>2.9282996948181992E-3</v>
      </c>
      <c r="C106" s="2">
        <f t="shared" si="195"/>
        <v>2.9282996948181992E-3</v>
      </c>
      <c r="D106" s="2">
        <f t="shared" si="195"/>
        <v>2.9282996948181992E-3</v>
      </c>
      <c r="E106" s="8">
        <f t="shared" si="593"/>
        <v>2.9282996948181992E-3</v>
      </c>
      <c r="F106" s="2">
        <f t="shared" ref="F106:G106" si="639">EXP(-(($A106*$F$31*G$31)^$E$31))</f>
        <v>2.9282996948181992E-3</v>
      </c>
      <c r="G106" s="2">
        <f t="shared" si="639"/>
        <v>2.9282996948181992E-3</v>
      </c>
      <c r="I106" s="8" t="e">
        <f t="shared" si="595"/>
        <v>#DIV/0!</v>
      </c>
      <c r="J106" s="2" t="e">
        <f t="shared" ref="J106:K106" si="640">EXP(-(($J$31*K$31)/$I$31)*(EXP($I$31*$A106)-1))</f>
        <v>#DIV/0!</v>
      </c>
      <c r="K106" s="2" t="e">
        <f t="shared" si="640"/>
        <v>#DIV/0!</v>
      </c>
      <c r="M106" s="8">
        <f t="shared" si="597"/>
        <v>3.8900634863338279E-2</v>
      </c>
      <c r="N106" s="2">
        <f t="shared" ref="N106:O106" si="641">1-_xlfn.NORM.S.DIST((LN($A106)-$M$31-O$31)/$N$31,TRUE)</f>
        <v>3.8900634863338279E-2</v>
      </c>
      <c r="O106" s="2">
        <f t="shared" si="641"/>
        <v>3.8900634863338279E-2</v>
      </c>
      <c r="Q106" s="8">
        <f t="shared" si="599"/>
        <v>0.14634146341463417</v>
      </c>
      <c r="R106" s="2">
        <f t="shared" ref="R106:S106" si="642">1-(1/(1+($A106/($R$31*S$31))^(-$Q$31)))</f>
        <v>0.14634146341463417</v>
      </c>
      <c r="S106" s="2">
        <f t="shared" si="642"/>
        <v>0.14634146341463417</v>
      </c>
      <c r="U106" s="8">
        <f t="shared" si="601"/>
        <v>2.9282996948182261E-3</v>
      </c>
      <c r="V106" s="2">
        <f t="shared" ref="V106" si="643">1-(_xlfn.GAMMA.DIST($V$31*W$31*$A106,$U$31,1,TRUE)*EXP(GAMMALN($U$31)))/EXP(GAMMALN($U$31))</f>
        <v>2.9282996948182261E-3</v>
      </c>
      <c r="W106" s="2">
        <f t="shared" si="582"/>
        <v>2.9282996948182261E-3</v>
      </c>
      <c r="Y106" s="8">
        <f t="shared" si="603"/>
        <v>3.8900634863338279E-2</v>
      </c>
      <c r="Z106" s="2">
        <f t="shared" si="106"/>
        <v>3.8900634863338279E-2</v>
      </c>
      <c r="AA106" s="2">
        <f t="shared" si="107"/>
        <v>3.8900634863338279E-2</v>
      </c>
      <c r="AD106" s="8" t="e">
        <f t="shared" si="583"/>
        <v>#DIV/0!</v>
      </c>
      <c r="AE106" s="2" t="e">
        <f t="shared" si="604"/>
        <v>#DIV/0!</v>
      </c>
      <c r="AF106" s="2" t="e">
        <f t="shared" ref="AF106:AG106" si="644">EXP(-EXP($AD106+AG$31))</f>
        <v>#DIV/0!</v>
      </c>
      <c r="AG106" s="2" t="e">
        <f t="shared" si="644"/>
        <v>#DIV/0!</v>
      </c>
      <c r="AI106" s="8" t="e">
        <f t="shared" si="585"/>
        <v>#DIV/0!</v>
      </c>
      <c r="AJ106" s="2" t="e">
        <f t="shared" si="606"/>
        <v>#DIV/0!</v>
      </c>
      <c r="AK106" s="2" t="e">
        <f t="shared" ref="AK106:AL106" si="645">1-(EXP($AI106+AL$31)/(1 + EXP($AI106+AL$31)))</f>
        <v>#DIV/0!</v>
      </c>
      <c r="AL106" s="2" t="e">
        <f t="shared" si="645"/>
        <v>#DIV/0!</v>
      </c>
      <c r="AN106" s="8" t="e">
        <f t="shared" si="587"/>
        <v>#DIV/0!</v>
      </c>
      <c r="AO106" s="2" t="e">
        <f t="shared" si="608"/>
        <v>#DIV/0!</v>
      </c>
      <c r="AP106" s="2" t="e">
        <f t="shared" ref="AP106:AQ106" si="646">1-NORMSDIST($AN106+AQ$31)</f>
        <v>#DIV/0!</v>
      </c>
      <c r="AQ106" s="2" t="e">
        <f t="shared" si="646"/>
        <v>#DIV/0!</v>
      </c>
      <c r="AS106" s="8" t="e">
        <f t="shared" si="589"/>
        <v>#DIV/0!</v>
      </c>
      <c r="AT106" s="2" t="e">
        <f t="shared" si="610"/>
        <v>#DIV/0!</v>
      </c>
      <c r="AU106" s="2" t="e">
        <f t="shared" si="111"/>
        <v>#DIV/0!</v>
      </c>
      <c r="AV106" s="2" t="e">
        <f t="shared" si="112"/>
        <v>#DIV/0!</v>
      </c>
      <c r="AY106" s="8" t="e">
        <f t="shared" si="590"/>
        <v>#DIV/0!</v>
      </c>
      <c r="AZ106" s="2" t="e">
        <f t="shared" si="611"/>
        <v>#DIV/0!</v>
      </c>
      <c r="BA106" s="2" t="e">
        <f t="shared" si="113"/>
        <v>#DIV/0!</v>
      </c>
      <c r="BB106" s="2" t="e">
        <f t="shared" si="114"/>
        <v>#DIV/0!</v>
      </c>
      <c r="BE106" s="8" t="e">
        <f t="shared" si="591"/>
        <v>#DIV/0!</v>
      </c>
      <c r="BF106" s="2" t="e">
        <f t="shared" si="612"/>
        <v>#DIV/0!</v>
      </c>
      <c r="BG106" s="2" t="e">
        <f t="shared" si="613"/>
        <v>#DIV/0!</v>
      </c>
      <c r="BH106" s="2" t="e">
        <f t="shared" si="614"/>
        <v>#DIV/0!</v>
      </c>
    </row>
    <row r="107" spans="1:60" x14ac:dyDescent="0.2">
      <c r="A107" s="2">
        <f t="shared" ref="A107:A156" si="647">A106+$A$35</f>
        <v>5.9166666666666625</v>
      </c>
      <c r="B107" s="2">
        <f t="shared" si="592"/>
        <v>2.6941657785782367E-3</v>
      </c>
      <c r="C107" s="2">
        <f t="shared" si="195"/>
        <v>2.6941657785782367E-3</v>
      </c>
      <c r="D107" s="2">
        <f t="shared" si="195"/>
        <v>2.6941657785782367E-3</v>
      </c>
      <c r="E107" s="8">
        <f t="shared" si="593"/>
        <v>2.6941657785782367E-3</v>
      </c>
      <c r="F107" s="2">
        <f t="shared" ref="F107:G107" si="648">EXP(-(($A107*$F$31*G$31)^$E$31))</f>
        <v>2.6941657785782367E-3</v>
      </c>
      <c r="G107" s="2">
        <f t="shared" si="648"/>
        <v>2.6941657785782367E-3</v>
      </c>
      <c r="I107" s="8" t="e">
        <f t="shared" si="595"/>
        <v>#DIV/0!</v>
      </c>
      <c r="J107" s="2" t="e">
        <f t="shared" ref="J107:K107" si="649">EXP(-(($J$31*K$31)/$I$31)*(EXP($I$31*$A107)-1))</f>
        <v>#DIV/0!</v>
      </c>
      <c r="K107" s="2" t="e">
        <f t="shared" si="649"/>
        <v>#DIV/0!</v>
      </c>
      <c r="M107" s="8">
        <f t="shared" si="597"/>
        <v>3.7720553649090549E-2</v>
      </c>
      <c r="N107" s="2">
        <f t="shared" ref="N107:O107" si="650">1-_xlfn.NORM.S.DIST((LN($A107)-$M$31-O$31)/$N$31,TRUE)</f>
        <v>3.7720553649090549E-2</v>
      </c>
      <c r="O107" s="2">
        <f t="shared" si="650"/>
        <v>3.7720553649090549E-2</v>
      </c>
      <c r="Q107" s="8">
        <f t="shared" si="599"/>
        <v>0.14457831325301218</v>
      </c>
      <c r="R107" s="2">
        <f t="shared" ref="R107:S107" si="651">1-(1/(1+($A107/($R$31*S$31))^(-$Q$31)))</f>
        <v>0.14457831325301218</v>
      </c>
      <c r="S107" s="2">
        <f t="shared" si="651"/>
        <v>0.14457831325301218</v>
      </c>
      <c r="U107" s="8">
        <f t="shared" si="601"/>
        <v>2.6941657785782835E-3</v>
      </c>
      <c r="V107" s="2">
        <f t="shared" ref="V107" si="652">1-(_xlfn.GAMMA.DIST($V$31*W$31*$A107,$U$31,1,TRUE)*EXP(GAMMALN($U$31)))/EXP(GAMMALN($U$31))</f>
        <v>2.6941657785782835E-3</v>
      </c>
      <c r="W107" s="2">
        <f t="shared" si="582"/>
        <v>2.6941657785782835E-3</v>
      </c>
      <c r="Y107" s="8">
        <f t="shared" si="603"/>
        <v>3.7720553649090549E-2</v>
      </c>
      <c r="Z107" s="2">
        <f t="shared" ref="Z107:Z156" si="653">IF(ABS($AA$31)&lt;0.05,
        1-_xlfn.NORM.S.DIST((LN($A107)-($Y$31+AB$31))/$Z$31,TRUE),
        IF(0=1-
            IF($AA$31&gt;0,
                    _xlfn.GAMMA.DIST(EXP($AA$31*((LN($A107)-($Y$31+AB$31))/$Z$31))*($AA$31^(-2)),($AA$31^(-2)),1, TRUE),
                    1-_xlfn.GAMMA.DIST(EXP($AA$31*((LN($A107)-($Y$31+AB$31))/$Z$31))*($AA$31^(-2)),($AA$31^(-2)),1, TRUE)),
            0,
            EXP(LN(1-
                IF($AA$31&gt;0,
                    _xlfn.GAMMA.DIST(EXP($AA$31*((LN($A107)-($Y$31+AB$31))/$Z$31))*($AA$31^(-2)),($AA$31^(-2)),1, TRUE),
                    1-_xlfn.GAMMA.DIST(EXP($AA$31*((LN($A107)-($Y$31+AB$31))/$Z$31))*($AA$31^(-2)),($AA$31^(-2)),1, TRUE))))))</f>
        <v>3.7720553649090549E-2</v>
      </c>
      <c r="AA107" s="2">
        <f t="shared" ref="AA107:AA156" si="654">IF(ABS($AA$31)&lt;0.05,
        1-_xlfn.NORM.S.DIST((LN($A107)-($Y$31+AC$31))/$Z$31,TRUE),
        IF(0=1-
            IF($AA$31&gt;0,
                    _xlfn.GAMMA.DIST(EXP($AA$31*((LN($A107)-($Y$31+AC$31))/$Z$31))*($AA$31^(-2)),($AA$31^(-2)),1, TRUE),
                    1-_xlfn.GAMMA.DIST(EXP($AA$31*((LN($A107)-($Y$31+AC$31))/$Z$31))*($AA$31^(-2)),($AA$31^(-2)),1, TRUE)),
            0,
            EXP(LN(1-
                IF($AA$31&gt;0,
                    _xlfn.GAMMA.DIST(EXP($AA$31*((LN($A107)-($Y$31+AC$31))/$Z$31))*($AA$31^(-2)),($AA$31^(-2)),1, TRUE),
                    1-_xlfn.GAMMA.DIST(EXP($AA$31*((LN($A107)-($Y$31+AC$31))/$Z$31))*($AA$31^(-2)),($AA$31^(-2)),1, TRUE))))))</f>
        <v>3.7720553649090549E-2</v>
      </c>
      <c r="AD107" s="8" t="e">
        <f t="shared" si="583"/>
        <v>#DIV/0!</v>
      </c>
      <c r="AE107" s="2" t="e">
        <f t="shared" si="604"/>
        <v>#DIV/0!</v>
      </c>
      <c r="AF107" s="2" t="e">
        <f t="shared" ref="AF107:AG107" si="655">EXP(-EXP($AD107+AG$31))</f>
        <v>#DIV/0!</v>
      </c>
      <c r="AG107" s="2" t="e">
        <f t="shared" si="655"/>
        <v>#DIV/0!</v>
      </c>
      <c r="AI107" s="8" t="e">
        <f t="shared" si="585"/>
        <v>#DIV/0!</v>
      </c>
      <c r="AJ107" s="2" t="e">
        <f t="shared" si="606"/>
        <v>#DIV/0!</v>
      </c>
      <c r="AK107" s="2" t="e">
        <f t="shared" ref="AK107:AL107" si="656">1-(EXP($AI107+AL$31)/(1 + EXP($AI107+AL$31)))</f>
        <v>#DIV/0!</v>
      </c>
      <c r="AL107" s="2" t="e">
        <f t="shared" si="656"/>
        <v>#DIV/0!</v>
      </c>
      <c r="AN107" s="8" t="e">
        <f t="shared" si="587"/>
        <v>#DIV/0!</v>
      </c>
      <c r="AO107" s="2" t="e">
        <f t="shared" si="608"/>
        <v>#DIV/0!</v>
      </c>
      <c r="AP107" s="2" t="e">
        <f t="shared" ref="AP107:AQ107" si="657">1-NORMSDIST($AN107+AQ$31)</f>
        <v>#DIV/0!</v>
      </c>
      <c r="AQ107" s="2" t="e">
        <f t="shared" si="657"/>
        <v>#DIV/0!</v>
      </c>
      <c r="AS107" s="8" t="e">
        <f t="shared" si="589"/>
        <v>#DIV/0!</v>
      </c>
      <c r="AT107" s="2" t="e">
        <f t="shared" si="610"/>
        <v>#DIV/0!</v>
      </c>
      <c r="AU107" s="2" t="e">
        <f t="shared" ref="AU107:AU156" si="658">EXP(-EXP($AS107+AW$31))</f>
        <v>#DIV/0!</v>
      </c>
      <c r="AV107" s="2" t="e">
        <f t="shared" ref="AV107:AV156" si="659">EXP(-EXP($AS107+AX$31))</f>
        <v>#DIV/0!</v>
      </c>
      <c r="AY107" s="8" t="e">
        <f t="shared" si="590"/>
        <v>#DIV/0!</v>
      </c>
      <c r="AZ107" s="2" t="e">
        <f t="shared" si="611"/>
        <v>#DIV/0!</v>
      </c>
      <c r="BA107" s="2" t="e">
        <f t="shared" ref="BA107:BA156" si="660">1-(EXP($AY107+BC$31)/(1 + EXP($AY107+BC$31)))</f>
        <v>#DIV/0!</v>
      </c>
      <c r="BB107" s="2" t="e">
        <f t="shared" ref="BB107:BB156" si="661">1-(EXP($AY107+BD$31)/(1 + EXP($AY107+BD$31)))</f>
        <v>#DIV/0!</v>
      </c>
      <c r="BE107" s="8" t="e">
        <f t="shared" si="591"/>
        <v>#DIV/0!</v>
      </c>
      <c r="BF107" s="2" t="e">
        <f t="shared" si="612"/>
        <v>#DIV/0!</v>
      </c>
      <c r="BG107" s="2" t="e">
        <f t="shared" si="613"/>
        <v>#DIV/0!</v>
      </c>
      <c r="BH107" s="2" t="e">
        <f t="shared" si="614"/>
        <v>#DIV/0!</v>
      </c>
    </row>
    <row r="108" spans="1:60" x14ac:dyDescent="0.2">
      <c r="A108" s="2">
        <f t="shared" si="647"/>
        <v>5.9999999999999956</v>
      </c>
      <c r="B108" s="2">
        <f t="shared" si="592"/>
        <v>2.4787521766663693E-3</v>
      </c>
      <c r="C108" s="2">
        <f t="shared" si="195"/>
        <v>2.4787521766663693E-3</v>
      </c>
      <c r="D108" s="2">
        <f t="shared" si="195"/>
        <v>2.4787521766663693E-3</v>
      </c>
      <c r="E108" s="8">
        <f t="shared" si="593"/>
        <v>2.4787521766663693E-3</v>
      </c>
      <c r="F108" s="2">
        <f t="shared" ref="F108:G108" si="662">EXP(-(($A108*$F$31*G$31)^$E$31))</f>
        <v>2.4787521766663693E-3</v>
      </c>
      <c r="G108" s="2">
        <f t="shared" si="662"/>
        <v>2.4787521766663693E-3</v>
      </c>
      <c r="I108" s="8" t="e">
        <f t="shared" si="595"/>
        <v>#DIV/0!</v>
      </c>
      <c r="J108" s="2" t="e">
        <f t="shared" ref="J108:K108" si="663">EXP(-(($J$31*K$31)/$I$31)*(EXP($I$31*$A108)-1))</f>
        <v>#DIV/0!</v>
      </c>
      <c r="K108" s="2" t="e">
        <f t="shared" si="663"/>
        <v>#DIV/0!</v>
      </c>
      <c r="M108" s="8">
        <f t="shared" si="597"/>
        <v>3.6585751917042941E-2</v>
      </c>
      <c r="N108" s="2">
        <f t="shared" ref="N108:O108" si="664">1-_xlfn.NORM.S.DIST((LN($A108)-$M$31-O$31)/$N$31,TRUE)</f>
        <v>3.6585751917042941E-2</v>
      </c>
      <c r="O108" s="2">
        <f t="shared" si="664"/>
        <v>3.6585751917042941E-2</v>
      </c>
      <c r="Q108" s="8">
        <f t="shared" si="599"/>
        <v>0.1428571428571429</v>
      </c>
      <c r="R108" s="2">
        <f t="shared" ref="R108:S108" si="665">1-(1/(1+($A108/($R$31*S$31))^(-$Q$31)))</f>
        <v>0.1428571428571429</v>
      </c>
      <c r="S108" s="2">
        <f t="shared" si="665"/>
        <v>0.1428571428571429</v>
      </c>
      <c r="U108" s="8">
        <f t="shared" si="601"/>
        <v>2.4787521766663767E-3</v>
      </c>
      <c r="V108" s="2">
        <f t="shared" ref="V108" si="666">1-(_xlfn.GAMMA.DIST($V$31*W$31*$A108,$U$31,1,TRUE)*EXP(GAMMALN($U$31)))/EXP(GAMMALN($U$31))</f>
        <v>2.4787521766663767E-3</v>
      </c>
      <c r="W108" s="2">
        <f t="shared" si="582"/>
        <v>2.4787521766663767E-3</v>
      </c>
      <c r="Y108" s="8">
        <f t="shared" si="603"/>
        <v>3.6585751917042941E-2</v>
      </c>
      <c r="Z108" s="2">
        <f t="shared" si="653"/>
        <v>3.6585751917042941E-2</v>
      </c>
      <c r="AA108" s="2">
        <f t="shared" si="654"/>
        <v>3.6585751917042941E-2</v>
      </c>
      <c r="AD108" s="8" t="e">
        <f t="shared" si="583"/>
        <v>#DIV/0!</v>
      </c>
      <c r="AE108" s="2" t="e">
        <f t="shared" si="604"/>
        <v>#DIV/0!</v>
      </c>
      <c r="AF108" s="2" t="e">
        <f t="shared" ref="AF108:AG108" si="667">EXP(-EXP($AD108+AG$31))</f>
        <v>#DIV/0!</v>
      </c>
      <c r="AG108" s="2" t="e">
        <f t="shared" si="667"/>
        <v>#DIV/0!</v>
      </c>
      <c r="AI108" s="8" t="e">
        <f t="shared" si="585"/>
        <v>#DIV/0!</v>
      </c>
      <c r="AJ108" s="2" t="e">
        <f t="shared" si="606"/>
        <v>#DIV/0!</v>
      </c>
      <c r="AK108" s="2" t="e">
        <f t="shared" ref="AK108:AL108" si="668">1-(EXP($AI108+AL$31)/(1 + EXP($AI108+AL$31)))</f>
        <v>#DIV/0!</v>
      </c>
      <c r="AL108" s="2" t="e">
        <f t="shared" si="668"/>
        <v>#DIV/0!</v>
      </c>
      <c r="AN108" s="8" t="e">
        <f t="shared" si="587"/>
        <v>#DIV/0!</v>
      </c>
      <c r="AO108" s="2" t="e">
        <f t="shared" si="608"/>
        <v>#DIV/0!</v>
      </c>
      <c r="AP108" s="2" t="e">
        <f t="shared" ref="AP108:AQ108" si="669">1-NORMSDIST($AN108+AQ$31)</f>
        <v>#DIV/0!</v>
      </c>
      <c r="AQ108" s="2" t="e">
        <f t="shared" si="669"/>
        <v>#DIV/0!</v>
      </c>
      <c r="AS108" s="8" t="e">
        <f t="shared" si="589"/>
        <v>#DIV/0!</v>
      </c>
      <c r="AT108" s="2" t="e">
        <f t="shared" si="610"/>
        <v>#DIV/0!</v>
      </c>
      <c r="AU108" s="2" t="e">
        <f t="shared" si="658"/>
        <v>#DIV/0!</v>
      </c>
      <c r="AV108" s="2" t="e">
        <f t="shared" si="659"/>
        <v>#DIV/0!</v>
      </c>
      <c r="AY108" s="8" t="e">
        <f t="shared" si="590"/>
        <v>#DIV/0!</v>
      </c>
      <c r="AZ108" s="2" t="e">
        <f t="shared" si="611"/>
        <v>#DIV/0!</v>
      </c>
      <c r="BA108" s="2" t="e">
        <f t="shared" si="660"/>
        <v>#DIV/0!</v>
      </c>
      <c r="BB108" s="2" t="e">
        <f t="shared" si="661"/>
        <v>#DIV/0!</v>
      </c>
      <c r="BE108" s="8" t="e">
        <f t="shared" si="591"/>
        <v>#DIV/0!</v>
      </c>
      <c r="BF108" s="2" t="e">
        <f t="shared" si="612"/>
        <v>#DIV/0!</v>
      </c>
      <c r="BG108" s="2" t="e">
        <f t="shared" si="613"/>
        <v>#DIV/0!</v>
      </c>
      <c r="BH108" s="2" t="e">
        <f t="shared" si="614"/>
        <v>#DIV/0!</v>
      </c>
    </row>
    <row r="109" spans="1:60" x14ac:dyDescent="0.2">
      <c r="A109" s="2">
        <f t="shared" si="647"/>
        <v>6.0833333333333286</v>
      </c>
      <c r="B109" s="2">
        <f t="shared" si="592"/>
        <v>2.2805620953921715E-3</v>
      </c>
      <c r="C109" s="2">
        <f t="shared" si="195"/>
        <v>2.2805620953921715E-3</v>
      </c>
      <c r="D109" s="2">
        <f t="shared" si="195"/>
        <v>2.2805620953921715E-3</v>
      </c>
      <c r="E109" s="8">
        <f t="shared" si="593"/>
        <v>2.2805620953921715E-3</v>
      </c>
      <c r="F109" s="2">
        <f t="shared" ref="F109:G109" si="670">EXP(-(($A109*$F$31*G$31)^$E$31))</f>
        <v>2.2805620953921715E-3</v>
      </c>
      <c r="G109" s="2">
        <f t="shared" si="670"/>
        <v>2.2805620953921715E-3</v>
      </c>
      <c r="I109" s="8" t="e">
        <f t="shared" si="595"/>
        <v>#DIV/0!</v>
      </c>
      <c r="J109" s="2" t="e">
        <f t="shared" ref="J109:K109" si="671">EXP(-(($J$31*K$31)/$I$31)*(EXP($I$31*$A109)-1))</f>
        <v>#DIV/0!</v>
      </c>
      <c r="K109" s="2" t="e">
        <f t="shared" si="671"/>
        <v>#DIV/0!</v>
      </c>
      <c r="M109" s="8">
        <f t="shared" si="597"/>
        <v>3.5494111189116828E-2</v>
      </c>
      <c r="N109" s="2">
        <f t="shared" ref="N109:O109" si="672">1-_xlfn.NORM.S.DIST((LN($A109)-$M$31-O$31)/$N$31,TRUE)</f>
        <v>3.5494111189116828E-2</v>
      </c>
      <c r="O109" s="2">
        <f t="shared" si="672"/>
        <v>3.5494111189116828E-2</v>
      </c>
      <c r="Q109" s="8">
        <f t="shared" si="599"/>
        <v>0.14117647058823546</v>
      </c>
      <c r="R109" s="2">
        <f t="shared" ref="R109:S109" si="673">1-(1/(1+($A109/($R$31*S$31))^(-$Q$31)))</f>
        <v>0.14117647058823546</v>
      </c>
      <c r="S109" s="2">
        <f t="shared" si="673"/>
        <v>0.14117647058823546</v>
      </c>
      <c r="U109" s="8">
        <f t="shared" si="601"/>
        <v>2.2805620953921801E-3</v>
      </c>
      <c r="V109" s="2">
        <f t="shared" ref="V109" si="674">1-(_xlfn.GAMMA.DIST($V$31*W$31*$A109,$U$31,1,TRUE)*EXP(GAMMALN($U$31)))/EXP(GAMMALN($U$31))</f>
        <v>2.2805620953921801E-3</v>
      </c>
      <c r="W109" s="2">
        <f t="shared" si="582"/>
        <v>2.2805620953921801E-3</v>
      </c>
      <c r="Y109" s="8">
        <f t="shared" si="603"/>
        <v>3.5494111189116828E-2</v>
      </c>
      <c r="Z109" s="2">
        <f t="shared" si="653"/>
        <v>3.5494111189116828E-2</v>
      </c>
      <c r="AA109" s="2">
        <f t="shared" si="654"/>
        <v>3.5494111189116828E-2</v>
      </c>
      <c r="AD109" s="8" t="e">
        <f t="shared" si="583"/>
        <v>#DIV/0!</v>
      </c>
      <c r="AE109" s="2" t="e">
        <f t="shared" si="604"/>
        <v>#DIV/0!</v>
      </c>
      <c r="AF109" s="2" t="e">
        <f t="shared" ref="AF109:AG109" si="675">EXP(-EXP($AD109+AG$31))</f>
        <v>#DIV/0!</v>
      </c>
      <c r="AG109" s="2" t="e">
        <f t="shared" si="675"/>
        <v>#DIV/0!</v>
      </c>
      <c r="AI109" s="8" t="e">
        <f t="shared" si="585"/>
        <v>#DIV/0!</v>
      </c>
      <c r="AJ109" s="2" t="e">
        <f t="shared" si="606"/>
        <v>#DIV/0!</v>
      </c>
      <c r="AK109" s="2" t="e">
        <f t="shared" ref="AK109:AL109" si="676">1-(EXP($AI109+AL$31)/(1 + EXP($AI109+AL$31)))</f>
        <v>#DIV/0!</v>
      </c>
      <c r="AL109" s="2" t="e">
        <f t="shared" si="676"/>
        <v>#DIV/0!</v>
      </c>
      <c r="AN109" s="8" t="e">
        <f t="shared" si="587"/>
        <v>#DIV/0!</v>
      </c>
      <c r="AO109" s="2" t="e">
        <f t="shared" si="608"/>
        <v>#DIV/0!</v>
      </c>
      <c r="AP109" s="2" t="e">
        <f t="shared" ref="AP109:AQ109" si="677">1-NORMSDIST($AN109+AQ$31)</f>
        <v>#DIV/0!</v>
      </c>
      <c r="AQ109" s="2" t="e">
        <f t="shared" si="677"/>
        <v>#DIV/0!</v>
      </c>
      <c r="AS109" s="8" t="e">
        <f t="shared" si="589"/>
        <v>#DIV/0!</v>
      </c>
      <c r="AT109" s="2" t="e">
        <f t="shared" si="610"/>
        <v>#DIV/0!</v>
      </c>
      <c r="AU109" s="2" t="e">
        <f t="shared" si="658"/>
        <v>#DIV/0!</v>
      </c>
      <c r="AV109" s="2" t="e">
        <f t="shared" si="659"/>
        <v>#DIV/0!</v>
      </c>
      <c r="AY109" s="8" t="e">
        <f t="shared" si="590"/>
        <v>#DIV/0!</v>
      </c>
      <c r="AZ109" s="2" t="e">
        <f t="shared" si="611"/>
        <v>#DIV/0!</v>
      </c>
      <c r="BA109" s="2" t="e">
        <f t="shared" si="660"/>
        <v>#DIV/0!</v>
      </c>
      <c r="BB109" s="2" t="e">
        <f t="shared" si="661"/>
        <v>#DIV/0!</v>
      </c>
      <c r="BE109" s="8" t="e">
        <f t="shared" si="591"/>
        <v>#DIV/0!</v>
      </c>
      <c r="BF109" s="2" t="e">
        <f t="shared" si="612"/>
        <v>#DIV/0!</v>
      </c>
      <c r="BG109" s="2" t="e">
        <f t="shared" si="613"/>
        <v>#DIV/0!</v>
      </c>
      <c r="BH109" s="2" t="e">
        <f t="shared" si="614"/>
        <v>#DIV/0!</v>
      </c>
    </row>
    <row r="110" spans="1:60" x14ac:dyDescent="0.2">
      <c r="A110" s="2">
        <f t="shared" si="647"/>
        <v>6.1666666666666616</v>
      </c>
      <c r="B110" s="2">
        <f t="shared" si="592"/>
        <v>2.0982184180809139E-3</v>
      </c>
      <c r="C110" s="2">
        <f t="shared" si="195"/>
        <v>2.0982184180809139E-3</v>
      </c>
      <c r="D110" s="2">
        <f t="shared" si="195"/>
        <v>2.0982184180809139E-3</v>
      </c>
      <c r="E110" s="8">
        <f t="shared" si="593"/>
        <v>2.0982184180809139E-3</v>
      </c>
      <c r="F110" s="2">
        <f t="shared" ref="F110:G110" si="678">EXP(-(($A110*$F$31*G$31)^$E$31))</f>
        <v>2.0982184180809139E-3</v>
      </c>
      <c r="G110" s="2">
        <f t="shared" si="678"/>
        <v>2.0982184180809139E-3</v>
      </c>
      <c r="I110" s="8" t="e">
        <f t="shared" si="595"/>
        <v>#DIV/0!</v>
      </c>
      <c r="J110" s="2" t="e">
        <f t="shared" ref="J110:K110" si="679">EXP(-(($J$31*K$31)/$I$31)*(EXP($I$31*$A110)-1))</f>
        <v>#DIV/0!</v>
      </c>
      <c r="K110" s="2" t="e">
        <f t="shared" si="679"/>
        <v>#DIV/0!</v>
      </c>
      <c r="M110" s="8">
        <f t="shared" si="597"/>
        <v>3.4443630409332404E-2</v>
      </c>
      <c r="N110" s="2">
        <f t="shared" ref="N110:O110" si="680">1-_xlfn.NORM.S.DIST((LN($A110)-$M$31-O$31)/$N$31,TRUE)</f>
        <v>3.4443630409332404E-2</v>
      </c>
      <c r="O110" s="2">
        <f t="shared" si="680"/>
        <v>3.4443630409332404E-2</v>
      </c>
      <c r="Q110" s="8">
        <f t="shared" si="599"/>
        <v>0.13953488372093037</v>
      </c>
      <c r="R110" s="2">
        <f t="shared" ref="R110:S110" si="681">1-(1/(1+($A110/($R$31*S$31))^(-$Q$31)))</f>
        <v>0.13953488372093037</v>
      </c>
      <c r="S110" s="2">
        <f t="shared" si="681"/>
        <v>0.13953488372093037</v>
      </c>
      <c r="U110" s="8">
        <f t="shared" si="601"/>
        <v>2.0982184180808883E-3</v>
      </c>
      <c r="V110" s="2">
        <f t="shared" ref="V110" si="682">1-(_xlfn.GAMMA.DIST($V$31*W$31*$A110,$U$31,1,TRUE)*EXP(GAMMALN($U$31)))/EXP(GAMMALN($U$31))</f>
        <v>2.0982184180808883E-3</v>
      </c>
      <c r="W110" s="2">
        <f t="shared" si="582"/>
        <v>2.0982184180808883E-3</v>
      </c>
      <c r="Y110" s="8">
        <f t="shared" si="603"/>
        <v>3.4443630409332404E-2</v>
      </c>
      <c r="Z110" s="2">
        <f t="shared" si="653"/>
        <v>3.4443630409332404E-2</v>
      </c>
      <c r="AA110" s="2">
        <f t="shared" si="654"/>
        <v>3.4443630409332404E-2</v>
      </c>
      <c r="AD110" s="8" t="e">
        <f t="shared" si="583"/>
        <v>#DIV/0!</v>
      </c>
      <c r="AE110" s="2" t="e">
        <f t="shared" si="604"/>
        <v>#DIV/0!</v>
      </c>
      <c r="AF110" s="2" t="e">
        <f t="shared" ref="AF110:AG110" si="683">EXP(-EXP($AD110+AG$31))</f>
        <v>#DIV/0!</v>
      </c>
      <c r="AG110" s="2" t="e">
        <f t="shared" si="683"/>
        <v>#DIV/0!</v>
      </c>
      <c r="AI110" s="8" t="e">
        <f t="shared" si="585"/>
        <v>#DIV/0!</v>
      </c>
      <c r="AJ110" s="2" t="e">
        <f t="shared" si="606"/>
        <v>#DIV/0!</v>
      </c>
      <c r="AK110" s="2" t="e">
        <f t="shared" ref="AK110:AL110" si="684">1-(EXP($AI110+AL$31)/(1 + EXP($AI110+AL$31)))</f>
        <v>#DIV/0!</v>
      </c>
      <c r="AL110" s="2" t="e">
        <f t="shared" si="684"/>
        <v>#DIV/0!</v>
      </c>
      <c r="AN110" s="8" t="e">
        <f t="shared" si="587"/>
        <v>#DIV/0!</v>
      </c>
      <c r="AO110" s="2" t="e">
        <f t="shared" si="608"/>
        <v>#DIV/0!</v>
      </c>
      <c r="AP110" s="2" t="e">
        <f t="shared" ref="AP110:AQ110" si="685">1-NORMSDIST($AN110+AQ$31)</f>
        <v>#DIV/0!</v>
      </c>
      <c r="AQ110" s="2" t="e">
        <f t="shared" si="685"/>
        <v>#DIV/0!</v>
      </c>
      <c r="AS110" s="8" t="e">
        <f t="shared" si="589"/>
        <v>#DIV/0!</v>
      </c>
      <c r="AT110" s="2" t="e">
        <f t="shared" si="610"/>
        <v>#DIV/0!</v>
      </c>
      <c r="AU110" s="2" t="e">
        <f t="shared" si="658"/>
        <v>#DIV/0!</v>
      </c>
      <c r="AV110" s="2" t="e">
        <f t="shared" si="659"/>
        <v>#DIV/0!</v>
      </c>
      <c r="AY110" s="8" t="e">
        <f t="shared" si="590"/>
        <v>#DIV/0!</v>
      </c>
      <c r="AZ110" s="2" t="e">
        <f t="shared" si="611"/>
        <v>#DIV/0!</v>
      </c>
      <c r="BA110" s="2" t="e">
        <f t="shared" si="660"/>
        <v>#DIV/0!</v>
      </c>
      <c r="BB110" s="2" t="e">
        <f t="shared" si="661"/>
        <v>#DIV/0!</v>
      </c>
      <c r="BE110" s="8" t="e">
        <f t="shared" si="591"/>
        <v>#DIV/0!</v>
      </c>
      <c r="BF110" s="2" t="e">
        <f t="shared" si="612"/>
        <v>#DIV/0!</v>
      </c>
      <c r="BG110" s="2" t="e">
        <f t="shared" si="613"/>
        <v>#DIV/0!</v>
      </c>
      <c r="BH110" s="2" t="e">
        <f t="shared" si="614"/>
        <v>#DIV/0!</v>
      </c>
    </row>
    <row r="111" spans="1:60" x14ac:dyDescent="0.2">
      <c r="A111" s="2">
        <f t="shared" si="647"/>
        <v>6.2499999999999947</v>
      </c>
      <c r="B111" s="2">
        <f t="shared" si="592"/>
        <v>1.9304541362277195E-3</v>
      </c>
      <c r="C111" s="2">
        <f t="shared" si="195"/>
        <v>1.9304541362277195E-3</v>
      </c>
      <c r="D111" s="2">
        <f t="shared" si="195"/>
        <v>1.9304541362277195E-3</v>
      </c>
      <c r="E111" s="8">
        <f t="shared" si="593"/>
        <v>1.9304541362277195E-3</v>
      </c>
      <c r="F111" s="2">
        <f t="shared" ref="F111:G111" si="686">EXP(-(($A111*$F$31*G$31)^$E$31))</f>
        <v>1.9304541362277195E-3</v>
      </c>
      <c r="G111" s="2">
        <f t="shared" si="686"/>
        <v>1.9304541362277195E-3</v>
      </c>
      <c r="I111" s="8" t="e">
        <f t="shared" si="595"/>
        <v>#DIV/0!</v>
      </c>
      <c r="J111" s="2" t="e">
        <f t="shared" ref="J111:K111" si="687">EXP(-(($J$31*K$31)/$I$31)*(EXP($I$31*$A111)-1))</f>
        <v>#DIV/0!</v>
      </c>
      <c r="K111" s="2" t="e">
        <f t="shared" si="687"/>
        <v>#DIV/0!</v>
      </c>
      <c r="M111" s="8">
        <f t="shared" si="597"/>
        <v>3.3432418408916975E-2</v>
      </c>
      <c r="N111" s="2">
        <f t="shared" ref="N111:O111" si="688">1-_xlfn.NORM.S.DIST((LN($A111)-$M$31-O$31)/$N$31,TRUE)</f>
        <v>3.3432418408916975E-2</v>
      </c>
      <c r="O111" s="2">
        <f t="shared" si="688"/>
        <v>3.3432418408916975E-2</v>
      </c>
      <c r="Q111" s="8">
        <f t="shared" si="599"/>
        <v>0.13793103448275867</v>
      </c>
      <c r="R111" s="2">
        <f t="shared" ref="R111:S111" si="689">1-(1/(1+($A111/($R$31*S$31))^(-$Q$31)))</f>
        <v>0.13793103448275867</v>
      </c>
      <c r="S111" s="2">
        <f t="shared" si="689"/>
        <v>0.13793103448275867</v>
      </c>
      <c r="U111" s="8">
        <f t="shared" si="601"/>
        <v>1.9304541362277217E-3</v>
      </c>
      <c r="V111" s="2">
        <f t="shared" ref="V111" si="690">1-(_xlfn.GAMMA.DIST($V$31*W$31*$A111,$U$31,1,TRUE)*EXP(GAMMALN($U$31)))/EXP(GAMMALN($U$31))</f>
        <v>1.9304541362277217E-3</v>
      </c>
      <c r="W111" s="2">
        <f t="shared" si="582"/>
        <v>1.9304541362277217E-3</v>
      </c>
      <c r="Y111" s="8">
        <f t="shared" si="603"/>
        <v>3.3432418408916975E-2</v>
      </c>
      <c r="Z111" s="2">
        <f t="shared" si="653"/>
        <v>3.3432418408916975E-2</v>
      </c>
      <c r="AA111" s="2">
        <f t="shared" si="654"/>
        <v>3.3432418408916975E-2</v>
      </c>
      <c r="AD111" s="8" t="e">
        <f t="shared" si="583"/>
        <v>#DIV/0!</v>
      </c>
      <c r="AE111" s="2" t="e">
        <f t="shared" si="604"/>
        <v>#DIV/0!</v>
      </c>
      <c r="AF111" s="2" t="e">
        <f t="shared" ref="AF111:AG111" si="691">EXP(-EXP($AD111+AG$31))</f>
        <v>#DIV/0!</v>
      </c>
      <c r="AG111" s="2" t="e">
        <f t="shared" si="691"/>
        <v>#DIV/0!</v>
      </c>
      <c r="AI111" s="8" t="e">
        <f t="shared" si="585"/>
        <v>#DIV/0!</v>
      </c>
      <c r="AJ111" s="2" t="e">
        <f t="shared" si="606"/>
        <v>#DIV/0!</v>
      </c>
      <c r="AK111" s="2" t="e">
        <f t="shared" ref="AK111:AL111" si="692">1-(EXP($AI111+AL$31)/(1 + EXP($AI111+AL$31)))</f>
        <v>#DIV/0!</v>
      </c>
      <c r="AL111" s="2" t="e">
        <f t="shared" si="692"/>
        <v>#DIV/0!</v>
      </c>
      <c r="AN111" s="8" t="e">
        <f t="shared" si="587"/>
        <v>#DIV/0!</v>
      </c>
      <c r="AO111" s="2" t="e">
        <f t="shared" si="608"/>
        <v>#DIV/0!</v>
      </c>
      <c r="AP111" s="2" t="e">
        <f t="shared" ref="AP111:AQ111" si="693">1-NORMSDIST($AN111+AQ$31)</f>
        <v>#DIV/0!</v>
      </c>
      <c r="AQ111" s="2" t="e">
        <f t="shared" si="693"/>
        <v>#DIV/0!</v>
      </c>
      <c r="AS111" s="8" t="e">
        <f t="shared" si="589"/>
        <v>#DIV/0!</v>
      </c>
      <c r="AT111" s="2" t="e">
        <f t="shared" si="610"/>
        <v>#DIV/0!</v>
      </c>
      <c r="AU111" s="2" t="e">
        <f t="shared" si="658"/>
        <v>#DIV/0!</v>
      </c>
      <c r="AV111" s="2" t="e">
        <f t="shared" si="659"/>
        <v>#DIV/0!</v>
      </c>
      <c r="AY111" s="8" t="e">
        <f t="shared" si="590"/>
        <v>#DIV/0!</v>
      </c>
      <c r="AZ111" s="2" t="e">
        <f t="shared" si="611"/>
        <v>#DIV/0!</v>
      </c>
      <c r="BA111" s="2" t="e">
        <f t="shared" si="660"/>
        <v>#DIV/0!</v>
      </c>
      <c r="BB111" s="2" t="e">
        <f t="shared" si="661"/>
        <v>#DIV/0!</v>
      </c>
      <c r="BE111" s="8" t="e">
        <f t="shared" si="591"/>
        <v>#DIV/0!</v>
      </c>
      <c r="BF111" s="2" t="e">
        <f t="shared" si="612"/>
        <v>#DIV/0!</v>
      </c>
      <c r="BG111" s="2" t="e">
        <f t="shared" si="613"/>
        <v>#DIV/0!</v>
      </c>
      <c r="BH111" s="2" t="e">
        <f t="shared" si="614"/>
        <v>#DIV/0!</v>
      </c>
    </row>
    <row r="112" spans="1:60" x14ac:dyDescent="0.2">
      <c r="A112" s="2">
        <f t="shared" si="647"/>
        <v>6.3333333333333277</v>
      </c>
      <c r="B112" s="2">
        <f t="shared" si="592"/>
        <v>1.7761035457343887E-3</v>
      </c>
      <c r="C112" s="2">
        <f t="shared" si="195"/>
        <v>1.7761035457343887E-3</v>
      </c>
      <c r="D112" s="2">
        <f t="shared" si="195"/>
        <v>1.7761035457343887E-3</v>
      </c>
      <c r="E112" s="8">
        <f t="shared" si="593"/>
        <v>1.7761035457343887E-3</v>
      </c>
      <c r="F112" s="2">
        <f t="shared" ref="F112:G112" si="694">EXP(-(($A112*$F$31*G$31)^$E$31))</f>
        <v>1.7761035457343887E-3</v>
      </c>
      <c r="G112" s="2">
        <f t="shared" si="694"/>
        <v>1.7761035457343887E-3</v>
      </c>
      <c r="I112" s="8" t="e">
        <f t="shared" si="595"/>
        <v>#DIV/0!</v>
      </c>
      <c r="J112" s="2" t="e">
        <f t="shared" ref="J112:K112" si="695">EXP(-(($J$31*K$31)/$I$31)*(EXP($I$31*$A112)-1))</f>
        <v>#DIV/0!</v>
      </c>
      <c r="K112" s="2" t="e">
        <f t="shared" si="695"/>
        <v>#DIV/0!</v>
      </c>
      <c r="M112" s="8">
        <f t="shared" si="597"/>
        <v>3.2458686920822988E-2</v>
      </c>
      <c r="N112" s="2">
        <f t="shared" ref="N112:O112" si="696">1-_xlfn.NORM.S.DIST((LN($A112)-$M$31-O$31)/$N$31,TRUE)</f>
        <v>3.2458686920822988E-2</v>
      </c>
      <c r="O112" s="2">
        <f t="shared" si="696"/>
        <v>3.2458686920822988E-2</v>
      </c>
      <c r="Q112" s="8">
        <f t="shared" si="599"/>
        <v>0.13636363636363635</v>
      </c>
      <c r="R112" s="2">
        <f t="shared" ref="R112:S112" si="697">1-(1/(1+($A112/($R$31*S$31))^(-$Q$31)))</f>
        <v>0.13636363636363635</v>
      </c>
      <c r="S112" s="2">
        <f t="shared" si="697"/>
        <v>0.13636363636363635</v>
      </c>
      <c r="U112" s="8">
        <f t="shared" si="601"/>
        <v>1.776103545734431E-3</v>
      </c>
      <c r="V112" s="2">
        <f t="shared" ref="V112" si="698">1-(_xlfn.GAMMA.DIST($V$31*W$31*$A112,$U$31,1,TRUE)*EXP(GAMMALN($U$31)))/EXP(GAMMALN($U$31))</f>
        <v>1.776103545734431E-3</v>
      </c>
      <c r="W112" s="2">
        <f t="shared" si="582"/>
        <v>1.776103545734431E-3</v>
      </c>
      <c r="Y112" s="8">
        <f t="shared" si="603"/>
        <v>3.2458686920822988E-2</v>
      </c>
      <c r="Z112" s="2">
        <f t="shared" si="653"/>
        <v>3.2458686920822988E-2</v>
      </c>
      <c r="AA112" s="2">
        <f t="shared" si="654"/>
        <v>3.2458686920822988E-2</v>
      </c>
      <c r="AD112" s="8" t="e">
        <f t="shared" si="583"/>
        <v>#DIV/0!</v>
      </c>
      <c r="AE112" s="2" t="e">
        <f t="shared" si="604"/>
        <v>#DIV/0!</v>
      </c>
      <c r="AF112" s="2" t="e">
        <f t="shared" ref="AF112:AG112" si="699">EXP(-EXP($AD112+AG$31))</f>
        <v>#DIV/0!</v>
      </c>
      <c r="AG112" s="2" t="e">
        <f t="shared" si="699"/>
        <v>#DIV/0!</v>
      </c>
      <c r="AI112" s="8" t="e">
        <f t="shared" si="585"/>
        <v>#DIV/0!</v>
      </c>
      <c r="AJ112" s="2" t="e">
        <f t="shared" si="606"/>
        <v>#DIV/0!</v>
      </c>
      <c r="AK112" s="2" t="e">
        <f t="shared" ref="AK112:AL112" si="700">1-(EXP($AI112+AL$31)/(1 + EXP($AI112+AL$31)))</f>
        <v>#DIV/0!</v>
      </c>
      <c r="AL112" s="2" t="e">
        <f t="shared" si="700"/>
        <v>#DIV/0!</v>
      </c>
      <c r="AN112" s="8" t="e">
        <f t="shared" si="587"/>
        <v>#DIV/0!</v>
      </c>
      <c r="AO112" s="2" t="e">
        <f t="shared" si="608"/>
        <v>#DIV/0!</v>
      </c>
      <c r="AP112" s="2" t="e">
        <f t="shared" ref="AP112:AQ112" si="701">1-NORMSDIST($AN112+AQ$31)</f>
        <v>#DIV/0!</v>
      </c>
      <c r="AQ112" s="2" t="e">
        <f t="shared" si="701"/>
        <v>#DIV/0!</v>
      </c>
      <c r="AS112" s="8" t="e">
        <f t="shared" si="589"/>
        <v>#DIV/0!</v>
      </c>
      <c r="AT112" s="2" t="e">
        <f t="shared" si="610"/>
        <v>#DIV/0!</v>
      </c>
      <c r="AU112" s="2" t="e">
        <f t="shared" si="658"/>
        <v>#DIV/0!</v>
      </c>
      <c r="AV112" s="2" t="e">
        <f t="shared" si="659"/>
        <v>#DIV/0!</v>
      </c>
      <c r="AY112" s="8" t="e">
        <f t="shared" si="590"/>
        <v>#DIV/0!</v>
      </c>
      <c r="AZ112" s="2" t="e">
        <f t="shared" si="611"/>
        <v>#DIV/0!</v>
      </c>
      <c r="BA112" s="2" t="e">
        <f t="shared" si="660"/>
        <v>#DIV/0!</v>
      </c>
      <c r="BB112" s="2" t="e">
        <f t="shared" si="661"/>
        <v>#DIV/0!</v>
      </c>
      <c r="BE112" s="8" t="e">
        <f t="shared" si="591"/>
        <v>#DIV/0!</v>
      </c>
      <c r="BF112" s="2" t="e">
        <f t="shared" si="612"/>
        <v>#DIV/0!</v>
      </c>
      <c r="BG112" s="2" t="e">
        <f t="shared" si="613"/>
        <v>#DIV/0!</v>
      </c>
      <c r="BH112" s="2" t="e">
        <f t="shared" si="614"/>
        <v>#DIV/0!</v>
      </c>
    </row>
    <row r="113" spans="1:60" x14ac:dyDescent="0.2">
      <c r="A113" s="2">
        <f t="shared" si="647"/>
        <v>6.4166666666666607</v>
      </c>
      <c r="B113" s="2">
        <f t="shared" si="592"/>
        <v>1.6340941470562615E-3</v>
      </c>
      <c r="C113" s="2">
        <f t="shared" si="195"/>
        <v>1.6340941470562615E-3</v>
      </c>
      <c r="D113" s="2">
        <f t="shared" si="195"/>
        <v>1.6340941470562615E-3</v>
      </c>
      <c r="E113" s="8">
        <f t="shared" si="593"/>
        <v>1.6340941470562615E-3</v>
      </c>
      <c r="F113" s="2">
        <f t="shared" ref="F113:G113" si="702">EXP(-(($A113*$F$31*G$31)^$E$31))</f>
        <v>1.6340941470562615E-3</v>
      </c>
      <c r="G113" s="2">
        <f t="shared" si="702"/>
        <v>1.6340941470562615E-3</v>
      </c>
      <c r="I113" s="8" t="e">
        <f t="shared" si="595"/>
        <v>#DIV/0!</v>
      </c>
      <c r="J113" s="2" t="e">
        <f t="shared" ref="J113:K113" si="703">EXP(-(($J$31*K$31)/$I$31)*(EXP($I$31*$A113)-1))</f>
        <v>#DIV/0!</v>
      </c>
      <c r="K113" s="2" t="e">
        <f t="shared" si="703"/>
        <v>#DIV/0!</v>
      </c>
      <c r="M113" s="8">
        <f t="shared" si="597"/>
        <v>3.1520744098831543E-2</v>
      </c>
      <c r="N113" s="2">
        <f t="shared" ref="N113:O113" si="704">1-_xlfn.NORM.S.DIST((LN($A113)-$M$31-O$31)/$N$31,TRUE)</f>
        <v>3.1520744098831543E-2</v>
      </c>
      <c r="O113" s="2">
        <f t="shared" si="704"/>
        <v>3.1520744098831543E-2</v>
      </c>
      <c r="Q113" s="8">
        <f t="shared" si="599"/>
        <v>0.1348314606741573</v>
      </c>
      <c r="R113" s="2">
        <f t="shared" ref="R113:S113" si="705">1-(1/(1+($A113/($R$31*S$31))^(-$Q$31)))</f>
        <v>0.1348314606741573</v>
      </c>
      <c r="S113" s="2">
        <f t="shared" si="705"/>
        <v>0.1348314606741573</v>
      </c>
      <c r="U113" s="8">
        <f t="shared" si="601"/>
        <v>1.6340941470562864E-3</v>
      </c>
      <c r="V113" s="2">
        <f t="shared" ref="V113" si="706">1-(_xlfn.GAMMA.DIST($V$31*W$31*$A113,$U$31,1,TRUE)*EXP(GAMMALN($U$31)))/EXP(GAMMALN($U$31))</f>
        <v>1.6340941470562864E-3</v>
      </c>
      <c r="W113" s="2">
        <f t="shared" si="582"/>
        <v>1.6340941470562864E-3</v>
      </c>
      <c r="Y113" s="8">
        <f t="shared" si="603"/>
        <v>3.1520744098831543E-2</v>
      </c>
      <c r="Z113" s="2">
        <f t="shared" si="653"/>
        <v>3.1520744098831543E-2</v>
      </c>
      <c r="AA113" s="2">
        <f t="shared" si="654"/>
        <v>3.1520744098831543E-2</v>
      </c>
      <c r="AD113" s="8" t="e">
        <f t="shared" si="583"/>
        <v>#DIV/0!</v>
      </c>
      <c r="AE113" s="2" t="e">
        <f t="shared" si="604"/>
        <v>#DIV/0!</v>
      </c>
      <c r="AF113" s="2" t="e">
        <f t="shared" ref="AF113:AG113" si="707">EXP(-EXP($AD113+AG$31))</f>
        <v>#DIV/0!</v>
      </c>
      <c r="AG113" s="2" t="e">
        <f t="shared" si="707"/>
        <v>#DIV/0!</v>
      </c>
      <c r="AI113" s="8" t="e">
        <f t="shared" si="585"/>
        <v>#DIV/0!</v>
      </c>
      <c r="AJ113" s="2" t="e">
        <f t="shared" si="606"/>
        <v>#DIV/0!</v>
      </c>
      <c r="AK113" s="2" t="e">
        <f t="shared" ref="AK113:AL113" si="708">1-(EXP($AI113+AL$31)/(1 + EXP($AI113+AL$31)))</f>
        <v>#DIV/0!</v>
      </c>
      <c r="AL113" s="2" t="e">
        <f t="shared" si="708"/>
        <v>#DIV/0!</v>
      </c>
      <c r="AN113" s="8" t="e">
        <f t="shared" si="587"/>
        <v>#DIV/0!</v>
      </c>
      <c r="AO113" s="2" t="e">
        <f t="shared" si="608"/>
        <v>#DIV/0!</v>
      </c>
      <c r="AP113" s="2" t="e">
        <f t="shared" ref="AP113:AQ113" si="709">1-NORMSDIST($AN113+AQ$31)</f>
        <v>#DIV/0!</v>
      </c>
      <c r="AQ113" s="2" t="e">
        <f t="shared" si="709"/>
        <v>#DIV/0!</v>
      </c>
      <c r="AS113" s="8" t="e">
        <f t="shared" si="589"/>
        <v>#DIV/0!</v>
      </c>
      <c r="AT113" s="2" t="e">
        <f t="shared" si="610"/>
        <v>#DIV/0!</v>
      </c>
      <c r="AU113" s="2" t="e">
        <f t="shared" si="658"/>
        <v>#DIV/0!</v>
      </c>
      <c r="AV113" s="2" t="e">
        <f t="shared" si="659"/>
        <v>#DIV/0!</v>
      </c>
      <c r="AY113" s="8" t="e">
        <f t="shared" si="590"/>
        <v>#DIV/0!</v>
      </c>
      <c r="AZ113" s="2" t="e">
        <f t="shared" si="611"/>
        <v>#DIV/0!</v>
      </c>
      <c r="BA113" s="2" t="e">
        <f t="shared" si="660"/>
        <v>#DIV/0!</v>
      </c>
      <c r="BB113" s="2" t="e">
        <f t="shared" si="661"/>
        <v>#DIV/0!</v>
      </c>
      <c r="BE113" s="8" t="e">
        <f t="shared" si="591"/>
        <v>#DIV/0!</v>
      </c>
      <c r="BF113" s="2" t="e">
        <f t="shared" si="612"/>
        <v>#DIV/0!</v>
      </c>
      <c r="BG113" s="2" t="e">
        <f t="shared" si="613"/>
        <v>#DIV/0!</v>
      </c>
      <c r="BH113" s="2" t="e">
        <f t="shared" si="614"/>
        <v>#DIV/0!</v>
      </c>
    </row>
    <row r="114" spans="1:60" x14ac:dyDescent="0.2">
      <c r="A114" s="2">
        <f t="shared" si="647"/>
        <v>6.4999999999999938</v>
      </c>
      <c r="B114" s="2">
        <f t="shared" si="592"/>
        <v>1.5034391929775817E-3</v>
      </c>
      <c r="C114" s="2">
        <f t="shared" si="195"/>
        <v>1.5034391929775817E-3</v>
      </c>
      <c r="D114" s="2">
        <f t="shared" si="195"/>
        <v>1.5034391929775817E-3</v>
      </c>
      <c r="E114" s="8">
        <f t="shared" si="593"/>
        <v>1.5034391929775817E-3</v>
      </c>
      <c r="F114" s="2">
        <f t="shared" ref="F114:G114" si="710">EXP(-(($A114*$F$31*G$31)^$E$31))</f>
        <v>1.5034391929775817E-3</v>
      </c>
      <c r="G114" s="2">
        <f t="shared" si="710"/>
        <v>1.5034391929775817E-3</v>
      </c>
      <c r="I114" s="8" t="e">
        <f t="shared" si="595"/>
        <v>#DIV/0!</v>
      </c>
      <c r="J114" s="2" t="e">
        <f t="shared" ref="J114:K114" si="711">EXP(-(($J$31*K$31)/$I$31)*(EXP($I$31*$A114)-1))</f>
        <v>#DIV/0!</v>
      </c>
      <c r="K114" s="2" t="e">
        <f t="shared" si="711"/>
        <v>#DIV/0!</v>
      </c>
      <c r="M114" s="8">
        <f t="shared" si="597"/>
        <v>3.0616988500454356E-2</v>
      </c>
      <c r="N114" s="2">
        <f t="shared" ref="N114:O114" si="712">1-_xlfn.NORM.S.DIST((LN($A114)-$M$31-O$31)/$N$31,TRUE)</f>
        <v>3.0616988500454356E-2</v>
      </c>
      <c r="O114" s="2">
        <f t="shared" si="712"/>
        <v>3.0616988500454356E-2</v>
      </c>
      <c r="Q114" s="8">
        <f t="shared" si="599"/>
        <v>0.13333333333333341</v>
      </c>
      <c r="R114" s="2">
        <f t="shared" ref="R114:S114" si="713">1-(1/(1+($A114/($R$31*S$31))^(-$Q$31)))</f>
        <v>0.13333333333333341</v>
      </c>
      <c r="S114" s="2">
        <f t="shared" si="713"/>
        <v>0.13333333333333341</v>
      </c>
      <c r="U114" s="8">
        <f t="shared" si="601"/>
        <v>1.5034391929775737E-3</v>
      </c>
      <c r="V114" s="2">
        <f t="shared" ref="V114" si="714">1-(_xlfn.GAMMA.DIST($V$31*W$31*$A114,$U$31,1,TRUE)*EXP(GAMMALN($U$31)))/EXP(GAMMALN($U$31))</f>
        <v>1.5034391929775737E-3</v>
      </c>
      <c r="W114" s="2">
        <f t="shared" si="582"/>
        <v>1.5034391929775737E-3</v>
      </c>
      <c r="Y114" s="8">
        <f t="shared" si="603"/>
        <v>3.0616988500454356E-2</v>
      </c>
      <c r="Z114" s="2">
        <f t="shared" si="653"/>
        <v>3.0616988500454356E-2</v>
      </c>
      <c r="AA114" s="2">
        <f t="shared" si="654"/>
        <v>3.0616988500454356E-2</v>
      </c>
      <c r="AD114" s="8" t="e">
        <f t="shared" si="583"/>
        <v>#DIV/0!</v>
      </c>
      <c r="AE114" s="2" t="e">
        <f t="shared" si="604"/>
        <v>#DIV/0!</v>
      </c>
      <c r="AF114" s="2" t="e">
        <f t="shared" ref="AF114:AG114" si="715">EXP(-EXP($AD114+AG$31))</f>
        <v>#DIV/0!</v>
      </c>
      <c r="AG114" s="2" t="e">
        <f t="shared" si="715"/>
        <v>#DIV/0!</v>
      </c>
      <c r="AI114" s="8" t="e">
        <f t="shared" si="585"/>
        <v>#DIV/0!</v>
      </c>
      <c r="AJ114" s="2" t="e">
        <f t="shared" si="606"/>
        <v>#DIV/0!</v>
      </c>
      <c r="AK114" s="2" t="e">
        <f t="shared" ref="AK114:AL114" si="716">1-(EXP($AI114+AL$31)/(1 + EXP($AI114+AL$31)))</f>
        <v>#DIV/0!</v>
      </c>
      <c r="AL114" s="2" t="e">
        <f t="shared" si="716"/>
        <v>#DIV/0!</v>
      </c>
      <c r="AN114" s="8" t="e">
        <f t="shared" si="587"/>
        <v>#DIV/0!</v>
      </c>
      <c r="AO114" s="2" t="e">
        <f t="shared" si="608"/>
        <v>#DIV/0!</v>
      </c>
      <c r="AP114" s="2" t="e">
        <f t="shared" ref="AP114:AQ114" si="717">1-NORMSDIST($AN114+AQ$31)</f>
        <v>#DIV/0!</v>
      </c>
      <c r="AQ114" s="2" t="e">
        <f t="shared" si="717"/>
        <v>#DIV/0!</v>
      </c>
      <c r="AS114" s="8" t="e">
        <f t="shared" si="589"/>
        <v>#DIV/0!</v>
      </c>
      <c r="AT114" s="2" t="e">
        <f t="shared" si="610"/>
        <v>#DIV/0!</v>
      </c>
      <c r="AU114" s="2" t="e">
        <f t="shared" si="658"/>
        <v>#DIV/0!</v>
      </c>
      <c r="AV114" s="2" t="e">
        <f t="shared" si="659"/>
        <v>#DIV/0!</v>
      </c>
      <c r="AY114" s="8" t="e">
        <f t="shared" si="590"/>
        <v>#DIV/0!</v>
      </c>
      <c r="AZ114" s="2" t="e">
        <f t="shared" si="611"/>
        <v>#DIV/0!</v>
      </c>
      <c r="BA114" s="2" t="e">
        <f t="shared" si="660"/>
        <v>#DIV/0!</v>
      </c>
      <c r="BB114" s="2" t="e">
        <f t="shared" si="661"/>
        <v>#DIV/0!</v>
      </c>
      <c r="BE114" s="8" t="e">
        <f t="shared" si="591"/>
        <v>#DIV/0!</v>
      </c>
      <c r="BF114" s="2" t="e">
        <f t="shared" si="612"/>
        <v>#DIV/0!</v>
      </c>
      <c r="BG114" s="2" t="e">
        <f t="shared" si="613"/>
        <v>#DIV/0!</v>
      </c>
      <c r="BH114" s="2" t="e">
        <f t="shared" si="614"/>
        <v>#DIV/0!</v>
      </c>
    </row>
    <row r="115" spans="1:60" x14ac:dyDescent="0.2">
      <c r="A115" s="2">
        <f t="shared" si="647"/>
        <v>6.5833333333333268</v>
      </c>
      <c r="B115" s="2">
        <f t="shared" si="592"/>
        <v>1.3832308322338418E-3</v>
      </c>
      <c r="C115" s="2">
        <f t="shared" si="195"/>
        <v>1.3832308322338418E-3</v>
      </c>
      <c r="D115" s="2">
        <f t="shared" si="195"/>
        <v>1.3832308322338418E-3</v>
      </c>
      <c r="E115" s="8">
        <f t="shared" si="593"/>
        <v>1.3832308322338418E-3</v>
      </c>
      <c r="F115" s="2">
        <f t="shared" ref="F115:G115" si="718">EXP(-(($A115*$F$31*G$31)^$E$31))</f>
        <v>1.3832308322338418E-3</v>
      </c>
      <c r="G115" s="2">
        <f t="shared" si="718"/>
        <v>1.3832308322338418E-3</v>
      </c>
      <c r="I115" s="8" t="e">
        <f t="shared" si="595"/>
        <v>#DIV/0!</v>
      </c>
      <c r="J115" s="2" t="e">
        <f t="shared" ref="J115:K115" si="719">EXP(-(($J$31*K$31)/$I$31)*(EXP($I$31*$A115)-1))</f>
        <v>#DIV/0!</v>
      </c>
      <c r="K115" s="2" t="e">
        <f t="shared" si="719"/>
        <v>#DIV/0!</v>
      </c>
      <c r="M115" s="8">
        <f t="shared" si="597"/>
        <v>2.9745903496491088E-2</v>
      </c>
      <c r="N115" s="2">
        <f t="shared" ref="N115:O115" si="720">1-_xlfn.NORM.S.DIST((LN($A115)-$M$31-O$31)/$N$31,TRUE)</f>
        <v>2.9745903496491088E-2</v>
      </c>
      <c r="O115" s="2">
        <f t="shared" si="720"/>
        <v>2.9745903496491088E-2</v>
      </c>
      <c r="Q115" s="8">
        <f t="shared" si="599"/>
        <v>0.13186813186813195</v>
      </c>
      <c r="R115" s="2">
        <f t="shared" ref="R115:S115" si="721">1-(1/(1+($A115/($R$31*S$31))^(-$Q$31)))</f>
        <v>0.13186813186813195</v>
      </c>
      <c r="S115" s="2">
        <f t="shared" si="721"/>
        <v>0.13186813186813195</v>
      </c>
      <c r="U115" s="8">
        <f t="shared" si="601"/>
        <v>1.3832308322337949E-3</v>
      </c>
      <c r="V115" s="2">
        <f t="shared" ref="V115" si="722">1-(_xlfn.GAMMA.DIST($V$31*W$31*$A115,$U$31,1,TRUE)*EXP(GAMMALN($U$31)))/EXP(GAMMALN($U$31))</f>
        <v>1.3832308322337949E-3</v>
      </c>
      <c r="W115" s="2">
        <f t="shared" si="582"/>
        <v>1.3832308322337949E-3</v>
      </c>
      <c r="Y115" s="8">
        <f t="shared" si="603"/>
        <v>2.9745903496491088E-2</v>
      </c>
      <c r="Z115" s="2">
        <f t="shared" si="653"/>
        <v>2.9745903496491088E-2</v>
      </c>
      <c r="AA115" s="2">
        <f t="shared" si="654"/>
        <v>2.9745903496491088E-2</v>
      </c>
      <c r="AD115" s="8" t="e">
        <f t="shared" si="583"/>
        <v>#DIV/0!</v>
      </c>
      <c r="AE115" s="2" t="e">
        <f t="shared" si="604"/>
        <v>#DIV/0!</v>
      </c>
      <c r="AF115" s="2" t="e">
        <f t="shared" ref="AF115:AG115" si="723">EXP(-EXP($AD115+AG$31))</f>
        <v>#DIV/0!</v>
      </c>
      <c r="AG115" s="2" t="e">
        <f t="shared" si="723"/>
        <v>#DIV/0!</v>
      </c>
      <c r="AI115" s="8" t="e">
        <f t="shared" si="585"/>
        <v>#DIV/0!</v>
      </c>
      <c r="AJ115" s="2" t="e">
        <f t="shared" si="606"/>
        <v>#DIV/0!</v>
      </c>
      <c r="AK115" s="2" t="e">
        <f t="shared" ref="AK115:AL115" si="724">1-(EXP($AI115+AL$31)/(1 + EXP($AI115+AL$31)))</f>
        <v>#DIV/0!</v>
      </c>
      <c r="AL115" s="2" t="e">
        <f t="shared" si="724"/>
        <v>#DIV/0!</v>
      </c>
      <c r="AN115" s="8" t="e">
        <f t="shared" si="587"/>
        <v>#DIV/0!</v>
      </c>
      <c r="AO115" s="2" t="e">
        <f t="shared" si="608"/>
        <v>#DIV/0!</v>
      </c>
      <c r="AP115" s="2" t="e">
        <f t="shared" ref="AP115:AQ115" si="725">1-NORMSDIST($AN115+AQ$31)</f>
        <v>#DIV/0!</v>
      </c>
      <c r="AQ115" s="2" t="e">
        <f t="shared" si="725"/>
        <v>#DIV/0!</v>
      </c>
      <c r="AS115" s="8" t="e">
        <f t="shared" si="589"/>
        <v>#DIV/0!</v>
      </c>
      <c r="AT115" s="2" t="e">
        <f t="shared" si="610"/>
        <v>#DIV/0!</v>
      </c>
      <c r="AU115" s="2" t="e">
        <f t="shared" si="658"/>
        <v>#DIV/0!</v>
      </c>
      <c r="AV115" s="2" t="e">
        <f t="shared" si="659"/>
        <v>#DIV/0!</v>
      </c>
      <c r="AY115" s="8" t="e">
        <f t="shared" si="590"/>
        <v>#DIV/0!</v>
      </c>
      <c r="AZ115" s="2" t="e">
        <f t="shared" si="611"/>
        <v>#DIV/0!</v>
      </c>
      <c r="BA115" s="2" t="e">
        <f t="shared" si="660"/>
        <v>#DIV/0!</v>
      </c>
      <c r="BB115" s="2" t="e">
        <f t="shared" si="661"/>
        <v>#DIV/0!</v>
      </c>
      <c r="BE115" s="8" t="e">
        <f t="shared" si="591"/>
        <v>#DIV/0!</v>
      </c>
      <c r="BF115" s="2" t="e">
        <f t="shared" si="612"/>
        <v>#DIV/0!</v>
      </c>
      <c r="BG115" s="2" t="e">
        <f t="shared" si="613"/>
        <v>#DIV/0!</v>
      </c>
      <c r="BH115" s="2" t="e">
        <f t="shared" si="614"/>
        <v>#DIV/0!</v>
      </c>
    </row>
    <row r="116" spans="1:60" x14ac:dyDescent="0.2">
      <c r="A116" s="2">
        <f t="shared" si="647"/>
        <v>6.6666666666666599</v>
      </c>
      <c r="B116" s="2">
        <f t="shared" si="592"/>
        <v>1.272633801339817E-3</v>
      </c>
      <c r="C116" s="2">
        <f t="shared" si="195"/>
        <v>1.272633801339817E-3</v>
      </c>
      <c r="D116" s="2">
        <f t="shared" si="195"/>
        <v>1.272633801339817E-3</v>
      </c>
      <c r="E116" s="8">
        <f t="shared" si="593"/>
        <v>1.272633801339817E-3</v>
      </c>
      <c r="F116" s="2">
        <f t="shared" ref="F116:G116" si="726">EXP(-(($A116*$F$31*G$31)^$E$31))</f>
        <v>1.272633801339817E-3</v>
      </c>
      <c r="G116" s="2">
        <f t="shared" si="726"/>
        <v>1.272633801339817E-3</v>
      </c>
      <c r="I116" s="8" t="e">
        <f t="shared" si="595"/>
        <v>#DIV/0!</v>
      </c>
      <c r="J116" s="2" t="e">
        <f t="shared" ref="J116:K116" si="727">EXP(-(($J$31*K$31)/$I$31)*(EXP($I$31*$A116)-1))</f>
        <v>#DIV/0!</v>
      </c>
      <c r="K116" s="2" t="e">
        <f t="shared" si="727"/>
        <v>#DIV/0!</v>
      </c>
      <c r="M116" s="8">
        <f t="shared" si="597"/>
        <v>2.8906052073385036E-2</v>
      </c>
      <c r="N116" s="2">
        <f t="shared" ref="N116:O116" si="728">1-_xlfn.NORM.S.DIST((LN($A116)-$M$31-O$31)/$N$31,TRUE)</f>
        <v>2.8906052073385036E-2</v>
      </c>
      <c r="O116" s="2">
        <f t="shared" si="728"/>
        <v>2.8906052073385036E-2</v>
      </c>
      <c r="Q116" s="8">
        <f t="shared" si="599"/>
        <v>0.13043478260869579</v>
      </c>
      <c r="R116" s="2">
        <f t="shared" ref="R116:S116" si="729">1-(1/(1+($A116/($R$31*S$31))^(-$Q$31)))</f>
        <v>0.13043478260869579</v>
      </c>
      <c r="S116" s="2">
        <f t="shared" si="729"/>
        <v>0.13043478260869579</v>
      </c>
      <c r="U116" s="8">
        <f t="shared" si="601"/>
        <v>1.2726338013397953E-3</v>
      </c>
      <c r="V116" s="2">
        <f t="shared" ref="V116" si="730">1-(_xlfn.GAMMA.DIST($V$31*W$31*$A116,$U$31,1,TRUE)*EXP(GAMMALN($U$31)))/EXP(GAMMALN($U$31))</f>
        <v>1.2726338013397953E-3</v>
      </c>
      <c r="W116" s="2">
        <f t="shared" si="582"/>
        <v>1.2726338013397953E-3</v>
      </c>
      <c r="Y116" s="8">
        <f t="shared" si="603"/>
        <v>2.8906052073385036E-2</v>
      </c>
      <c r="Z116" s="2">
        <f t="shared" si="653"/>
        <v>2.8906052073385036E-2</v>
      </c>
      <c r="AA116" s="2">
        <f t="shared" si="654"/>
        <v>2.8906052073385036E-2</v>
      </c>
      <c r="AD116" s="8" t="e">
        <f t="shared" si="583"/>
        <v>#DIV/0!</v>
      </c>
      <c r="AE116" s="2" t="e">
        <f t="shared" si="604"/>
        <v>#DIV/0!</v>
      </c>
      <c r="AF116" s="2" t="e">
        <f t="shared" ref="AF116:AG116" si="731">EXP(-EXP($AD116+AG$31))</f>
        <v>#DIV/0!</v>
      </c>
      <c r="AG116" s="2" t="e">
        <f t="shared" si="731"/>
        <v>#DIV/0!</v>
      </c>
      <c r="AI116" s="8" t="e">
        <f t="shared" si="585"/>
        <v>#DIV/0!</v>
      </c>
      <c r="AJ116" s="2" t="e">
        <f t="shared" si="606"/>
        <v>#DIV/0!</v>
      </c>
      <c r="AK116" s="2" t="e">
        <f t="shared" ref="AK116:AL116" si="732">1-(EXP($AI116+AL$31)/(1 + EXP($AI116+AL$31)))</f>
        <v>#DIV/0!</v>
      </c>
      <c r="AL116" s="2" t="e">
        <f t="shared" si="732"/>
        <v>#DIV/0!</v>
      </c>
      <c r="AN116" s="8" t="e">
        <f t="shared" si="587"/>
        <v>#DIV/0!</v>
      </c>
      <c r="AO116" s="2" t="e">
        <f t="shared" si="608"/>
        <v>#DIV/0!</v>
      </c>
      <c r="AP116" s="2" t="e">
        <f t="shared" ref="AP116:AQ116" si="733">1-NORMSDIST($AN116+AQ$31)</f>
        <v>#DIV/0!</v>
      </c>
      <c r="AQ116" s="2" t="e">
        <f t="shared" si="733"/>
        <v>#DIV/0!</v>
      </c>
      <c r="AS116" s="8" t="e">
        <f t="shared" si="589"/>
        <v>#DIV/0!</v>
      </c>
      <c r="AT116" s="2" t="e">
        <f t="shared" si="610"/>
        <v>#DIV/0!</v>
      </c>
      <c r="AU116" s="2" t="e">
        <f t="shared" si="658"/>
        <v>#DIV/0!</v>
      </c>
      <c r="AV116" s="2" t="e">
        <f t="shared" si="659"/>
        <v>#DIV/0!</v>
      </c>
      <c r="AY116" s="8" t="e">
        <f t="shared" si="590"/>
        <v>#DIV/0!</v>
      </c>
      <c r="AZ116" s="2" t="e">
        <f t="shared" si="611"/>
        <v>#DIV/0!</v>
      </c>
      <c r="BA116" s="2" t="e">
        <f t="shared" si="660"/>
        <v>#DIV/0!</v>
      </c>
      <c r="BB116" s="2" t="e">
        <f t="shared" si="661"/>
        <v>#DIV/0!</v>
      </c>
      <c r="BE116" s="8" t="e">
        <f t="shared" si="591"/>
        <v>#DIV/0!</v>
      </c>
      <c r="BF116" s="2" t="e">
        <f t="shared" si="612"/>
        <v>#DIV/0!</v>
      </c>
      <c r="BG116" s="2" t="e">
        <f t="shared" si="613"/>
        <v>#DIV/0!</v>
      </c>
      <c r="BH116" s="2" t="e">
        <f t="shared" si="614"/>
        <v>#DIV/0!</v>
      </c>
    </row>
    <row r="117" spans="1:60" x14ac:dyDescent="0.2">
      <c r="A117" s="2">
        <f t="shared" si="647"/>
        <v>6.7499999999999929</v>
      </c>
      <c r="B117" s="2">
        <f t="shared" si="592"/>
        <v>1.1708796207911827E-3</v>
      </c>
      <c r="C117" s="2">
        <f t="shared" si="195"/>
        <v>1.1708796207911827E-3</v>
      </c>
      <c r="D117" s="2">
        <f t="shared" si="195"/>
        <v>1.1708796207911827E-3</v>
      </c>
      <c r="E117" s="8">
        <f t="shared" si="593"/>
        <v>1.1708796207911827E-3</v>
      </c>
      <c r="F117" s="2">
        <f t="shared" ref="F117:G117" si="734">EXP(-(($A117*$F$31*G$31)^$E$31))</f>
        <v>1.1708796207911827E-3</v>
      </c>
      <c r="G117" s="2">
        <f t="shared" si="734"/>
        <v>1.1708796207911827E-3</v>
      </c>
      <c r="I117" s="8" t="e">
        <f t="shared" si="595"/>
        <v>#DIV/0!</v>
      </c>
      <c r="J117" s="2" t="e">
        <f t="shared" ref="J117:K117" si="735">EXP(-(($J$31*K$31)/$I$31)*(EXP($I$31*$A117)-1))</f>
        <v>#DIV/0!</v>
      </c>
      <c r="K117" s="2" t="e">
        <f t="shared" si="735"/>
        <v>#DIV/0!</v>
      </c>
      <c r="M117" s="8">
        <f t="shared" si="597"/>
        <v>2.8096071997489203E-2</v>
      </c>
      <c r="N117" s="2">
        <f t="shared" ref="N117:O117" si="736">1-_xlfn.NORM.S.DIST((LN($A117)-$M$31-O$31)/$N$31,TRUE)</f>
        <v>2.8096071997489203E-2</v>
      </c>
      <c r="O117" s="2">
        <f t="shared" si="736"/>
        <v>2.8096071997489203E-2</v>
      </c>
      <c r="Q117" s="8">
        <f t="shared" si="599"/>
        <v>0.12903225806451624</v>
      </c>
      <c r="R117" s="2">
        <f t="shared" ref="R117:S117" si="737">1-(1/(1+($A117/($R$31*S$31))^(-$Q$31)))</f>
        <v>0.12903225806451624</v>
      </c>
      <c r="S117" s="2">
        <f t="shared" si="737"/>
        <v>0.12903225806451624</v>
      </c>
      <c r="U117" s="8">
        <f t="shared" si="601"/>
        <v>1.1708796207912098E-3</v>
      </c>
      <c r="V117" s="2">
        <f t="shared" ref="V117:W132" si="738">1-(_xlfn.GAMMA.DIST($V$31*W$31*$A117,$U$31,1,TRUE)*EXP(GAMMALN($U$31)))/EXP(GAMMALN($U$31))</f>
        <v>1.1708796207912098E-3</v>
      </c>
      <c r="W117" s="2">
        <f t="shared" si="738"/>
        <v>1.1708796207912098E-3</v>
      </c>
      <c r="Y117" s="8">
        <f t="shared" si="603"/>
        <v>2.8096071997489203E-2</v>
      </c>
      <c r="Z117" s="2">
        <f t="shared" si="653"/>
        <v>2.8096071997489203E-2</v>
      </c>
      <c r="AA117" s="2">
        <f t="shared" si="654"/>
        <v>2.8096071997489203E-2</v>
      </c>
      <c r="AD117" s="8" t="e">
        <f t="shared" si="583"/>
        <v>#DIV/0!</v>
      </c>
      <c r="AE117" s="2" t="e">
        <f t="shared" si="604"/>
        <v>#DIV/0!</v>
      </c>
      <c r="AF117" s="2" t="e">
        <f t="shared" ref="AF117:AG117" si="739">EXP(-EXP($AD117+AG$31))</f>
        <v>#DIV/0!</v>
      </c>
      <c r="AG117" s="2" t="e">
        <f t="shared" si="739"/>
        <v>#DIV/0!</v>
      </c>
      <c r="AI117" s="8" t="e">
        <f t="shared" si="585"/>
        <v>#DIV/0!</v>
      </c>
      <c r="AJ117" s="2" t="e">
        <f t="shared" si="606"/>
        <v>#DIV/0!</v>
      </c>
      <c r="AK117" s="2" t="e">
        <f t="shared" ref="AK117:AL117" si="740">1-(EXP($AI117+AL$31)/(1 + EXP($AI117+AL$31)))</f>
        <v>#DIV/0!</v>
      </c>
      <c r="AL117" s="2" t="e">
        <f t="shared" si="740"/>
        <v>#DIV/0!</v>
      </c>
      <c r="AN117" s="8" t="e">
        <f t="shared" si="587"/>
        <v>#DIV/0!</v>
      </c>
      <c r="AO117" s="2" t="e">
        <f t="shared" si="608"/>
        <v>#DIV/0!</v>
      </c>
      <c r="AP117" s="2" t="e">
        <f t="shared" ref="AP117:AQ117" si="741">1-NORMSDIST($AN117+AQ$31)</f>
        <v>#DIV/0!</v>
      </c>
      <c r="AQ117" s="2" t="e">
        <f t="shared" si="741"/>
        <v>#DIV/0!</v>
      </c>
      <c r="AS117" s="8" t="e">
        <f t="shared" si="589"/>
        <v>#DIV/0!</v>
      </c>
      <c r="AT117" s="2" t="e">
        <f t="shared" si="610"/>
        <v>#DIV/0!</v>
      </c>
      <c r="AU117" s="2" t="e">
        <f t="shared" si="658"/>
        <v>#DIV/0!</v>
      </c>
      <c r="AV117" s="2" t="e">
        <f t="shared" si="659"/>
        <v>#DIV/0!</v>
      </c>
      <c r="AY117" s="8" t="e">
        <f t="shared" si="590"/>
        <v>#DIV/0!</v>
      </c>
      <c r="AZ117" s="2" t="e">
        <f t="shared" si="611"/>
        <v>#DIV/0!</v>
      </c>
      <c r="BA117" s="2" t="e">
        <f t="shared" si="660"/>
        <v>#DIV/0!</v>
      </c>
      <c r="BB117" s="2" t="e">
        <f t="shared" si="661"/>
        <v>#DIV/0!</v>
      </c>
      <c r="BE117" s="8" t="e">
        <f t="shared" si="591"/>
        <v>#DIV/0!</v>
      </c>
      <c r="BF117" s="2" t="e">
        <f t="shared" si="612"/>
        <v>#DIV/0!</v>
      </c>
      <c r="BG117" s="2" t="e">
        <f t="shared" si="613"/>
        <v>#DIV/0!</v>
      </c>
      <c r="BH117" s="2" t="e">
        <f t="shared" si="614"/>
        <v>#DIV/0!</v>
      </c>
    </row>
    <row r="118" spans="1:60" x14ac:dyDescent="0.2">
      <c r="A118" s="2">
        <f t="shared" si="647"/>
        <v>6.8333333333333259</v>
      </c>
      <c r="B118" s="2">
        <f t="shared" si="592"/>
        <v>1.0772612553122281E-3</v>
      </c>
      <c r="C118" s="2">
        <f t="shared" ref="C118:D133" si="742">EXP(-$A118*$B$31*C$31)</f>
        <v>1.0772612553122281E-3</v>
      </c>
      <c r="D118" s="2">
        <f t="shared" si="742"/>
        <v>1.0772612553122281E-3</v>
      </c>
      <c r="E118" s="8">
        <f t="shared" si="593"/>
        <v>1.0772612553122281E-3</v>
      </c>
      <c r="F118" s="2">
        <f t="shared" ref="F118:G118" si="743">EXP(-(($A118*$F$31*G$31)^$E$31))</f>
        <v>1.0772612553122281E-3</v>
      </c>
      <c r="G118" s="2">
        <f t="shared" si="743"/>
        <v>1.0772612553122281E-3</v>
      </c>
      <c r="I118" s="8" t="e">
        <f t="shared" si="595"/>
        <v>#DIV/0!</v>
      </c>
      <c r="J118" s="2" t="e">
        <f t="shared" ref="J118:K118" si="744">EXP(-(($J$31*K$31)/$I$31)*(EXP($I$31*$A118)-1))</f>
        <v>#DIV/0!</v>
      </c>
      <c r="K118" s="2" t="e">
        <f t="shared" si="744"/>
        <v>#DIV/0!</v>
      </c>
      <c r="M118" s="8">
        <f t="shared" si="597"/>
        <v>2.7314671313038219E-2</v>
      </c>
      <c r="N118" s="2">
        <f t="shared" ref="N118:O118" si="745">1-_xlfn.NORM.S.DIST((LN($A118)-$M$31-O$31)/$N$31,TRUE)</f>
        <v>2.7314671313038219E-2</v>
      </c>
      <c r="O118" s="2">
        <f t="shared" si="745"/>
        <v>2.7314671313038219E-2</v>
      </c>
      <c r="Q118" s="8">
        <f t="shared" si="599"/>
        <v>0.12765957446808518</v>
      </c>
      <c r="R118" s="2">
        <f t="shared" ref="R118:S118" si="746">1-(1/(1+($A118/($R$31*S$31))^(-$Q$31)))</f>
        <v>0.12765957446808518</v>
      </c>
      <c r="S118" s="2">
        <f t="shared" si="746"/>
        <v>0.12765957446808518</v>
      </c>
      <c r="U118" s="8">
        <f t="shared" si="601"/>
        <v>1.0772612553122674E-3</v>
      </c>
      <c r="V118" s="2">
        <f t="shared" ref="V118" si="747">1-(_xlfn.GAMMA.DIST($V$31*W$31*$A118,$U$31,1,TRUE)*EXP(GAMMALN($U$31)))/EXP(GAMMALN($U$31))</f>
        <v>1.0772612553122674E-3</v>
      </c>
      <c r="W118" s="2">
        <f t="shared" si="738"/>
        <v>1.0772612553122674E-3</v>
      </c>
      <c r="Y118" s="8">
        <f t="shared" si="603"/>
        <v>2.7314671313038219E-2</v>
      </c>
      <c r="Z118" s="2">
        <f t="shared" si="653"/>
        <v>2.7314671313038219E-2</v>
      </c>
      <c r="AA118" s="2">
        <f t="shared" si="654"/>
        <v>2.7314671313038219E-2</v>
      </c>
      <c r="AD118" s="8" t="e">
        <f t="shared" si="583"/>
        <v>#DIV/0!</v>
      </c>
      <c r="AE118" s="2" t="e">
        <f t="shared" si="604"/>
        <v>#DIV/0!</v>
      </c>
      <c r="AF118" s="2" t="e">
        <f t="shared" ref="AF118:AG118" si="748">EXP(-EXP($AD118+AG$31))</f>
        <v>#DIV/0!</v>
      </c>
      <c r="AG118" s="2" t="e">
        <f t="shared" si="748"/>
        <v>#DIV/0!</v>
      </c>
      <c r="AI118" s="8" t="e">
        <f t="shared" si="585"/>
        <v>#DIV/0!</v>
      </c>
      <c r="AJ118" s="2" t="e">
        <f t="shared" si="606"/>
        <v>#DIV/0!</v>
      </c>
      <c r="AK118" s="2" t="e">
        <f t="shared" ref="AK118:AL118" si="749">1-(EXP($AI118+AL$31)/(1 + EXP($AI118+AL$31)))</f>
        <v>#DIV/0!</v>
      </c>
      <c r="AL118" s="2" t="e">
        <f t="shared" si="749"/>
        <v>#DIV/0!</v>
      </c>
      <c r="AN118" s="8" t="e">
        <f t="shared" si="587"/>
        <v>#DIV/0!</v>
      </c>
      <c r="AO118" s="2" t="e">
        <f t="shared" si="608"/>
        <v>#DIV/0!</v>
      </c>
      <c r="AP118" s="2" t="e">
        <f t="shared" ref="AP118:AQ118" si="750">1-NORMSDIST($AN118+AQ$31)</f>
        <v>#DIV/0!</v>
      </c>
      <c r="AQ118" s="2" t="e">
        <f t="shared" si="750"/>
        <v>#DIV/0!</v>
      </c>
      <c r="AS118" s="8" t="e">
        <f t="shared" si="589"/>
        <v>#DIV/0!</v>
      </c>
      <c r="AT118" s="2" t="e">
        <f t="shared" si="610"/>
        <v>#DIV/0!</v>
      </c>
      <c r="AU118" s="2" t="e">
        <f t="shared" si="658"/>
        <v>#DIV/0!</v>
      </c>
      <c r="AV118" s="2" t="e">
        <f t="shared" si="659"/>
        <v>#DIV/0!</v>
      </c>
      <c r="AY118" s="8" t="e">
        <f t="shared" si="590"/>
        <v>#DIV/0!</v>
      </c>
      <c r="AZ118" s="2" t="e">
        <f t="shared" si="611"/>
        <v>#DIV/0!</v>
      </c>
      <c r="BA118" s="2" t="e">
        <f t="shared" si="660"/>
        <v>#DIV/0!</v>
      </c>
      <c r="BB118" s="2" t="e">
        <f t="shared" si="661"/>
        <v>#DIV/0!</v>
      </c>
      <c r="BE118" s="8" t="e">
        <f t="shared" si="591"/>
        <v>#DIV/0!</v>
      </c>
      <c r="BF118" s="2" t="e">
        <f t="shared" si="612"/>
        <v>#DIV/0!</v>
      </c>
      <c r="BG118" s="2" t="e">
        <f t="shared" si="613"/>
        <v>#DIV/0!</v>
      </c>
      <c r="BH118" s="2" t="e">
        <f t="shared" si="614"/>
        <v>#DIV/0!</v>
      </c>
    </row>
    <row r="119" spans="1:60" x14ac:dyDescent="0.2">
      <c r="A119" s="2">
        <f t="shared" si="647"/>
        <v>6.916666666666659</v>
      </c>
      <c r="B119" s="2">
        <f t="shared" si="592"/>
        <v>9.9112820104658907E-4</v>
      </c>
      <c r="C119" s="2">
        <f t="shared" si="742"/>
        <v>9.9112820104658907E-4</v>
      </c>
      <c r="D119" s="2">
        <f t="shared" si="742"/>
        <v>9.9112820104658907E-4</v>
      </c>
      <c r="E119" s="8">
        <f t="shared" si="593"/>
        <v>9.9112820104658907E-4</v>
      </c>
      <c r="F119" s="2">
        <f t="shared" ref="F119:G119" si="751">EXP(-(($A119*$F$31*G$31)^$E$31))</f>
        <v>9.9112820104658907E-4</v>
      </c>
      <c r="G119" s="2">
        <f t="shared" si="751"/>
        <v>9.9112820104658907E-4</v>
      </c>
      <c r="I119" s="8" t="e">
        <f t="shared" si="595"/>
        <v>#DIV/0!</v>
      </c>
      <c r="J119" s="2" t="e">
        <f t="shared" ref="J119:K119" si="752">EXP(-(($J$31*K$31)/$I$31)*(EXP($I$31*$A119)-1))</f>
        <v>#DIV/0!</v>
      </c>
      <c r="K119" s="2" t="e">
        <f t="shared" si="752"/>
        <v>#DIV/0!</v>
      </c>
      <c r="M119" s="8">
        <f t="shared" si="597"/>
        <v>2.6560624148051049E-2</v>
      </c>
      <c r="N119" s="2">
        <f t="shared" ref="N119:O119" si="753">1-_xlfn.NORM.S.DIST((LN($A119)-$M$31-O$31)/$N$31,TRUE)</f>
        <v>2.6560624148051049E-2</v>
      </c>
      <c r="O119" s="2">
        <f t="shared" si="753"/>
        <v>2.6560624148051049E-2</v>
      </c>
      <c r="Q119" s="8">
        <f t="shared" si="599"/>
        <v>0.12631578947368438</v>
      </c>
      <c r="R119" s="2">
        <f t="shared" ref="R119:S119" si="754">1-(1/(1+($A119/($R$31*S$31))^(-$Q$31)))</f>
        <v>0.12631578947368438</v>
      </c>
      <c r="S119" s="2">
        <f t="shared" si="754"/>
        <v>0.12631578947368438</v>
      </c>
      <c r="U119" s="8">
        <f t="shared" si="601"/>
        <v>9.9112820104663157E-4</v>
      </c>
      <c r="V119" s="2">
        <f t="shared" ref="V119" si="755">1-(_xlfn.GAMMA.DIST($V$31*W$31*$A119,$U$31,1,TRUE)*EXP(GAMMALN($U$31)))/EXP(GAMMALN($U$31))</f>
        <v>9.9112820104663157E-4</v>
      </c>
      <c r="W119" s="2">
        <f t="shared" si="738"/>
        <v>9.9112820104663157E-4</v>
      </c>
      <c r="Y119" s="8">
        <f t="shared" si="603"/>
        <v>2.6560624148051049E-2</v>
      </c>
      <c r="Z119" s="2">
        <f t="shared" si="653"/>
        <v>2.6560624148051049E-2</v>
      </c>
      <c r="AA119" s="2">
        <f t="shared" si="654"/>
        <v>2.6560624148051049E-2</v>
      </c>
      <c r="AD119" s="8" t="e">
        <f t="shared" si="583"/>
        <v>#DIV/0!</v>
      </c>
      <c r="AE119" s="2" t="e">
        <f t="shared" si="604"/>
        <v>#DIV/0!</v>
      </c>
      <c r="AF119" s="2" t="e">
        <f t="shared" ref="AF119:AG119" si="756">EXP(-EXP($AD119+AG$31))</f>
        <v>#DIV/0!</v>
      </c>
      <c r="AG119" s="2" t="e">
        <f t="shared" si="756"/>
        <v>#DIV/0!</v>
      </c>
      <c r="AI119" s="8" t="e">
        <f t="shared" si="585"/>
        <v>#DIV/0!</v>
      </c>
      <c r="AJ119" s="2" t="e">
        <f t="shared" si="606"/>
        <v>#DIV/0!</v>
      </c>
      <c r="AK119" s="2" t="e">
        <f t="shared" ref="AK119:AL119" si="757">1-(EXP($AI119+AL$31)/(1 + EXP($AI119+AL$31)))</f>
        <v>#DIV/0!</v>
      </c>
      <c r="AL119" s="2" t="e">
        <f t="shared" si="757"/>
        <v>#DIV/0!</v>
      </c>
      <c r="AN119" s="8" t="e">
        <f t="shared" si="587"/>
        <v>#DIV/0!</v>
      </c>
      <c r="AO119" s="2" t="e">
        <f t="shared" si="608"/>
        <v>#DIV/0!</v>
      </c>
      <c r="AP119" s="2" t="e">
        <f t="shared" ref="AP119:AQ119" si="758">1-NORMSDIST($AN119+AQ$31)</f>
        <v>#DIV/0!</v>
      </c>
      <c r="AQ119" s="2" t="e">
        <f t="shared" si="758"/>
        <v>#DIV/0!</v>
      </c>
      <c r="AS119" s="8" t="e">
        <f t="shared" si="589"/>
        <v>#DIV/0!</v>
      </c>
      <c r="AT119" s="2" t="e">
        <f t="shared" si="610"/>
        <v>#DIV/0!</v>
      </c>
      <c r="AU119" s="2" t="e">
        <f t="shared" si="658"/>
        <v>#DIV/0!</v>
      </c>
      <c r="AV119" s="2" t="e">
        <f t="shared" si="659"/>
        <v>#DIV/0!</v>
      </c>
      <c r="AY119" s="8" t="e">
        <f t="shared" si="590"/>
        <v>#DIV/0!</v>
      </c>
      <c r="AZ119" s="2" t="e">
        <f t="shared" si="611"/>
        <v>#DIV/0!</v>
      </c>
      <c r="BA119" s="2" t="e">
        <f t="shared" si="660"/>
        <v>#DIV/0!</v>
      </c>
      <c r="BB119" s="2" t="e">
        <f t="shared" si="661"/>
        <v>#DIV/0!</v>
      </c>
      <c r="BE119" s="8" t="e">
        <f t="shared" si="591"/>
        <v>#DIV/0!</v>
      </c>
      <c r="BF119" s="2" t="e">
        <f t="shared" si="612"/>
        <v>#DIV/0!</v>
      </c>
      <c r="BG119" s="2" t="e">
        <f t="shared" si="613"/>
        <v>#DIV/0!</v>
      </c>
      <c r="BH119" s="2" t="e">
        <f t="shared" si="614"/>
        <v>#DIV/0!</v>
      </c>
    </row>
    <row r="120" spans="1:60" x14ac:dyDescent="0.2">
      <c r="A120" s="2">
        <f t="shared" si="647"/>
        <v>6.999999999999992</v>
      </c>
      <c r="B120" s="2">
        <f t="shared" si="592"/>
        <v>9.1188196555452351E-4</v>
      </c>
      <c r="C120" s="2">
        <f t="shared" si="742"/>
        <v>9.1188196555452351E-4</v>
      </c>
      <c r="D120" s="2">
        <f t="shared" si="742"/>
        <v>9.1188196555452351E-4</v>
      </c>
      <c r="E120" s="8">
        <f t="shared" si="593"/>
        <v>9.1188196555452351E-4</v>
      </c>
      <c r="F120" s="2">
        <f t="shared" ref="F120:G120" si="759">EXP(-(($A120*$F$31*G$31)^$E$31))</f>
        <v>9.1188196555452351E-4</v>
      </c>
      <c r="G120" s="2">
        <f t="shared" si="759"/>
        <v>9.1188196555452351E-4</v>
      </c>
      <c r="I120" s="8" t="e">
        <f t="shared" si="595"/>
        <v>#DIV/0!</v>
      </c>
      <c r="J120" s="2" t="e">
        <f t="shared" ref="J120:K120" si="760">EXP(-(($J$31*K$31)/$I$31)*(EXP($I$31*$A120)-1))</f>
        <v>#DIV/0!</v>
      </c>
      <c r="K120" s="2" t="e">
        <f t="shared" si="760"/>
        <v>#DIV/0!</v>
      </c>
      <c r="M120" s="8">
        <f t="shared" si="597"/>
        <v>2.5832766804592233E-2</v>
      </c>
      <c r="N120" s="2">
        <f t="shared" ref="N120:O120" si="761">1-_xlfn.NORM.S.DIST((LN($A120)-$M$31-O$31)/$N$31,TRUE)</f>
        <v>2.5832766804592233E-2</v>
      </c>
      <c r="O120" s="2">
        <f t="shared" si="761"/>
        <v>2.5832766804592233E-2</v>
      </c>
      <c r="Q120" s="8">
        <f t="shared" si="599"/>
        <v>0.12500000000000011</v>
      </c>
      <c r="R120" s="2">
        <f t="shared" ref="R120:S120" si="762">1-(1/(1+($A120/($R$31*S$31))^(-$Q$31)))</f>
        <v>0.12500000000000011</v>
      </c>
      <c r="S120" s="2">
        <f t="shared" si="762"/>
        <v>0.12500000000000011</v>
      </c>
      <c r="U120" s="8">
        <f t="shared" si="601"/>
        <v>9.1188196555447298E-4</v>
      </c>
      <c r="V120" s="2">
        <f t="shared" ref="V120" si="763">1-(_xlfn.GAMMA.DIST($V$31*W$31*$A120,$U$31,1,TRUE)*EXP(GAMMALN($U$31)))/EXP(GAMMALN($U$31))</f>
        <v>9.1188196555447298E-4</v>
      </c>
      <c r="W120" s="2">
        <f t="shared" si="738"/>
        <v>9.1188196555447298E-4</v>
      </c>
      <c r="Y120" s="8">
        <f t="shared" si="603"/>
        <v>2.5832766804592233E-2</v>
      </c>
      <c r="Z120" s="2">
        <f t="shared" si="653"/>
        <v>2.5832766804592233E-2</v>
      </c>
      <c r="AA120" s="2">
        <f t="shared" si="654"/>
        <v>2.5832766804592233E-2</v>
      </c>
      <c r="AD120" s="8" t="e">
        <f t="shared" si="583"/>
        <v>#DIV/0!</v>
      </c>
      <c r="AE120" s="2" t="e">
        <f t="shared" si="604"/>
        <v>#DIV/0!</v>
      </c>
      <c r="AF120" s="2" t="e">
        <f t="shared" ref="AF120:AG120" si="764">EXP(-EXP($AD120+AG$31))</f>
        <v>#DIV/0!</v>
      </c>
      <c r="AG120" s="2" t="e">
        <f t="shared" si="764"/>
        <v>#DIV/0!</v>
      </c>
      <c r="AI120" s="8" t="e">
        <f t="shared" si="585"/>
        <v>#DIV/0!</v>
      </c>
      <c r="AJ120" s="2" t="e">
        <f t="shared" si="606"/>
        <v>#DIV/0!</v>
      </c>
      <c r="AK120" s="2" t="e">
        <f t="shared" ref="AK120:AL120" si="765">1-(EXP($AI120+AL$31)/(1 + EXP($AI120+AL$31)))</f>
        <v>#DIV/0!</v>
      </c>
      <c r="AL120" s="2" t="e">
        <f t="shared" si="765"/>
        <v>#DIV/0!</v>
      </c>
      <c r="AN120" s="8" t="e">
        <f t="shared" si="587"/>
        <v>#DIV/0!</v>
      </c>
      <c r="AO120" s="2" t="e">
        <f t="shared" si="608"/>
        <v>#DIV/0!</v>
      </c>
      <c r="AP120" s="2" t="e">
        <f t="shared" ref="AP120:AQ120" si="766">1-NORMSDIST($AN120+AQ$31)</f>
        <v>#DIV/0!</v>
      </c>
      <c r="AQ120" s="2" t="e">
        <f t="shared" si="766"/>
        <v>#DIV/0!</v>
      </c>
      <c r="AS120" s="8" t="e">
        <f t="shared" si="589"/>
        <v>#DIV/0!</v>
      </c>
      <c r="AT120" s="2" t="e">
        <f t="shared" si="610"/>
        <v>#DIV/0!</v>
      </c>
      <c r="AU120" s="2" t="e">
        <f t="shared" si="658"/>
        <v>#DIV/0!</v>
      </c>
      <c r="AV120" s="2" t="e">
        <f t="shared" si="659"/>
        <v>#DIV/0!</v>
      </c>
      <c r="AY120" s="8" t="e">
        <f t="shared" si="590"/>
        <v>#DIV/0!</v>
      </c>
      <c r="AZ120" s="2" t="e">
        <f t="shared" si="611"/>
        <v>#DIV/0!</v>
      </c>
      <c r="BA120" s="2" t="e">
        <f t="shared" si="660"/>
        <v>#DIV/0!</v>
      </c>
      <c r="BB120" s="2" t="e">
        <f t="shared" si="661"/>
        <v>#DIV/0!</v>
      </c>
      <c r="BE120" s="8" t="e">
        <f t="shared" si="591"/>
        <v>#DIV/0!</v>
      </c>
      <c r="BF120" s="2" t="e">
        <f t="shared" si="612"/>
        <v>#DIV/0!</v>
      </c>
      <c r="BG120" s="2" t="e">
        <f t="shared" si="613"/>
        <v>#DIV/0!</v>
      </c>
      <c r="BH120" s="2" t="e">
        <f t="shared" si="614"/>
        <v>#DIV/0!</v>
      </c>
    </row>
    <row r="121" spans="1:60" x14ac:dyDescent="0.2">
      <c r="A121" s="2">
        <f t="shared" si="647"/>
        <v>7.083333333333325</v>
      </c>
      <c r="B121" s="2">
        <f t="shared" si="592"/>
        <v>8.3897190920964853E-4</v>
      </c>
      <c r="C121" s="2">
        <f t="shared" si="742"/>
        <v>8.3897190920964853E-4</v>
      </c>
      <c r="D121" s="2">
        <f t="shared" si="742"/>
        <v>8.3897190920964853E-4</v>
      </c>
      <c r="E121" s="8">
        <f t="shared" si="593"/>
        <v>8.3897190920964853E-4</v>
      </c>
      <c r="F121" s="2">
        <f t="shared" ref="F121:G121" si="767">EXP(-(($A121*$F$31*G$31)^$E$31))</f>
        <v>8.3897190920964853E-4</v>
      </c>
      <c r="G121" s="2">
        <f t="shared" si="767"/>
        <v>8.3897190920964853E-4</v>
      </c>
      <c r="I121" s="8" t="e">
        <f t="shared" si="595"/>
        <v>#DIV/0!</v>
      </c>
      <c r="J121" s="2" t="e">
        <f t="shared" ref="J121:K121" si="768">EXP(-(($J$31*K$31)/$I$31)*(EXP($I$31*$A121)-1))</f>
        <v>#DIV/0!</v>
      </c>
      <c r="K121" s="2" t="e">
        <f t="shared" si="768"/>
        <v>#DIV/0!</v>
      </c>
      <c r="M121" s="8">
        <f t="shared" si="597"/>
        <v>2.5129994111808607E-2</v>
      </c>
      <c r="N121" s="2">
        <f t="shared" ref="N121:O121" si="769">1-_xlfn.NORM.S.DIST((LN($A121)-$M$31-O$31)/$N$31,TRUE)</f>
        <v>2.5129994111808607E-2</v>
      </c>
      <c r="O121" s="2">
        <f t="shared" si="769"/>
        <v>2.5129994111808607E-2</v>
      </c>
      <c r="Q121" s="8">
        <f t="shared" si="599"/>
        <v>0.12371134020618568</v>
      </c>
      <c r="R121" s="2">
        <f t="shared" ref="R121:S121" si="770">1-(1/(1+($A121/($R$31*S$31))^(-$Q$31)))</f>
        <v>0.12371134020618568</v>
      </c>
      <c r="S121" s="2">
        <f t="shared" si="770"/>
        <v>0.12371134020618568</v>
      </c>
      <c r="U121" s="8">
        <f t="shared" si="601"/>
        <v>8.3897190920967368E-4</v>
      </c>
      <c r="V121" s="2">
        <f t="shared" ref="V121" si="771">1-(_xlfn.GAMMA.DIST($V$31*W$31*$A121,$U$31,1,TRUE)*EXP(GAMMALN($U$31)))/EXP(GAMMALN($U$31))</f>
        <v>8.3897190920967368E-4</v>
      </c>
      <c r="W121" s="2">
        <f t="shared" si="738"/>
        <v>8.3897190920967368E-4</v>
      </c>
      <c r="Y121" s="8">
        <f t="shared" si="603"/>
        <v>2.5129994111808607E-2</v>
      </c>
      <c r="Z121" s="2">
        <f t="shared" si="653"/>
        <v>2.5129994111808607E-2</v>
      </c>
      <c r="AA121" s="2">
        <f t="shared" si="654"/>
        <v>2.5129994111808607E-2</v>
      </c>
      <c r="AD121" s="8" t="e">
        <f t="shared" si="583"/>
        <v>#DIV/0!</v>
      </c>
      <c r="AE121" s="2" t="e">
        <f t="shared" si="604"/>
        <v>#DIV/0!</v>
      </c>
      <c r="AF121" s="2" t="e">
        <f t="shared" ref="AF121:AG121" si="772">EXP(-EXP($AD121+AG$31))</f>
        <v>#DIV/0!</v>
      </c>
      <c r="AG121" s="2" t="e">
        <f t="shared" si="772"/>
        <v>#DIV/0!</v>
      </c>
      <c r="AI121" s="8" t="e">
        <f t="shared" si="585"/>
        <v>#DIV/0!</v>
      </c>
      <c r="AJ121" s="2" t="e">
        <f t="shared" si="606"/>
        <v>#DIV/0!</v>
      </c>
      <c r="AK121" s="2" t="e">
        <f t="shared" ref="AK121:AL121" si="773">1-(EXP($AI121+AL$31)/(1 + EXP($AI121+AL$31)))</f>
        <v>#DIV/0!</v>
      </c>
      <c r="AL121" s="2" t="e">
        <f t="shared" si="773"/>
        <v>#DIV/0!</v>
      </c>
      <c r="AN121" s="8" t="e">
        <f t="shared" si="587"/>
        <v>#DIV/0!</v>
      </c>
      <c r="AO121" s="2" t="e">
        <f t="shared" si="608"/>
        <v>#DIV/0!</v>
      </c>
      <c r="AP121" s="2" t="e">
        <f t="shared" ref="AP121:AQ121" si="774">1-NORMSDIST($AN121+AQ$31)</f>
        <v>#DIV/0!</v>
      </c>
      <c r="AQ121" s="2" t="e">
        <f t="shared" si="774"/>
        <v>#DIV/0!</v>
      </c>
      <c r="AS121" s="8" t="e">
        <f t="shared" si="589"/>
        <v>#DIV/0!</v>
      </c>
      <c r="AT121" s="2" t="e">
        <f t="shared" si="610"/>
        <v>#DIV/0!</v>
      </c>
      <c r="AU121" s="2" t="e">
        <f t="shared" si="658"/>
        <v>#DIV/0!</v>
      </c>
      <c r="AV121" s="2" t="e">
        <f t="shared" si="659"/>
        <v>#DIV/0!</v>
      </c>
      <c r="AY121" s="8" t="e">
        <f t="shared" si="590"/>
        <v>#DIV/0!</v>
      </c>
      <c r="AZ121" s="2" t="e">
        <f t="shared" si="611"/>
        <v>#DIV/0!</v>
      </c>
      <c r="BA121" s="2" t="e">
        <f t="shared" si="660"/>
        <v>#DIV/0!</v>
      </c>
      <c r="BB121" s="2" t="e">
        <f t="shared" si="661"/>
        <v>#DIV/0!</v>
      </c>
      <c r="BE121" s="8" t="e">
        <f t="shared" si="591"/>
        <v>#DIV/0!</v>
      </c>
      <c r="BF121" s="2" t="e">
        <f t="shared" si="612"/>
        <v>#DIV/0!</v>
      </c>
      <c r="BG121" s="2" t="e">
        <f t="shared" si="613"/>
        <v>#DIV/0!</v>
      </c>
      <c r="BH121" s="2" t="e">
        <f t="shared" si="614"/>
        <v>#DIV/0!</v>
      </c>
    </row>
    <row r="122" spans="1:60" x14ac:dyDescent="0.2">
      <c r="A122" s="2">
        <f t="shared" si="647"/>
        <v>7.1666666666666581</v>
      </c>
      <c r="B122" s="2">
        <f t="shared" si="592"/>
        <v>7.71891419099237E-4</v>
      </c>
      <c r="C122" s="2">
        <f t="shared" si="742"/>
        <v>7.71891419099237E-4</v>
      </c>
      <c r="D122" s="2">
        <f t="shared" si="742"/>
        <v>7.71891419099237E-4</v>
      </c>
      <c r="E122" s="8">
        <f t="shared" si="593"/>
        <v>7.71891419099237E-4</v>
      </c>
      <c r="F122" s="2">
        <f t="shared" ref="F122:G122" si="775">EXP(-(($A122*$F$31*G$31)^$E$31))</f>
        <v>7.71891419099237E-4</v>
      </c>
      <c r="G122" s="2">
        <f t="shared" si="775"/>
        <v>7.71891419099237E-4</v>
      </c>
      <c r="I122" s="8" t="e">
        <f t="shared" si="595"/>
        <v>#DIV/0!</v>
      </c>
      <c r="J122" s="2" t="e">
        <f t="shared" ref="J122:K122" si="776">EXP(-(($J$31*K$31)/$I$31)*(EXP($I$31*$A122)-1))</f>
        <v>#DIV/0!</v>
      </c>
      <c r="K122" s="2" t="e">
        <f t="shared" si="776"/>
        <v>#DIV/0!</v>
      </c>
      <c r="M122" s="8">
        <f t="shared" si="597"/>
        <v>2.4451256021976842E-2</v>
      </c>
      <c r="N122" s="2">
        <f t="shared" ref="N122:O122" si="777">1-_xlfn.NORM.S.DIST((LN($A122)-$M$31-O$31)/$N$31,TRUE)</f>
        <v>2.4451256021976842E-2</v>
      </c>
      <c r="O122" s="2">
        <f t="shared" si="777"/>
        <v>2.4451256021976842E-2</v>
      </c>
      <c r="Q122" s="8">
        <f t="shared" si="599"/>
        <v>0.12244897959183687</v>
      </c>
      <c r="R122" s="2">
        <f t="shared" ref="R122:S122" si="778">1-(1/(1+($A122/($R$31*S$31))^(-$Q$31)))</f>
        <v>0.12244897959183687</v>
      </c>
      <c r="S122" s="2">
        <f t="shared" si="778"/>
        <v>0.12244897959183687</v>
      </c>
      <c r="U122" s="8">
        <f t="shared" si="601"/>
        <v>7.7189141909927983E-4</v>
      </c>
      <c r="V122" s="2">
        <f t="shared" ref="V122" si="779">1-(_xlfn.GAMMA.DIST($V$31*W$31*$A122,$U$31,1,TRUE)*EXP(GAMMALN($U$31)))/EXP(GAMMALN($U$31))</f>
        <v>7.7189141909927983E-4</v>
      </c>
      <c r="W122" s="2">
        <f t="shared" si="738"/>
        <v>7.7189141909927983E-4</v>
      </c>
      <c r="Y122" s="8">
        <f t="shared" si="603"/>
        <v>2.4451256021976842E-2</v>
      </c>
      <c r="Z122" s="2">
        <f t="shared" si="653"/>
        <v>2.4451256021976842E-2</v>
      </c>
      <c r="AA122" s="2">
        <f t="shared" si="654"/>
        <v>2.4451256021976842E-2</v>
      </c>
      <c r="AD122" s="8" t="e">
        <f t="shared" si="583"/>
        <v>#DIV/0!</v>
      </c>
      <c r="AE122" s="2" t="e">
        <f t="shared" si="604"/>
        <v>#DIV/0!</v>
      </c>
      <c r="AF122" s="2" t="e">
        <f t="shared" ref="AF122:AG122" si="780">EXP(-EXP($AD122+AG$31))</f>
        <v>#DIV/0!</v>
      </c>
      <c r="AG122" s="2" t="e">
        <f t="shared" si="780"/>
        <v>#DIV/0!</v>
      </c>
      <c r="AI122" s="8" t="e">
        <f t="shared" si="585"/>
        <v>#DIV/0!</v>
      </c>
      <c r="AJ122" s="2" t="e">
        <f t="shared" si="606"/>
        <v>#DIV/0!</v>
      </c>
      <c r="AK122" s="2" t="e">
        <f t="shared" ref="AK122:AL122" si="781">1-(EXP($AI122+AL$31)/(1 + EXP($AI122+AL$31)))</f>
        <v>#DIV/0!</v>
      </c>
      <c r="AL122" s="2" t="e">
        <f t="shared" si="781"/>
        <v>#DIV/0!</v>
      </c>
      <c r="AN122" s="8" t="e">
        <f t="shared" si="587"/>
        <v>#DIV/0!</v>
      </c>
      <c r="AO122" s="2" t="e">
        <f t="shared" si="608"/>
        <v>#DIV/0!</v>
      </c>
      <c r="AP122" s="2" t="e">
        <f t="shared" ref="AP122:AQ122" si="782">1-NORMSDIST($AN122+AQ$31)</f>
        <v>#DIV/0!</v>
      </c>
      <c r="AQ122" s="2" t="e">
        <f t="shared" si="782"/>
        <v>#DIV/0!</v>
      </c>
      <c r="AS122" s="8" t="e">
        <f t="shared" si="589"/>
        <v>#DIV/0!</v>
      </c>
      <c r="AT122" s="2" t="e">
        <f t="shared" si="610"/>
        <v>#DIV/0!</v>
      </c>
      <c r="AU122" s="2" t="e">
        <f t="shared" si="658"/>
        <v>#DIV/0!</v>
      </c>
      <c r="AV122" s="2" t="e">
        <f t="shared" si="659"/>
        <v>#DIV/0!</v>
      </c>
      <c r="AY122" s="8" t="e">
        <f t="shared" si="590"/>
        <v>#DIV/0!</v>
      </c>
      <c r="AZ122" s="2" t="e">
        <f t="shared" si="611"/>
        <v>#DIV/0!</v>
      </c>
      <c r="BA122" s="2" t="e">
        <f t="shared" si="660"/>
        <v>#DIV/0!</v>
      </c>
      <c r="BB122" s="2" t="e">
        <f t="shared" si="661"/>
        <v>#DIV/0!</v>
      </c>
      <c r="BE122" s="8" t="e">
        <f t="shared" si="591"/>
        <v>#DIV/0!</v>
      </c>
      <c r="BF122" s="2" t="e">
        <f t="shared" si="612"/>
        <v>#DIV/0!</v>
      </c>
      <c r="BG122" s="2" t="e">
        <f t="shared" si="613"/>
        <v>#DIV/0!</v>
      </c>
      <c r="BH122" s="2" t="e">
        <f t="shared" si="614"/>
        <v>#DIV/0!</v>
      </c>
    </row>
    <row r="123" spans="1:60" x14ac:dyDescent="0.2">
      <c r="A123" s="2">
        <f t="shared" si="647"/>
        <v>7.2499999999999911</v>
      </c>
      <c r="B123" s="2">
        <f t="shared" si="592"/>
        <v>7.1017438884255542E-4</v>
      </c>
      <c r="C123" s="2">
        <f t="shared" si="742"/>
        <v>7.1017438884255542E-4</v>
      </c>
      <c r="D123" s="2">
        <f t="shared" si="742"/>
        <v>7.1017438884255542E-4</v>
      </c>
      <c r="E123" s="8">
        <f t="shared" si="593"/>
        <v>7.1017438884255542E-4</v>
      </c>
      <c r="F123" s="2">
        <f t="shared" ref="F123:G123" si="783">EXP(-(($A123*$F$31*G$31)^$E$31))</f>
        <v>7.1017438884255542E-4</v>
      </c>
      <c r="G123" s="2">
        <f t="shared" si="783"/>
        <v>7.1017438884255542E-4</v>
      </c>
      <c r="I123" s="8" t="e">
        <f t="shared" si="595"/>
        <v>#DIV/0!</v>
      </c>
      <c r="J123" s="2" t="e">
        <f t="shared" ref="J123:K123" si="784">EXP(-(($J$31*K$31)/$I$31)*(EXP($I$31*$A123)-1))</f>
        <v>#DIV/0!</v>
      </c>
      <c r="K123" s="2" t="e">
        <f t="shared" si="784"/>
        <v>#DIV/0!</v>
      </c>
      <c r="M123" s="8">
        <f t="shared" si="597"/>
        <v>2.3795554431433441E-2</v>
      </c>
      <c r="N123" s="2">
        <f t="shared" ref="N123:O123" si="785">1-_xlfn.NORM.S.DIST((LN($A123)-$M$31-O$31)/$N$31,TRUE)</f>
        <v>2.3795554431433441E-2</v>
      </c>
      <c r="O123" s="2">
        <f t="shared" si="785"/>
        <v>2.3795554431433441E-2</v>
      </c>
      <c r="Q123" s="8">
        <f t="shared" si="599"/>
        <v>0.12121212121212144</v>
      </c>
      <c r="R123" s="2">
        <f t="shared" ref="R123:S123" si="786">1-(1/(1+($A123/($R$31*S$31))^(-$Q$31)))</f>
        <v>0.12121212121212144</v>
      </c>
      <c r="S123" s="2">
        <f t="shared" si="786"/>
        <v>0.12121212121212144</v>
      </c>
      <c r="U123" s="8">
        <f t="shared" si="601"/>
        <v>7.1017438884257711E-4</v>
      </c>
      <c r="V123" s="2">
        <f t="shared" ref="V123" si="787">1-(_xlfn.GAMMA.DIST($V$31*W$31*$A123,$U$31,1,TRUE)*EXP(GAMMALN($U$31)))/EXP(GAMMALN($U$31))</f>
        <v>7.1017438884257711E-4</v>
      </c>
      <c r="W123" s="2">
        <f t="shared" si="738"/>
        <v>7.1017438884257711E-4</v>
      </c>
      <c r="Y123" s="8">
        <f t="shared" si="603"/>
        <v>2.3795554431433441E-2</v>
      </c>
      <c r="Z123" s="2">
        <f t="shared" si="653"/>
        <v>2.3795554431433441E-2</v>
      </c>
      <c r="AA123" s="2">
        <f t="shared" si="654"/>
        <v>2.3795554431433441E-2</v>
      </c>
      <c r="AD123" s="8" t="e">
        <f t="shared" si="583"/>
        <v>#DIV/0!</v>
      </c>
      <c r="AE123" s="2" t="e">
        <f t="shared" si="604"/>
        <v>#DIV/0!</v>
      </c>
      <c r="AF123" s="2" t="e">
        <f t="shared" ref="AF123:AG123" si="788">EXP(-EXP($AD123+AG$31))</f>
        <v>#DIV/0!</v>
      </c>
      <c r="AG123" s="2" t="e">
        <f t="shared" si="788"/>
        <v>#DIV/0!</v>
      </c>
      <c r="AI123" s="8" t="e">
        <f t="shared" si="585"/>
        <v>#DIV/0!</v>
      </c>
      <c r="AJ123" s="2" t="e">
        <f t="shared" si="606"/>
        <v>#DIV/0!</v>
      </c>
      <c r="AK123" s="2" t="e">
        <f t="shared" ref="AK123:AL123" si="789">1-(EXP($AI123+AL$31)/(1 + EXP($AI123+AL$31)))</f>
        <v>#DIV/0!</v>
      </c>
      <c r="AL123" s="2" t="e">
        <f t="shared" si="789"/>
        <v>#DIV/0!</v>
      </c>
      <c r="AN123" s="8" t="e">
        <f t="shared" si="587"/>
        <v>#DIV/0!</v>
      </c>
      <c r="AO123" s="2" t="e">
        <f t="shared" si="608"/>
        <v>#DIV/0!</v>
      </c>
      <c r="AP123" s="2" t="e">
        <f t="shared" ref="AP123:AQ123" si="790">1-NORMSDIST($AN123+AQ$31)</f>
        <v>#DIV/0!</v>
      </c>
      <c r="AQ123" s="2" t="e">
        <f t="shared" si="790"/>
        <v>#DIV/0!</v>
      </c>
      <c r="AS123" s="8" t="e">
        <f t="shared" si="589"/>
        <v>#DIV/0!</v>
      </c>
      <c r="AT123" s="2" t="e">
        <f t="shared" si="610"/>
        <v>#DIV/0!</v>
      </c>
      <c r="AU123" s="2" t="e">
        <f t="shared" si="658"/>
        <v>#DIV/0!</v>
      </c>
      <c r="AV123" s="2" t="e">
        <f t="shared" si="659"/>
        <v>#DIV/0!</v>
      </c>
      <c r="AY123" s="8" t="e">
        <f t="shared" si="590"/>
        <v>#DIV/0!</v>
      </c>
      <c r="AZ123" s="2" t="e">
        <f t="shared" si="611"/>
        <v>#DIV/0!</v>
      </c>
      <c r="BA123" s="2" t="e">
        <f t="shared" si="660"/>
        <v>#DIV/0!</v>
      </c>
      <c r="BB123" s="2" t="e">
        <f t="shared" si="661"/>
        <v>#DIV/0!</v>
      </c>
      <c r="BE123" s="8" t="e">
        <f t="shared" si="591"/>
        <v>#DIV/0!</v>
      </c>
      <c r="BF123" s="2" t="e">
        <f t="shared" si="612"/>
        <v>#DIV/0!</v>
      </c>
      <c r="BG123" s="2" t="e">
        <f t="shared" si="613"/>
        <v>#DIV/0!</v>
      </c>
      <c r="BH123" s="2" t="e">
        <f t="shared" si="614"/>
        <v>#DIV/0!</v>
      </c>
    </row>
    <row r="124" spans="1:60" x14ac:dyDescent="0.2">
      <c r="A124" s="2">
        <f t="shared" si="647"/>
        <v>7.3333333333333242</v>
      </c>
      <c r="B124" s="2">
        <f t="shared" si="592"/>
        <v>6.5339197986738647E-4</v>
      </c>
      <c r="C124" s="2">
        <f t="shared" si="742"/>
        <v>6.5339197986738647E-4</v>
      </c>
      <c r="D124" s="2">
        <f t="shared" si="742"/>
        <v>6.5339197986738647E-4</v>
      </c>
      <c r="E124" s="8">
        <f t="shared" si="593"/>
        <v>6.5339197986738647E-4</v>
      </c>
      <c r="F124" s="2">
        <f t="shared" ref="F124:G124" si="791">EXP(-(($A124*$F$31*G$31)^$E$31))</f>
        <v>6.5339197986738647E-4</v>
      </c>
      <c r="G124" s="2">
        <f t="shared" si="791"/>
        <v>6.5339197986738647E-4</v>
      </c>
      <c r="I124" s="8" t="e">
        <f t="shared" si="595"/>
        <v>#DIV/0!</v>
      </c>
      <c r="J124" s="2" t="e">
        <f t="shared" ref="J124:K124" si="792">EXP(-(($J$31*K$31)/$I$31)*(EXP($I$31*$A124)-1))</f>
        <v>#DIV/0!</v>
      </c>
      <c r="K124" s="2" t="e">
        <f t="shared" si="792"/>
        <v>#DIV/0!</v>
      </c>
      <c r="M124" s="8">
        <f t="shared" si="597"/>
        <v>2.3161940209759813E-2</v>
      </c>
      <c r="N124" s="2">
        <f t="shared" ref="N124:O124" si="793">1-_xlfn.NORM.S.DIST((LN($A124)-$M$31-O$31)/$N$31,TRUE)</f>
        <v>2.3161940209759813E-2</v>
      </c>
      <c r="O124" s="2">
        <f t="shared" si="793"/>
        <v>2.3161940209759813E-2</v>
      </c>
      <c r="Q124" s="8">
        <f t="shared" si="599"/>
        <v>0.12000000000000011</v>
      </c>
      <c r="R124" s="2">
        <f t="shared" ref="R124:S124" si="794">1-(1/(1+($A124/($R$31*S$31))^(-$Q$31)))</f>
        <v>0.12000000000000011</v>
      </c>
      <c r="S124" s="2">
        <f t="shared" si="794"/>
        <v>0.12000000000000011</v>
      </c>
      <c r="U124" s="8">
        <f t="shared" si="601"/>
        <v>6.5339197986735709E-4</v>
      </c>
      <c r="V124" s="2">
        <f t="shared" ref="V124" si="795">1-(_xlfn.GAMMA.DIST($V$31*W$31*$A124,$U$31,1,TRUE)*EXP(GAMMALN($U$31)))/EXP(GAMMALN($U$31))</f>
        <v>6.5339197986735709E-4</v>
      </c>
      <c r="W124" s="2">
        <f t="shared" si="738"/>
        <v>6.5339197986735709E-4</v>
      </c>
      <c r="Y124" s="8">
        <f t="shared" si="603"/>
        <v>2.3161940209759813E-2</v>
      </c>
      <c r="Z124" s="2">
        <f t="shared" si="653"/>
        <v>2.3161940209759813E-2</v>
      </c>
      <c r="AA124" s="2">
        <f t="shared" si="654"/>
        <v>2.3161940209759813E-2</v>
      </c>
      <c r="AD124" s="8" t="e">
        <f t="shared" si="583"/>
        <v>#DIV/0!</v>
      </c>
      <c r="AE124" s="2" t="e">
        <f t="shared" si="604"/>
        <v>#DIV/0!</v>
      </c>
      <c r="AF124" s="2" t="e">
        <f t="shared" ref="AF124:AG124" si="796">EXP(-EXP($AD124+AG$31))</f>
        <v>#DIV/0!</v>
      </c>
      <c r="AG124" s="2" t="e">
        <f t="shared" si="796"/>
        <v>#DIV/0!</v>
      </c>
      <c r="AI124" s="8" t="e">
        <f t="shared" si="585"/>
        <v>#DIV/0!</v>
      </c>
      <c r="AJ124" s="2" t="e">
        <f t="shared" si="606"/>
        <v>#DIV/0!</v>
      </c>
      <c r="AK124" s="2" t="e">
        <f t="shared" ref="AK124:AL124" si="797">1-(EXP($AI124+AL$31)/(1 + EXP($AI124+AL$31)))</f>
        <v>#DIV/0!</v>
      </c>
      <c r="AL124" s="2" t="e">
        <f t="shared" si="797"/>
        <v>#DIV/0!</v>
      </c>
      <c r="AN124" s="8" t="e">
        <f t="shared" si="587"/>
        <v>#DIV/0!</v>
      </c>
      <c r="AO124" s="2" t="e">
        <f t="shared" si="608"/>
        <v>#DIV/0!</v>
      </c>
      <c r="AP124" s="2" t="e">
        <f t="shared" ref="AP124:AQ124" si="798">1-NORMSDIST($AN124+AQ$31)</f>
        <v>#DIV/0!</v>
      </c>
      <c r="AQ124" s="2" t="e">
        <f t="shared" si="798"/>
        <v>#DIV/0!</v>
      </c>
      <c r="AS124" s="8" t="e">
        <f t="shared" si="589"/>
        <v>#DIV/0!</v>
      </c>
      <c r="AT124" s="2" t="e">
        <f t="shared" si="610"/>
        <v>#DIV/0!</v>
      </c>
      <c r="AU124" s="2" t="e">
        <f t="shared" si="658"/>
        <v>#DIV/0!</v>
      </c>
      <c r="AV124" s="2" t="e">
        <f t="shared" si="659"/>
        <v>#DIV/0!</v>
      </c>
      <c r="AY124" s="8" t="e">
        <f t="shared" si="590"/>
        <v>#DIV/0!</v>
      </c>
      <c r="AZ124" s="2" t="e">
        <f t="shared" si="611"/>
        <v>#DIV/0!</v>
      </c>
      <c r="BA124" s="2" t="e">
        <f t="shared" si="660"/>
        <v>#DIV/0!</v>
      </c>
      <c r="BB124" s="2" t="e">
        <f t="shared" si="661"/>
        <v>#DIV/0!</v>
      </c>
      <c r="BE124" s="8" t="e">
        <f t="shared" si="591"/>
        <v>#DIV/0!</v>
      </c>
      <c r="BF124" s="2" t="e">
        <f t="shared" si="612"/>
        <v>#DIV/0!</v>
      </c>
      <c r="BG124" s="2" t="e">
        <f t="shared" si="613"/>
        <v>#DIV/0!</v>
      </c>
      <c r="BH124" s="2" t="e">
        <f t="shared" si="614"/>
        <v>#DIV/0!</v>
      </c>
    </row>
    <row r="125" spans="1:60" x14ac:dyDescent="0.2">
      <c r="A125" s="2">
        <f t="shared" si="647"/>
        <v>7.4166666666666572</v>
      </c>
      <c r="B125" s="2">
        <f t="shared" si="592"/>
        <v>6.0114964164058435E-4</v>
      </c>
      <c r="C125" s="2">
        <f t="shared" si="742"/>
        <v>6.0114964164058435E-4</v>
      </c>
      <c r="D125" s="2">
        <f t="shared" si="742"/>
        <v>6.0114964164058435E-4</v>
      </c>
      <c r="E125" s="8">
        <f t="shared" si="593"/>
        <v>6.0114964164058435E-4</v>
      </c>
      <c r="F125" s="2">
        <f t="shared" ref="F125:G125" si="799">EXP(-(($A125*$F$31*G$31)^$E$31))</f>
        <v>6.0114964164058435E-4</v>
      </c>
      <c r="G125" s="2">
        <f t="shared" si="799"/>
        <v>6.0114964164058435E-4</v>
      </c>
      <c r="I125" s="8" t="e">
        <f t="shared" si="595"/>
        <v>#DIV/0!</v>
      </c>
      <c r="J125" s="2" t="e">
        <f t="shared" ref="J125:K125" si="800">EXP(-(($J$31*K$31)/$I$31)*(EXP($I$31*$A125)-1))</f>
        <v>#DIV/0!</v>
      </c>
      <c r="K125" s="2" t="e">
        <f t="shared" si="800"/>
        <v>#DIV/0!</v>
      </c>
      <c r="M125" s="8">
        <f t="shared" si="597"/>
        <v>2.2549510421949082E-2</v>
      </c>
      <c r="N125" s="2">
        <f t="shared" ref="N125:O125" si="801">1-_xlfn.NORM.S.DIST((LN($A125)-$M$31-O$31)/$N$31,TRUE)</f>
        <v>2.2549510421949082E-2</v>
      </c>
      <c r="O125" s="2">
        <f t="shared" si="801"/>
        <v>2.2549510421949082E-2</v>
      </c>
      <c r="Q125" s="8">
        <f t="shared" si="599"/>
        <v>0.11881188118811892</v>
      </c>
      <c r="R125" s="2">
        <f t="shared" ref="R125:S125" si="802">1-(1/(1+($A125/($R$31*S$31))^(-$Q$31)))</f>
        <v>0.11881188118811892</v>
      </c>
      <c r="S125" s="2">
        <f t="shared" si="802"/>
        <v>0.11881188118811892</v>
      </c>
      <c r="U125" s="8">
        <f t="shared" si="601"/>
        <v>6.0114964164059703E-4</v>
      </c>
      <c r="V125" s="2">
        <f t="shared" ref="V125" si="803">1-(_xlfn.GAMMA.DIST($V$31*W$31*$A125,$U$31,1,TRUE)*EXP(GAMMALN($U$31)))/EXP(GAMMALN($U$31))</f>
        <v>6.0114964164059703E-4</v>
      </c>
      <c r="W125" s="2">
        <f t="shared" si="738"/>
        <v>6.0114964164059703E-4</v>
      </c>
      <c r="Y125" s="8">
        <f t="shared" si="603"/>
        <v>2.2549510421949082E-2</v>
      </c>
      <c r="Z125" s="2">
        <f t="shared" si="653"/>
        <v>2.2549510421949082E-2</v>
      </c>
      <c r="AA125" s="2">
        <f t="shared" si="654"/>
        <v>2.2549510421949082E-2</v>
      </c>
      <c r="AD125" s="8" t="e">
        <f t="shared" si="583"/>
        <v>#DIV/0!</v>
      </c>
      <c r="AE125" s="2" t="e">
        <f t="shared" si="604"/>
        <v>#DIV/0!</v>
      </c>
      <c r="AF125" s="2" t="e">
        <f t="shared" ref="AF125:AG125" si="804">EXP(-EXP($AD125+AG$31))</f>
        <v>#DIV/0!</v>
      </c>
      <c r="AG125" s="2" t="e">
        <f t="shared" si="804"/>
        <v>#DIV/0!</v>
      </c>
      <c r="AI125" s="8" t="e">
        <f t="shared" si="585"/>
        <v>#DIV/0!</v>
      </c>
      <c r="AJ125" s="2" t="e">
        <f t="shared" si="606"/>
        <v>#DIV/0!</v>
      </c>
      <c r="AK125" s="2" t="e">
        <f t="shared" ref="AK125:AL125" si="805">1-(EXP($AI125+AL$31)/(1 + EXP($AI125+AL$31)))</f>
        <v>#DIV/0!</v>
      </c>
      <c r="AL125" s="2" t="e">
        <f t="shared" si="805"/>
        <v>#DIV/0!</v>
      </c>
      <c r="AN125" s="8" t="e">
        <f t="shared" si="587"/>
        <v>#DIV/0!</v>
      </c>
      <c r="AO125" s="2" t="e">
        <f t="shared" si="608"/>
        <v>#DIV/0!</v>
      </c>
      <c r="AP125" s="2" t="e">
        <f t="shared" ref="AP125:AQ125" si="806">1-NORMSDIST($AN125+AQ$31)</f>
        <v>#DIV/0!</v>
      </c>
      <c r="AQ125" s="2" t="e">
        <f t="shared" si="806"/>
        <v>#DIV/0!</v>
      </c>
      <c r="AS125" s="8" t="e">
        <f t="shared" si="589"/>
        <v>#DIV/0!</v>
      </c>
      <c r="AT125" s="2" t="e">
        <f t="shared" si="610"/>
        <v>#DIV/0!</v>
      </c>
      <c r="AU125" s="2" t="e">
        <f t="shared" si="658"/>
        <v>#DIV/0!</v>
      </c>
      <c r="AV125" s="2" t="e">
        <f t="shared" si="659"/>
        <v>#DIV/0!</v>
      </c>
      <c r="AY125" s="8" t="e">
        <f t="shared" si="590"/>
        <v>#DIV/0!</v>
      </c>
      <c r="AZ125" s="2" t="e">
        <f t="shared" si="611"/>
        <v>#DIV/0!</v>
      </c>
      <c r="BA125" s="2" t="e">
        <f t="shared" si="660"/>
        <v>#DIV/0!</v>
      </c>
      <c r="BB125" s="2" t="e">
        <f t="shared" si="661"/>
        <v>#DIV/0!</v>
      </c>
      <c r="BE125" s="8" t="e">
        <f t="shared" si="591"/>
        <v>#DIV/0!</v>
      </c>
      <c r="BF125" s="2" t="e">
        <f t="shared" si="612"/>
        <v>#DIV/0!</v>
      </c>
      <c r="BG125" s="2" t="e">
        <f t="shared" si="613"/>
        <v>#DIV/0!</v>
      </c>
      <c r="BH125" s="2" t="e">
        <f t="shared" si="614"/>
        <v>#DIV/0!</v>
      </c>
    </row>
    <row r="126" spans="1:60" x14ac:dyDescent="0.2">
      <c r="A126" s="2">
        <f t="shared" si="647"/>
        <v>7.4999999999999902</v>
      </c>
      <c r="B126" s="2">
        <f t="shared" si="592"/>
        <v>5.5308437014783894E-4</v>
      </c>
      <c r="C126" s="2">
        <f t="shared" si="742"/>
        <v>5.5308437014783894E-4</v>
      </c>
      <c r="D126" s="2">
        <f t="shared" si="742"/>
        <v>5.5308437014783894E-4</v>
      </c>
      <c r="E126" s="8">
        <f t="shared" si="593"/>
        <v>5.5308437014783894E-4</v>
      </c>
      <c r="F126" s="2">
        <f t="shared" ref="F126:G126" si="807">EXP(-(($A126*$F$31*G$31)^$E$31))</f>
        <v>5.5308437014783894E-4</v>
      </c>
      <c r="G126" s="2">
        <f t="shared" si="807"/>
        <v>5.5308437014783894E-4</v>
      </c>
      <c r="I126" s="8" t="e">
        <f t="shared" si="595"/>
        <v>#DIV/0!</v>
      </c>
      <c r="J126" s="2" t="e">
        <f t="shared" ref="J126:K126" si="808">EXP(-(($J$31*K$31)/$I$31)*(EXP($I$31*$A126)-1))</f>
        <v>#DIV/0!</v>
      </c>
      <c r="K126" s="2" t="e">
        <f t="shared" si="808"/>
        <v>#DIV/0!</v>
      </c>
      <c r="M126" s="8">
        <f t="shared" si="597"/>
        <v>2.1957405729526314E-2</v>
      </c>
      <c r="N126" s="2">
        <f t="shared" ref="N126:O126" si="809">1-_xlfn.NORM.S.DIST((LN($A126)-$M$31-O$31)/$N$31,TRUE)</f>
        <v>2.1957405729526314E-2</v>
      </c>
      <c r="O126" s="2">
        <f t="shared" si="809"/>
        <v>2.1957405729526314E-2</v>
      </c>
      <c r="Q126" s="8">
        <f t="shared" si="599"/>
        <v>0.11764705882352955</v>
      </c>
      <c r="R126" s="2">
        <f t="shared" ref="R126:S126" si="810">1-(1/(1+($A126/($R$31*S$31))^(-$Q$31)))</f>
        <v>0.11764705882352955</v>
      </c>
      <c r="S126" s="2">
        <f t="shared" si="810"/>
        <v>0.11764705882352955</v>
      </c>
      <c r="U126" s="8">
        <f t="shared" si="601"/>
        <v>5.530843701478938E-4</v>
      </c>
      <c r="V126" s="2">
        <f t="shared" ref="V126" si="811">1-(_xlfn.GAMMA.DIST($V$31*W$31*$A126,$U$31,1,TRUE)*EXP(GAMMALN($U$31)))/EXP(GAMMALN($U$31))</f>
        <v>5.530843701478938E-4</v>
      </c>
      <c r="W126" s="2">
        <f t="shared" si="738"/>
        <v>5.530843701478938E-4</v>
      </c>
      <c r="Y126" s="8">
        <f t="shared" si="603"/>
        <v>2.1957405729526314E-2</v>
      </c>
      <c r="Z126" s="2">
        <f t="shared" si="653"/>
        <v>2.1957405729526314E-2</v>
      </c>
      <c r="AA126" s="2">
        <f t="shared" si="654"/>
        <v>2.1957405729526314E-2</v>
      </c>
      <c r="AD126" s="8" t="e">
        <f t="shared" si="583"/>
        <v>#DIV/0!</v>
      </c>
      <c r="AE126" s="2" t="e">
        <f t="shared" si="604"/>
        <v>#DIV/0!</v>
      </c>
      <c r="AF126" s="2" t="e">
        <f t="shared" ref="AF126:AG126" si="812">EXP(-EXP($AD126+AG$31))</f>
        <v>#DIV/0!</v>
      </c>
      <c r="AG126" s="2" t="e">
        <f t="shared" si="812"/>
        <v>#DIV/0!</v>
      </c>
      <c r="AI126" s="8" t="e">
        <f t="shared" si="585"/>
        <v>#DIV/0!</v>
      </c>
      <c r="AJ126" s="2" t="e">
        <f t="shared" si="606"/>
        <v>#DIV/0!</v>
      </c>
      <c r="AK126" s="2" t="e">
        <f t="shared" ref="AK126:AL126" si="813">1-(EXP($AI126+AL$31)/(1 + EXP($AI126+AL$31)))</f>
        <v>#DIV/0!</v>
      </c>
      <c r="AL126" s="2" t="e">
        <f t="shared" si="813"/>
        <v>#DIV/0!</v>
      </c>
      <c r="AN126" s="8" t="e">
        <f t="shared" si="587"/>
        <v>#DIV/0!</v>
      </c>
      <c r="AO126" s="2" t="e">
        <f t="shared" si="608"/>
        <v>#DIV/0!</v>
      </c>
      <c r="AP126" s="2" t="e">
        <f t="shared" ref="AP126:AQ126" si="814">1-NORMSDIST($AN126+AQ$31)</f>
        <v>#DIV/0!</v>
      </c>
      <c r="AQ126" s="2" t="e">
        <f t="shared" si="814"/>
        <v>#DIV/0!</v>
      </c>
      <c r="AS126" s="8" t="e">
        <f t="shared" si="589"/>
        <v>#DIV/0!</v>
      </c>
      <c r="AT126" s="2" t="e">
        <f t="shared" si="610"/>
        <v>#DIV/0!</v>
      </c>
      <c r="AU126" s="2" t="e">
        <f t="shared" si="658"/>
        <v>#DIV/0!</v>
      </c>
      <c r="AV126" s="2" t="e">
        <f t="shared" si="659"/>
        <v>#DIV/0!</v>
      </c>
      <c r="AY126" s="8" t="e">
        <f t="shared" si="590"/>
        <v>#DIV/0!</v>
      </c>
      <c r="AZ126" s="2" t="e">
        <f t="shared" si="611"/>
        <v>#DIV/0!</v>
      </c>
      <c r="BA126" s="2" t="e">
        <f t="shared" si="660"/>
        <v>#DIV/0!</v>
      </c>
      <c r="BB126" s="2" t="e">
        <f t="shared" si="661"/>
        <v>#DIV/0!</v>
      </c>
      <c r="BE126" s="8" t="e">
        <f t="shared" si="591"/>
        <v>#DIV/0!</v>
      </c>
      <c r="BF126" s="2" t="e">
        <f t="shared" si="612"/>
        <v>#DIV/0!</v>
      </c>
      <c r="BG126" s="2" t="e">
        <f t="shared" si="613"/>
        <v>#DIV/0!</v>
      </c>
      <c r="BH126" s="2" t="e">
        <f t="shared" si="614"/>
        <v>#DIV/0!</v>
      </c>
    </row>
    <row r="127" spans="1:60" x14ac:dyDescent="0.2">
      <c r="A127" s="2">
        <f t="shared" si="647"/>
        <v>7.5833333333333233</v>
      </c>
      <c r="B127" s="2">
        <f t="shared" si="592"/>
        <v>5.0886218557329665E-4</v>
      </c>
      <c r="C127" s="2">
        <f t="shared" si="742"/>
        <v>5.0886218557329665E-4</v>
      </c>
      <c r="D127" s="2">
        <f t="shared" si="742"/>
        <v>5.0886218557329665E-4</v>
      </c>
      <c r="E127" s="8">
        <f t="shared" si="593"/>
        <v>5.0886218557329665E-4</v>
      </c>
      <c r="F127" s="2">
        <f t="shared" ref="F127:G127" si="815">EXP(-(($A127*$F$31*G$31)^$E$31))</f>
        <v>5.0886218557329665E-4</v>
      </c>
      <c r="G127" s="2">
        <f t="shared" si="815"/>
        <v>5.0886218557329665E-4</v>
      </c>
      <c r="I127" s="8" t="e">
        <f t="shared" si="595"/>
        <v>#DIV/0!</v>
      </c>
      <c r="J127" s="2" t="e">
        <f t="shared" ref="J127:K127" si="816">EXP(-(($J$31*K$31)/$I$31)*(EXP($I$31*$A127)-1))</f>
        <v>#DIV/0!</v>
      </c>
      <c r="K127" s="2" t="e">
        <f t="shared" si="816"/>
        <v>#DIV/0!</v>
      </c>
      <c r="M127" s="8">
        <f t="shared" si="597"/>
        <v>2.1384807957713803E-2</v>
      </c>
      <c r="N127" s="2">
        <f t="shared" ref="N127:O127" si="817">1-_xlfn.NORM.S.DIST((LN($A127)-$M$31-O$31)/$N$31,TRUE)</f>
        <v>2.1384807957713803E-2</v>
      </c>
      <c r="O127" s="2">
        <f t="shared" si="817"/>
        <v>2.1384807957713803E-2</v>
      </c>
      <c r="Q127" s="8">
        <f t="shared" si="599"/>
        <v>0.11650485436893221</v>
      </c>
      <c r="R127" s="2">
        <f t="shared" ref="R127:S127" si="818">1-(1/(1+($A127/($R$31*S$31))^(-$Q$31)))</f>
        <v>0.11650485436893221</v>
      </c>
      <c r="S127" s="2">
        <f t="shared" si="818"/>
        <v>0.11650485436893221</v>
      </c>
      <c r="U127" s="8">
        <f t="shared" si="601"/>
        <v>5.0886218557333329E-4</v>
      </c>
      <c r="V127" s="2">
        <f t="shared" ref="V127" si="819">1-(_xlfn.GAMMA.DIST($V$31*W$31*$A127,$U$31,1,TRUE)*EXP(GAMMALN($U$31)))/EXP(GAMMALN($U$31))</f>
        <v>5.0886218557333329E-4</v>
      </c>
      <c r="W127" s="2">
        <f t="shared" si="738"/>
        <v>5.0886218557333329E-4</v>
      </c>
      <c r="Y127" s="8">
        <f t="shared" si="603"/>
        <v>2.1384807957713803E-2</v>
      </c>
      <c r="Z127" s="2">
        <f t="shared" si="653"/>
        <v>2.1384807957713803E-2</v>
      </c>
      <c r="AA127" s="2">
        <f t="shared" si="654"/>
        <v>2.1384807957713803E-2</v>
      </c>
      <c r="AD127" s="8" t="e">
        <f t="shared" si="583"/>
        <v>#DIV/0!</v>
      </c>
      <c r="AE127" s="2" t="e">
        <f t="shared" si="604"/>
        <v>#DIV/0!</v>
      </c>
      <c r="AF127" s="2" t="e">
        <f t="shared" ref="AF127:AG127" si="820">EXP(-EXP($AD127+AG$31))</f>
        <v>#DIV/0!</v>
      </c>
      <c r="AG127" s="2" t="e">
        <f t="shared" si="820"/>
        <v>#DIV/0!</v>
      </c>
      <c r="AI127" s="8" t="e">
        <f t="shared" si="585"/>
        <v>#DIV/0!</v>
      </c>
      <c r="AJ127" s="2" t="e">
        <f t="shared" si="606"/>
        <v>#DIV/0!</v>
      </c>
      <c r="AK127" s="2" t="e">
        <f t="shared" ref="AK127:AL127" si="821">1-(EXP($AI127+AL$31)/(1 + EXP($AI127+AL$31)))</f>
        <v>#DIV/0!</v>
      </c>
      <c r="AL127" s="2" t="e">
        <f t="shared" si="821"/>
        <v>#DIV/0!</v>
      </c>
      <c r="AN127" s="8" t="e">
        <f t="shared" si="587"/>
        <v>#DIV/0!</v>
      </c>
      <c r="AO127" s="2" t="e">
        <f t="shared" si="608"/>
        <v>#DIV/0!</v>
      </c>
      <c r="AP127" s="2" t="e">
        <f t="shared" ref="AP127:AQ127" si="822">1-NORMSDIST($AN127+AQ$31)</f>
        <v>#DIV/0!</v>
      </c>
      <c r="AQ127" s="2" t="e">
        <f t="shared" si="822"/>
        <v>#DIV/0!</v>
      </c>
      <c r="AS127" s="8" t="e">
        <f t="shared" si="589"/>
        <v>#DIV/0!</v>
      </c>
      <c r="AT127" s="2" t="e">
        <f t="shared" si="610"/>
        <v>#DIV/0!</v>
      </c>
      <c r="AU127" s="2" t="e">
        <f t="shared" si="658"/>
        <v>#DIV/0!</v>
      </c>
      <c r="AV127" s="2" t="e">
        <f t="shared" si="659"/>
        <v>#DIV/0!</v>
      </c>
      <c r="AY127" s="8" t="e">
        <f t="shared" si="590"/>
        <v>#DIV/0!</v>
      </c>
      <c r="AZ127" s="2" t="e">
        <f t="shared" si="611"/>
        <v>#DIV/0!</v>
      </c>
      <c r="BA127" s="2" t="e">
        <f t="shared" si="660"/>
        <v>#DIV/0!</v>
      </c>
      <c r="BB127" s="2" t="e">
        <f t="shared" si="661"/>
        <v>#DIV/0!</v>
      </c>
      <c r="BE127" s="8" t="e">
        <f t="shared" si="591"/>
        <v>#DIV/0!</v>
      </c>
      <c r="BF127" s="2" t="e">
        <f t="shared" si="612"/>
        <v>#DIV/0!</v>
      </c>
      <c r="BG127" s="2" t="e">
        <f t="shared" si="613"/>
        <v>#DIV/0!</v>
      </c>
      <c r="BH127" s="2" t="e">
        <f t="shared" si="614"/>
        <v>#DIV/0!</v>
      </c>
    </row>
    <row r="128" spans="1:60" x14ac:dyDescent="0.2">
      <c r="A128" s="2">
        <f t="shared" si="647"/>
        <v>7.6666666666666563</v>
      </c>
      <c r="B128" s="2">
        <f t="shared" si="592"/>
        <v>4.6817581165278186E-4</v>
      </c>
      <c r="C128" s="2">
        <f t="shared" si="742"/>
        <v>4.6817581165278186E-4</v>
      </c>
      <c r="D128" s="2">
        <f t="shared" si="742"/>
        <v>4.6817581165278186E-4</v>
      </c>
      <c r="E128" s="8">
        <f t="shared" si="593"/>
        <v>4.6817581165278186E-4</v>
      </c>
      <c r="F128" s="2">
        <f t="shared" ref="F128:G128" si="823">EXP(-(($A128*$F$31*G$31)^$E$31))</f>
        <v>4.6817581165278186E-4</v>
      </c>
      <c r="G128" s="2">
        <f t="shared" si="823"/>
        <v>4.6817581165278186E-4</v>
      </c>
      <c r="I128" s="8" t="e">
        <f t="shared" si="595"/>
        <v>#DIV/0!</v>
      </c>
      <c r="J128" s="2" t="e">
        <f t="shared" ref="J128:K128" si="824">EXP(-(($J$31*K$31)/$I$31)*(EXP($I$31*$A128)-1))</f>
        <v>#DIV/0!</v>
      </c>
      <c r="K128" s="2" t="e">
        <f t="shared" si="824"/>
        <v>#DIV/0!</v>
      </c>
      <c r="M128" s="8">
        <f t="shared" si="597"/>
        <v>2.0830937816769701E-2</v>
      </c>
      <c r="N128" s="2">
        <f t="shared" ref="N128:O128" si="825">1-_xlfn.NORM.S.DIST((LN($A128)-$M$31-O$31)/$N$31,TRUE)</f>
        <v>2.0830937816769701E-2</v>
      </c>
      <c r="O128" s="2">
        <f t="shared" si="825"/>
        <v>2.0830937816769701E-2</v>
      </c>
      <c r="Q128" s="8">
        <f t="shared" si="599"/>
        <v>0.11538461538461553</v>
      </c>
      <c r="R128" s="2">
        <f t="shared" ref="R128:S128" si="826">1-(1/(1+($A128/($R$31*S$31))^(-$Q$31)))</f>
        <v>0.11538461538461553</v>
      </c>
      <c r="S128" s="2">
        <f t="shared" si="826"/>
        <v>0.11538461538461553</v>
      </c>
      <c r="U128" s="8">
        <f t="shared" si="601"/>
        <v>4.6817581165281563E-4</v>
      </c>
      <c r="V128" s="2">
        <f t="shared" ref="V128" si="827">1-(_xlfn.GAMMA.DIST($V$31*W$31*$A128,$U$31,1,TRUE)*EXP(GAMMALN($U$31)))/EXP(GAMMALN($U$31))</f>
        <v>4.6817581165281563E-4</v>
      </c>
      <c r="W128" s="2">
        <f t="shared" si="738"/>
        <v>4.6817581165281563E-4</v>
      </c>
      <c r="Y128" s="8">
        <f t="shared" si="603"/>
        <v>2.0830937816769701E-2</v>
      </c>
      <c r="Z128" s="2">
        <f t="shared" si="653"/>
        <v>2.0830937816769701E-2</v>
      </c>
      <c r="AA128" s="2">
        <f t="shared" si="654"/>
        <v>2.0830937816769701E-2</v>
      </c>
      <c r="AD128" s="8" t="e">
        <f t="shared" si="583"/>
        <v>#DIV/0!</v>
      </c>
      <c r="AE128" s="2" t="e">
        <f t="shared" si="604"/>
        <v>#DIV/0!</v>
      </c>
      <c r="AF128" s="2" t="e">
        <f t="shared" ref="AF128:AG128" si="828">EXP(-EXP($AD128+AG$31))</f>
        <v>#DIV/0!</v>
      </c>
      <c r="AG128" s="2" t="e">
        <f t="shared" si="828"/>
        <v>#DIV/0!</v>
      </c>
      <c r="AI128" s="8" t="e">
        <f t="shared" si="585"/>
        <v>#DIV/0!</v>
      </c>
      <c r="AJ128" s="2" t="e">
        <f t="shared" si="606"/>
        <v>#DIV/0!</v>
      </c>
      <c r="AK128" s="2" t="e">
        <f t="shared" ref="AK128:AL128" si="829">1-(EXP($AI128+AL$31)/(1 + EXP($AI128+AL$31)))</f>
        <v>#DIV/0!</v>
      </c>
      <c r="AL128" s="2" t="e">
        <f t="shared" si="829"/>
        <v>#DIV/0!</v>
      </c>
      <c r="AN128" s="8" t="e">
        <f t="shared" si="587"/>
        <v>#DIV/0!</v>
      </c>
      <c r="AO128" s="2" t="e">
        <f t="shared" si="608"/>
        <v>#DIV/0!</v>
      </c>
      <c r="AP128" s="2" t="e">
        <f t="shared" ref="AP128:AQ128" si="830">1-NORMSDIST($AN128+AQ$31)</f>
        <v>#DIV/0!</v>
      </c>
      <c r="AQ128" s="2" t="e">
        <f t="shared" si="830"/>
        <v>#DIV/0!</v>
      </c>
      <c r="AS128" s="8" t="e">
        <f t="shared" si="589"/>
        <v>#DIV/0!</v>
      </c>
      <c r="AT128" s="2" t="e">
        <f t="shared" si="610"/>
        <v>#DIV/0!</v>
      </c>
      <c r="AU128" s="2" t="e">
        <f t="shared" si="658"/>
        <v>#DIV/0!</v>
      </c>
      <c r="AV128" s="2" t="e">
        <f t="shared" si="659"/>
        <v>#DIV/0!</v>
      </c>
      <c r="AY128" s="8" t="e">
        <f t="shared" si="590"/>
        <v>#DIV/0!</v>
      </c>
      <c r="AZ128" s="2" t="e">
        <f t="shared" si="611"/>
        <v>#DIV/0!</v>
      </c>
      <c r="BA128" s="2" t="e">
        <f t="shared" si="660"/>
        <v>#DIV/0!</v>
      </c>
      <c r="BB128" s="2" t="e">
        <f t="shared" si="661"/>
        <v>#DIV/0!</v>
      </c>
      <c r="BE128" s="8" t="e">
        <f t="shared" si="591"/>
        <v>#DIV/0!</v>
      </c>
      <c r="BF128" s="2" t="e">
        <f t="shared" si="612"/>
        <v>#DIV/0!</v>
      </c>
      <c r="BG128" s="2" t="e">
        <f t="shared" si="613"/>
        <v>#DIV/0!</v>
      </c>
      <c r="BH128" s="2" t="e">
        <f t="shared" si="614"/>
        <v>#DIV/0!</v>
      </c>
    </row>
    <row r="129" spans="1:60" x14ac:dyDescent="0.2">
      <c r="A129" s="2">
        <f t="shared" si="647"/>
        <v>7.7499999999999893</v>
      </c>
      <c r="B129" s="2">
        <f t="shared" si="592"/>
        <v>4.3074254057569214E-4</v>
      </c>
      <c r="C129" s="2">
        <f t="shared" si="742"/>
        <v>4.3074254057569214E-4</v>
      </c>
      <c r="D129" s="2">
        <f t="shared" si="742"/>
        <v>4.3074254057569214E-4</v>
      </c>
      <c r="E129" s="8">
        <f t="shared" si="593"/>
        <v>4.3074254057569214E-4</v>
      </c>
      <c r="F129" s="2">
        <f t="shared" ref="F129:G129" si="831">EXP(-(($A129*$F$31*G$31)^$E$31))</f>
        <v>4.3074254057569214E-4</v>
      </c>
      <c r="G129" s="2">
        <f t="shared" si="831"/>
        <v>4.3074254057569214E-4</v>
      </c>
      <c r="I129" s="8" t="e">
        <f t="shared" si="595"/>
        <v>#DIV/0!</v>
      </c>
      <c r="J129" s="2" t="e">
        <f t="shared" ref="J129:K129" si="832">EXP(-(($J$31*K$31)/$I$31)*(EXP($I$31*$A129)-1))</f>
        <v>#DIV/0!</v>
      </c>
      <c r="K129" s="2" t="e">
        <f t="shared" si="832"/>
        <v>#DIV/0!</v>
      </c>
      <c r="M129" s="8">
        <f t="shared" si="597"/>
        <v>2.0295052766562183E-2</v>
      </c>
      <c r="N129" s="2">
        <f t="shared" ref="N129:O129" si="833">1-_xlfn.NORM.S.DIST((LN($A129)-$M$31-O$31)/$N$31,TRUE)</f>
        <v>2.0295052766562183E-2</v>
      </c>
      <c r="O129" s="2">
        <f t="shared" si="833"/>
        <v>2.0295052766562183E-2</v>
      </c>
      <c r="Q129" s="8">
        <f t="shared" si="599"/>
        <v>0.11428571428571432</v>
      </c>
      <c r="R129" s="2">
        <f t="shared" ref="R129:S129" si="834">1-(1/(1+($A129/($R$31*S$31))^(-$Q$31)))</f>
        <v>0.11428571428571432</v>
      </c>
      <c r="S129" s="2">
        <f t="shared" si="834"/>
        <v>0.11428571428571432</v>
      </c>
      <c r="U129" s="8">
        <f t="shared" si="601"/>
        <v>4.307425405757348E-4</v>
      </c>
      <c r="V129" s="2">
        <f t="shared" ref="V129" si="835">1-(_xlfn.GAMMA.DIST($V$31*W$31*$A129,$U$31,1,TRUE)*EXP(GAMMALN($U$31)))/EXP(GAMMALN($U$31))</f>
        <v>4.307425405757348E-4</v>
      </c>
      <c r="W129" s="2">
        <f t="shared" si="738"/>
        <v>4.307425405757348E-4</v>
      </c>
      <c r="Y129" s="8">
        <f t="shared" si="603"/>
        <v>2.0295052766562183E-2</v>
      </c>
      <c r="Z129" s="2">
        <f t="shared" si="653"/>
        <v>2.0295052766562183E-2</v>
      </c>
      <c r="AA129" s="2">
        <f t="shared" si="654"/>
        <v>2.0295052766562183E-2</v>
      </c>
      <c r="AD129" s="8" t="e">
        <f t="shared" si="583"/>
        <v>#DIV/0!</v>
      </c>
      <c r="AE129" s="2" t="e">
        <f t="shared" si="604"/>
        <v>#DIV/0!</v>
      </c>
      <c r="AF129" s="2" t="e">
        <f t="shared" ref="AF129:AG129" si="836">EXP(-EXP($AD129+AG$31))</f>
        <v>#DIV/0!</v>
      </c>
      <c r="AG129" s="2" t="e">
        <f t="shared" si="836"/>
        <v>#DIV/0!</v>
      </c>
      <c r="AI129" s="8" t="e">
        <f t="shared" si="585"/>
        <v>#DIV/0!</v>
      </c>
      <c r="AJ129" s="2" t="e">
        <f t="shared" si="606"/>
        <v>#DIV/0!</v>
      </c>
      <c r="AK129" s="2" t="e">
        <f t="shared" ref="AK129:AL129" si="837">1-(EXP($AI129+AL$31)/(1 + EXP($AI129+AL$31)))</f>
        <v>#DIV/0!</v>
      </c>
      <c r="AL129" s="2" t="e">
        <f t="shared" si="837"/>
        <v>#DIV/0!</v>
      </c>
      <c r="AN129" s="8" t="e">
        <f t="shared" si="587"/>
        <v>#DIV/0!</v>
      </c>
      <c r="AO129" s="2" t="e">
        <f t="shared" si="608"/>
        <v>#DIV/0!</v>
      </c>
      <c r="AP129" s="2" t="e">
        <f t="shared" ref="AP129:AQ129" si="838">1-NORMSDIST($AN129+AQ$31)</f>
        <v>#DIV/0!</v>
      </c>
      <c r="AQ129" s="2" t="e">
        <f t="shared" si="838"/>
        <v>#DIV/0!</v>
      </c>
      <c r="AS129" s="8" t="e">
        <f t="shared" si="589"/>
        <v>#DIV/0!</v>
      </c>
      <c r="AT129" s="2" t="e">
        <f t="shared" si="610"/>
        <v>#DIV/0!</v>
      </c>
      <c r="AU129" s="2" t="e">
        <f t="shared" si="658"/>
        <v>#DIV/0!</v>
      </c>
      <c r="AV129" s="2" t="e">
        <f t="shared" si="659"/>
        <v>#DIV/0!</v>
      </c>
      <c r="AY129" s="8" t="e">
        <f t="shared" si="590"/>
        <v>#DIV/0!</v>
      </c>
      <c r="AZ129" s="2" t="e">
        <f t="shared" si="611"/>
        <v>#DIV/0!</v>
      </c>
      <c r="BA129" s="2" t="e">
        <f t="shared" si="660"/>
        <v>#DIV/0!</v>
      </c>
      <c r="BB129" s="2" t="e">
        <f t="shared" si="661"/>
        <v>#DIV/0!</v>
      </c>
      <c r="BE129" s="8" t="e">
        <f t="shared" si="591"/>
        <v>#DIV/0!</v>
      </c>
      <c r="BF129" s="2" t="e">
        <f t="shared" si="612"/>
        <v>#DIV/0!</v>
      </c>
      <c r="BG129" s="2" t="e">
        <f t="shared" si="613"/>
        <v>#DIV/0!</v>
      </c>
      <c r="BH129" s="2" t="e">
        <f t="shared" si="614"/>
        <v>#DIV/0!</v>
      </c>
    </row>
    <row r="130" spans="1:60" x14ac:dyDescent="0.2">
      <c r="A130" s="2">
        <f t="shared" si="647"/>
        <v>7.8333333333333224</v>
      </c>
      <c r="B130" s="2">
        <f t="shared" si="592"/>
        <v>3.9630226859991029E-4</v>
      </c>
      <c r="C130" s="2">
        <f t="shared" si="742"/>
        <v>3.9630226859991029E-4</v>
      </c>
      <c r="D130" s="2">
        <f t="shared" si="742"/>
        <v>3.9630226859991029E-4</v>
      </c>
      <c r="E130" s="8">
        <f t="shared" si="593"/>
        <v>3.9630226859991029E-4</v>
      </c>
      <c r="F130" s="2">
        <f t="shared" ref="F130:G130" si="839">EXP(-(($A130*$F$31*G$31)^$E$31))</f>
        <v>3.9630226859991029E-4</v>
      </c>
      <c r="G130" s="2">
        <f t="shared" si="839"/>
        <v>3.9630226859991029E-4</v>
      </c>
      <c r="I130" s="8" t="e">
        <f t="shared" si="595"/>
        <v>#DIV/0!</v>
      </c>
      <c r="J130" s="2" t="e">
        <f t="shared" ref="J130:K130" si="840">EXP(-(($J$31*K$31)/$I$31)*(EXP($I$31*$A130)-1))</f>
        <v>#DIV/0!</v>
      </c>
      <c r="K130" s="2" t="e">
        <f t="shared" si="840"/>
        <v>#DIV/0!</v>
      </c>
      <c r="M130" s="8">
        <f t="shared" si="597"/>
        <v>1.9776445014302646E-2</v>
      </c>
      <c r="N130" s="2">
        <f t="shared" ref="N130:O130" si="841">1-_xlfn.NORM.S.DIST((LN($A130)-$M$31-O$31)/$N$31,TRUE)</f>
        <v>1.9776445014302646E-2</v>
      </c>
      <c r="O130" s="2">
        <f t="shared" si="841"/>
        <v>1.9776445014302646E-2</v>
      </c>
      <c r="Q130" s="8">
        <f t="shared" si="599"/>
        <v>0.11320754716981152</v>
      </c>
      <c r="R130" s="2">
        <f t="shared" ref="R130:S130" si="842">1-(1/(1+($A130/($R$31*S$31))^(-$Q$31)))</f>
        <v>0.11320754716981152</v>
      </c>
      <c r="S130" s="2">
        <f t="shared" si="842"/>
        <v>0.11320754716981152</v>
      </c>
      <c r="U130" s="8">
        <f t="shared" si="601"/>
        <v>3.963022685998796E-4</v>
      </c>
      <c r="V130" s="2">
        <f t="shared" ref="V130" si="843">1-(_xlfn.GAMMA.DIST($V$31*W$31*$A130,$U$31,1,TRUE)*EXP(GAMMALN($U$31)))/EXP(GAMMALN($U$31))</f>
        <v>3.963022685998796E-4</v>
      </c>
      <c r="W130" s="2">
        <f t="shared" si="738"/>
        <v>3.963022685998796E-4</v>
      </c>
      <c r="Y130" s="8">
        <f t="shared" si="603"/>
        <v>1.9776445014302646E-2</v>
      </c>
      <c r="Z130" s="2">
        <f t="shared" si="653"/>
        <v>1.9776445014302646E-2</v>
      </c>
      <c r="AA130" s="2">
        <f t="shared" si="654"/>
        <v>1.9776445014302646E-2</v>
      </c>
      <c r="AD130" s="8" t="e">
        <f t="shared" si="583"/>
        <v>#DIV/0!</v>
      </c>
      <c r="AE130" s="2" t="e">
        <f t="shared" si="604"/>
        <v>#DIV/0!</v>
      </c>
      <c r="AF130" s="2" t="e">
        <f t="shared" ref="AF130:AG130" si="844">EXP(-EXP($AD130+AG$31))</f>
        <v>#DIV/0!</v>
      </c>
      <c r="AG130" s="2" t="e">
        <f t="shared" si="844"/>
        <v>#DIV/0!</v>
      </c>
      <c r="AI130" s="8" t="e">
        <f t="shared" si="585"/>
        <v>#DIV/0!</v>
      </c>
      <c r="AJ130" s="2" t="e">
        <f t="shared" si="606"/>
        <v>#DIV/0!</v>
      </c>
      <c r="AK130" s="2" t="e">
        <f t="shared" ref="AK130:AL130" si="845">1-(EXP($AI130+AL$31)/(1 + EXP($AI130+AL$31)))</f>
        <v>#DIV/0!</v>
      </c>
      <c r="AL130" s="2" t="e">
        <f t="shared" si="845"/>
        <v>#DIV/0!</v>
      </c>
      <c r="AN130" s="8" t="e">
        <f t="shared" si="587"/>
        <v>#DIV/0!</v>
      </c>
      <c r="AO130" s="2" t="e">
        <f t="shared" si="608"/>
        <v>#DIV/0!</v>
      </c>
      <c r="AP130" s="2" t="e">
        <f t="shared" ref="AP130:AQ130" si="846">1-NORMSDIST($AN130+AQ$31)</f>
        <v>#DIV/0!</v>
      </c>
      <c r="AQ130" s="2" t="e">
        <f t="shared" si="846"/>
        <v>#DIV/0!</v>
      </c>
      <c r="AS130" s="8" t="e">
        <f t="shared" si="589"/>
        <v>#DIV/0!</v>
      </c>
      <c r="AT130" s="2" t="e">
        <f t="shared" si="610"/>
        <v>#DIV/0!</v>
      </c>
      <c r="AU130" s="2" t="e">
        <f t="shared" si="658"/>
        <v>#DIV/0!</v>
      </c>
      <c r="AV130" s="2" t="e">
        <f t="shared" si="659"/>
        <v>#DIV/0!</v>
      </c>
      <c r="AY130" s="8" t="e">
        <f t="shared" si="590"/>
        <v>#DIV/0!</v>
      </c>
      <c r="AZ130" s="2" t="e">
        <f t="shared" si="611"/>
        <v>#DIV/0!</v>
      </c>
      <c r="BA130" s="2" t="e">
        <f t="shared" si="660"/>
        <v>#DIV/0!</v>
      </c>
      <c r="BB130" s="2" t="e">
        <f t="shared" si="661"/>
        <v>#DIV/0!</v>
      </c>
      <c r="BE130" s="8" t="e">
        <f t="shared" si="591"/>
        <v>#DIV/0!</v>
      </c>
      <c r="BF130" s="2" t="e">
        <f t="shared" si="612"/>
        <v>#DIV/0!</v>
      </c>
      <c r="BG130" s="2" t="e">
        <f t="shared" si="613"/>
        <v>#DIV/0!</v>
      </c>
      <c r="BH130" s="2" t="e">
        <f t="shared" si="614"/>
        <v>#DIV/0!</v>
      </c>
    </row>
    <row r="131" spans="1:60" x14ac:dyDescent="0.2">
      <c r="A131" s="2">
        <f t="shared" si="647"/>
        <v>7.9166666666666554</v>
      </c>
      <c r="B131" s="2">
        <f t="shared" si="592"/>
        <v>3.6461568873027739E-4</v>
      </c>
      <c r="C131" s="2">
        <f t="shared" si="742"/>
        <v>3.6461568873027739E-4</v>
      </c>
      <c r="D131" s="2">
        <f t="shared" si="742"/>
        <v>3.6461568873027739E-4</v>
      </c>
      <c r="E131" s="8">
        <f t="shared" si="593"/>
        <v>3.6461568873027739E-4</v>
      </c>
      <c r="F131" s="2">
        <f t="shared" ref="F131:G131" si="847">EXP(-(($A131*$F$31*G$31)^$E$31))</f>
        <v>3.6461568873027739E-4</v>
      </c>
      <c r="G131" s="2">
        <f t="shared" si="847"/>
        <v>3.6461568873027739E-4</v>
      </c>
      <c r="I131" s="8" t="e">
        <f t="shared" si="595"/>
        <v>#DIV/0!</v>
      </c>
      <c r="J131" s="2" t="e">
        <f t="shared" ref="J131:K131" si="848">EXP(-(($J$31*K$31)/$I$31)*(EXP($I$31*$A131)-1))</f>
        <v>#DIV/0!</v>
      </c>
      <c r="K131" s="2" t="e">
        <f t="shared" si="848"/>
        <v>#DIV/0!</v>
      </c>
      <c r="M131" s="8">
        <f t="shared" si="597"/>
        <v>1.9274439636141727E-2</v>
      </c>
      <c r="N131" s="2">
        <f t="shared" ref="N131:O131" si="849">1-_xlfn.NORM.S.DIST((LN($A131)-$M$31-O$31)/$N$31,TRUE)</f>
        <v>1.9274439636141727E-2</v>
      </c>
      <c r="O131" s="2">
        <f t="shared" si="849"/>
        <v>1.9274439636141727E-2</v>
      </c>
      <c r="Q131" s="8">
        <f t="shared" si="599"/>
        <v>0.1121495327102805</v>
      </c>
      <c r="R131" s="2">
        <f t="shared" ref="R131:S131" si="850">1-(1/(1+($A131/($R$31*S$31))^(-$Q$31)))</f>
        <v>0.1121495327102805</v>
      </c>
      <c r="S131" s="2">
        <f t="shared" si="850"/>
        <v>0.1121495327102805</v>
      </c>
      <c r="U131" s="8">
        <f t="shared" si="601"/>
        <v>3.6461568873025207E-4</v>
      </c>
      <c r="V131" s="2">
        <f t="shared" ref="V131" si="851">1-(_xlfn.GAMMA.DIST($V$31*W$31*$A131,$U$31,1,TRUE)*EXP(GAMMALN($U$31)))/EXP(GAMMALN($U$31))</f>
        <v>3.6461568873025207E-4</v>
      </c>
      <c r="W131" s="2">
        <f t="shared" si="738"/>
        <v>3.6461568873025207E-4</v>
      </c>
      <c r="Y131" s="8">
        <f t="shared" si="603"/>
        <v>1.9274439636141727E-2</v>
      </c>
      <c r="Z131" s="2">
        <f t="shared" si="653"/>
        <v>1.9274439636141727E-2</v>
      </c>
      <c r="AA131" s="2">
        <f t="shared" si="654"/>
        <v>1.9274439636141727E-2</v>
      </c>
      <c r="AD131" s="8" t="e">
        <f t="shared" si="583"/>
        <v>#DIV/0!</v>
      </c>
      <c r="AE131" s="2" t="e">
        <f t="shared" si="604"/>
        <v>#DIV/0!</v>
      </c>
      <c r="AF131" s="2" t="e">
        <f t="shared" ref="AF131:AG131" si="852">EXP(-EXP($AD131+AG$31))</f>
        <v>#DIV/0!</v>
      </c>
      <c r="AG131" s="2" t="e">
        <f t="shared" si="852"/>
        <v>#DIV/0!</v>
      </c>
      <c r="AI131" s="8" t="e">
        <f t="shared" si="585"/>
        <v>#DIV/0!</v>
      </c>
      <c r="AJ131" s="2" t="e">
        <f t="shared" si="606"/>
        <v>#DIV/0!</v>
      </c>
      <c r="AK131" s="2" t="e">
        <f t="shared" ref="AK131:AL131" si="853">1-(EXP($AI131+AL$31)/(1 + EXP($AI131+AL$31)))</f>
        <v>#DIV/0!</v>
      </c>
      <c r="AL131" s="2" t="e">
        <f t="shared" si="853"/>
        <v>#DIV/0!</v>
      </c>
      <c r="AN131" s="8" t="e">
        <f t="shared" si="587"/>
        <v>#DIV/0!</v>
      </c>
      <c r="AO131" s="2" t="e">
        <f t="shared" si="608"/>
        <v>#DIV/0!</v>
      </c>
      <c r="AP131" s="2" t="e">
        <f t="shared" ref="AP131:AQ131" si="854">1-NORMSDIST($AN131+AQ$31)</f>
        <v>#DIV/0!</v>
      </c>
      <c r="AQ131" s="2" t="e">
        <f t="shared" si="854"/>
        <v>#DIV/0!</v>
      </c>
      <c r="AS131" s="8" t="e">
        <f t="shared" si="589"/>
        <v>#DIV/0!</v>
      </c>
      <c r="AT131" s="2" t="e">
        <f t="shared" si="610"/>
        <v>#DIV/0!</v>
      </c>
      <c r="AU131" s="2" t="e">
        <f t="shared" si="658"/>
        <v>#DIV/0!</v>
      </c>
      <c r="AV131" s="2" t="e">
        <f t="shared" si="659"/>
        <v>#DIV/0!</v>
      </c>
      <c r="AY131" s="8" t="e">
        <f t="shared" si="590"/>
        <v>#DIV/0!</v>
      </c>
      <c r="AZ131" s="2" t="e">
        <f t="shared" si="611"/>
        <v>#DIV/0!</v>
      </c>
      <c r="BA131" s="2" t="e">
        <f t="shared" si="660"/>
        <v>#DIV/0!</v>
      </c>
      <c r="BB131" s="2" t="e">
        <f t="shared" si="661"/>
        <v>#DIV/0!</v>
      </c>
      <c r="BE131" s="8" t="e">
        <f t="shared" si="591"/>
        <v>#DIV/0!</v>
      </c>
      <c r="BF131" s="2" t="e">
        <f t="shared" si="612"/>
        <v>#DIV/0!</v>
      </c>
      <c r="BG131" s="2" t="e">
        <f t="shared" si="613"/>
        <v>#DIV/0!</v>
      </c>
      <c r="BH131" s="2" t="e">
        <f t="shared" si="614"/>
        <v>#DIV/0!</v>
      </c>
    </row>
    <row r="132" spans="1:60" x14ac:dyDescent="0.2">
      <c r="A132" s="2">
        <f t="shared" si="647"/>
        <v>7.9999999999999885</v>
      </c>
      <c r="B132" s="2">
        <f t="shared" si="592"/>
        <v>3.354626279025157E-4</v>
      </c>
      <c r="C132" s="2">
        <f t="shared" si="742"/>
        <v>3.354626279025157E-4</v>
      </c>
      <c r="D132" s="2">
        <f t="shared" si="742"/>
        <v>3.354626279025157E-4</v>
      </c>
      <c r="E132" s="8">
        <f t="shared" si="593"/>
        <v>3.354626279025157E-4</v>
      </c>
      <c r="F132" s="2">
        <f t="shared" ref="F132:G132" si="855">EXP(-(($A132*$F$31*G$31)^$E$31))</f>
        <v>3.354626279025157E-4</v>
      </c>
      <c r="G132" s="2">
        <f t="shared" si="855"/>
        <v>3.354626279025157E-4</v>
      </c>
      <c r="I132" s="8" t="e">
        <f t="shared" si="595"/>
        <v>#DIV/0!</v>
      </c>
      <c r="J132" s="2" t="e">
        <f t="shared" ref="J132:K132" si="856">EXP(-(($J$31*K$31)/$I$31)*(EXP($I$31*$A132)-1))</f>
        <v>#DIV/0!</v>
      </c>
      <c r="K132" s="2" t="e">
        <f t="shared" si="856"/>
        <v>#DIV/0!</v>
      </c>
      <c r="M132" s="8">
        <f t="shared" si="597"/>
        <v>1.8788392814055199E-2</v>
      </c>
      <c r="N132" s="2">
        <f t="shared" ref="N132:O132" si="857">1-_xlfn.NORM.S.DIST((LN($A132)-$M$31-O$31)/$N$31,TRUE)</f>
        <v>1.8788392814055199E-2</v>
      </c>
      <c r="O132" s="2">
        <f t="shared" si="857"/>
        <v>1.8788392814055199E-2</v>
      </c>
      <c r="Q132" s="8">
        <f t="shared" si="599"/>
        <v>0.11111111111111127</v>
      </c>
      <c r="R132" s="2">
        <f t="shared" ref="R132:S132" si="858">1-(1/(1+($A132/($R$31*S$31))^(-$Q$31)))</f>
        <v>0.11111111111111127</v>
      </c>
      <c r="S132" s="2">
        <f t="shared" si="858"/>
        <v>0.11111111111111127</v>
      </c>
      <c r="U132" s="8">
        <f t="shared" si="601"/>
        <v>3.3546262790251635E-4</v>
      </c>
      <c r="V132" s="2">
        <f t="shared" ref="V132" si="859">1-(_xlfn.GAMMA.DIST($V$31*W$31*$A132,$U$31,1,TRUE)*EXP(GAMMALN($U$31)))/EXP(GAMMALN($U$31))</f>
        <v>3.3546262790251635E-4</v>
      </c>
      <c r="W132" s="2">
        <f t="shared" si="738"/>
        <v>3.3546262790251635E-4</v>
      </c>
      <c r="Y132" s="8">
        <f t="shared" si="603"/>
        <v>1.8788392814055199E-2</v>
      </c>
      <c r="Z132" s="2">
        <f t="shared" si="653"/>
        <v>1.8788392814055199E-2</v>
      </c>
      <c r="AA132" s="2">
        <f t="shared" si="654"/>
        <v>1.8788392814055199E-2</v>
      </c>
      <c r="AD132" s="8" t="e">
        <f t="shared" si="583"/>
        <v>#DIV/0!</v>
      </c>
      <c r="AE132" s="2" t="e">
        <f t="shared" si="604"/>
        <v>#DIV/0!</v>
      </c>
      <c r="AF132" s="2" t="e">
        <f t="shared" ref="AF132:AG132" si="860">EXP(-EXP($AD132+AG$31))</f>
        <v>#DIV/0!</v>
      </c>
      <c r="AG132" s="2" t="e">
        <f t="shared" si="860"/>
        <v>#DIV/0!</v>
      </c>
      <c r="AI132" s="8" t="e">
        <f t="shared" si="585"/>
        <v>#DIV/0!</v>
      </c>
      <c r="AJ132" s="2" t="e">
        <f t="shared" si="606"/>
        <v>#DIV/0!</v>
      </c>
      <c r="AK132" s="2" t="e">
        <f t="shared" ref="AK132:AL132" si="861">1-(EXP($AI132+AL$31)/(1 + EXP($AI132+AL$31)))</f>
        <v>#DIV/0!</v>
      </c>
      <c r="AL132" s="2" t="e">
        <f t="shared" si="861"/>
        <v>#DIV/0!</v>
      </c>
      <c r="AN132" s="8" t="e">
        <f t="shared" si="587"/>
        <v>#DIV/0!</v>
      </c>
      <c r="AO132" s="2" t="e">
        <f t="shared" si="608"/>
        <v>#DIV/0!</v>
      </c>
      <c r="AP132" s="2" t="e">
        <f t="shared" ref="AP132:AQ132" si="862">1-NORMSDIST($AN132+AQ$31)</f>
        <v>#DIV/0!</v>
      </c>
      <c r="AQ132" s="2" t="e">
        <f t="shared" si="862"/>
        <v>#DIV/0!</v>
      </c>
      <c r="AS132" s="8" t="e">
        <f t="shared" si="589"/>
        <v>#DIV/0!</v>
      </c>
      <c r="AT132" s="2" t="e">
        <f t="shared" si="610"/>
        <v>#DIV/0!</v>
      </c>
      <c r="AU132" s="2" t="e">
        <f t="shared" si="658"/>
        <v>#DIV/0!</v>
      </c>
      <c r="AV132" s="2" t="e">
        <f t="shared" si="659"/>
        <v>#DIV/0!</v>
      </c>
      <c r="AY132" s="8" t="e">
        <f t="shared" si="590"/>
        <v>#DIV/0!</v>
      </c>
      <c r="AZ132" s="2" t="e">
        <f t="shared" si="611"/>
        <v>#DIV/0!</v>
      </c>
      <c r="BA132" s="2" t="e">
        <f t="shared" si="660"/>
        <v>#DIV/0!</v>
      </c>
      <c r="BB132" s="2" t="e">
        <f t="shared" si="661"/>
        <v>#DIV/0!</v>
      </c>
      <c r="BE132" s="8" t="e">
        <f t="shared" si="591"/>
        <v>#DIV/0!</v>
      </c>
      <c r="BF132" s="2" t="e">
        <f t="shared" si="612"/>
        <v>#DIV/0!</v>
      </c>
      <c r="BG132" s="2" t="e">
        <f t="shared" si="613"/>
        <v>#DIV/0!</v>
      </c>
      <c r="BH132" s="2" t="e">
        <f t="shared" si="614"/>
        <v>#DIV/0!</v>
      </c>
    </row>
    <row r="133" spans="1:60" x14ac:dyDescent="0.2">
      <c r="A133" s="2">
        <f t="shared" si="647"/>
        <v>8.0833333333333215</v>
      </c>
      <c r="B133" s="2">
        <f t="shared" si="592"/>
        <v>3.0864051711858466E-4</v>
      </c>
      <c r="C133" s="2">
        <f t="shared" si="742"/>
        <v>3.0864051711858466E-4</v>
      </c>
      <c r="D133" s="2">
        <f t="shared" si="742"/>
        <v>3.0864051711858466E-4</v>
      </c>
      <c r="E133" s="8">
        <f t="shared" si="593"/>
        <v>3.0864051711858466E-4</v>
      </c>
      <c r="F133" s="2">
        <f t="shared" ref="F133:G133" si="863">EXP(-(($A133*$F$31*G$31)^$E$31))</f>
        <v>3.0864051711858466E-4</v>
      </c>
      <c r="G133" s="2">
        <f t="shared" si="863"/>
        <v>3.0864051711858466E-4</v>
      </c>
      <c r="I133" s="8" t="e">
        <f t="shared" si="595"/>
        <v>#DIV/0!</v>
      </c>
      <c r="J133" s="2" t="e">
        <f t="shared" ref="J133:K133" si="864">EXP(-(($J$31*K$31)/$I$31)*(EXP($I$31*$A133)-1))</f>
        <v>#DIV/0!</v>
      </c>
      <c r="K133" s="2" t="e">
        <f t="shared" si="864"/>
        <v>#DIV/0!</v>
      </c>
      <c r="M133" s="8">
        <f t="shared" si="597"/>
        <v>1.8317690180096213E-2</v>
      </c>
      <c r="N133" s="2">
        <f t="shared" ref="N133:O133" si="865">1-_xlfn.NORM.S.DIST((LN($A133)-$M$31-O$31)/$N$31,TRUE)</f>
        <v>1.8317690180096213E-2</v>
      </c>
      <c r="O133" s="2">
        <f t="shared" si="865"/>
        <v>1.8317690180096213E-2</v>
      </c>
      <c r="Q133" s="8">
        <f t="shared" si="599"/>
        <v>0.11009174311926628</v>
      </c>
      <c r="R133" s="2">
        <f t="shared" ref="R133:S133" si="866">1-(1/(1+($A133/($R$31*S$31))^(-$Q$31)))</f>
        <v>0.11009174311926628</v>
      </c>
      <c r="S133" s="2">
        <f t="shared" si="866"/>
        <v>0.11009174311926628</v>
      </c>
      <c r="U133" s="8">
        <f t="shared" si="601"/>
        <v>3.0864051711854135E-4</v>
      </c>
      <c r="V133" s="2">
        <f t="shared" ref="V133:W148" si="867">1-(_xlfn.GAMMA.DIST($V$31*W$31*$A133,$U$31,1,TRUE)*EXP(GAMMALN($U$31)))/EXP(GAMMALN($U$31))</f>
        <v>3.0864051711854135E-4</v>
      </c>
      <c r="W133" s="2">
        <f t="shared" si="867"/>
        <v>3.0864051711854135E-4</v>
      </c>
      <c r="Y133" s="8">
        <f t="shared" si="603"/>
        <v>1.8317690180096213E-2</v>
      </c>
      <c r="Z133" s="2">
        <f t="shared" si="653"/>
        <v>1.8317690180096213E-2</v>
      </c>
      <c r="AA133" s="2">
        <f t="shared" si="654"/>
        <v>1.8317690180096213E-2</v>
      </c>
      <c r="AD133" s="8" t="e">
        <f t="shared" ref="AD133:AD156" si="868">AD$31+
AE$31*LN($A133)+
AF$31*(MAX(LN($A133)-AE$9,0)^3-AF$33*MAX(LN($A133)-AD$9,0)^3-(1-AF$33)*MAX(LN($A133)-AF$9,0)^3)</f>
        <v>#DIV/0!</v>
      </c>
      <c r="AE133" s="2" t="e">
        <f t="shared" si="604"/>
        <v>#DIV/0!</v>
      </c>
      <c r="AF133" s="2" t="e">
        <f t="shared" ref="AF133:AG133" si="869">EXP(-EXP($AD133+AG$31))</f>
        <v>#DIV/0!</v>
      </c>
      <c r="AG133" s="2" t="e">
        <f t="shared" si="869"/>
        <v>#DIV/0!</v>
      </c>
      <c r="AI133" s="8" t="e">
        <f t="shared" ref="AI133:AI156" si="870">AI$31+
AJ$31*LN($A133)+
AK$31*(MAX(LN($A133)-AJ$9,0)^3-AK$33*MAX(LN($A133)-AI$9,0)^3-(1-AK$33)*MAX(LN($A133)-AK$9,0)^3)</f>
        <v>#DIV/0!</v>
      </c>
      <c r="AJ133" s="2" t="e">
        <f t="shared" si="606"/>
        <v>#DIV/0!</v>
      </c>
      <c r="AK133" s="2" t="e">
        <f t="shared" ref="AK133:AL133" si="871">1-(EXP($AI133+AL$31)/(1 + EXP($AI133+AL$31)))</f>
        <v>#DIV/0!</v>
      </c>
      <c r="AL133" s="2" t="e">
        <f t="shared" si="871"/>
        <v>#DIV/0!</v>
      </c>
      <c r="AN133" s="8" t="e">
        <f t="shared" ref="AN133:AN156" si="872">AN$31+
AO$31*LN($A133)+
AP$31*(MAX(LN($A133)-AO$9,0)^3-AP$33*MAX(LN($A133)-AN$9,0)^3-(1-AP$33)*MAX(LN($A133)-AP$9,0)^3)</f>
        <v>#DIV/0!</v>
      </c>
      <c r="AO133" s="2" t="e">
        <f t="shared" si="608"/>
        <v>#DIV/0!</v>
      </c>
      <c r="AP133" s="2" t="e">
        <f t="shared" ref="AP133:AQ133" si="873">1-NORMSDIST($AN133+AQ$31)</f>
        <v>#DIV/0!</v>
      </c>
      <c r="AQ133" s="2" t="e">
        <f t="shared" si="873"/>
        <v>#DIV/0!</v>
      </c>
      <c r="AS133" s="8" t="e">
        <f t="shared" ref="AS133:AS156" si="874">AS$31+
AT$31*LN($A133)+
AU$31*(MAX(LN($A133)-AT$9,0)^3-AU$33*MAX(LN($A133)-AS$9,0)^3-(1-AU$33)*MAX(LN($A133)-AV$9,0)^3)+
AV$31*(MAX(LN($A133)-AU$9,0)^3-AV$33*MAX(LN($A133)-AS$9,0)^3-(1-AV$33)*MAX(LN($A133)-AV$9,0)^3)</f>
        <v>#DIV/0!</v>
      </c>
      <c r="AT133" s="2" t="e">
        <f t="shared" si="610"/>
        <v>#DIV/0!</v>
      </c>
      <c r="AU133" s="2" t="e">
        <f t="shared" si="658"/>
        <v>#DIV/0!</v>
      </c>
      <c r="AV133" s="2" t="e">
        <f t="shared" si="659"/>
        <v>#DIV/0!</v>
      </c>
      <c r="AY133" s="8" t="e">
        <f t="shared" ref="AY133:AY156" si="875">AY$31+
AZ$31*LN($A133)+
BA$31*(MAX(LN($A133)-AZ$9,0)^3-BA$33*MAX(LN($A133)-AY$9,0)^3-(1-BA$33)*MAX(LN($A133)-BB$9,0)^3)+
BB$31*(MAX(LN($A133)-BA$9,0)^3-BB$33*MAX(LN($A133)-AY$9,0)^3-(1-BB$33)*MAX(LN($A133)-BB$9,0)^3)</f>
        <v>#DIV/0!</v>
      </c>
      <c r="AZ133" s="2" t="e">
        <f t="shared" si="611"/>
        <v>#DIV/0!</v>
      </c>
      <c r="BA133" s="2" t="e">
        <f t="shared" si="660"/>
        <v>#DIV/0!</v>
      </c>
      <c r="BB133" s="2" t="e">
        <f t="shared" si="661"/>
        <v>#DIV/0!</v>
      </c>
      <c r="BE133" s="8" t="e">
        <f t="shared" ref="BE133:BE156" si="876">BE$31+
BF$31*LN($A133)+
BG$31*(MAX(LN($A133)-BF$9,0)^3-BG$33*MAX(LN($A133)-BE$9,0)^3-(1-BG$33)*MAX(LN($A133)-BH$9,0)^3)+
BH$31*(MAX(LN($A133)-BG$9,0)^3-BH$33*MAX(LN($A133)-BE$9,0)^3-(1-BH$33)*MAX(LN($A133)-BH$9,0)^3)</f>
        <v>#DIV/0!</v>
      </c>
      <c r="BF133" s="2" t="e">
        <f t="shared" si="612"/>
        <v>#DIV/0!</v>
      </c>
      <c r="BG133" s="2" t="e">
        <f t="shared" si="613"/>
        <v>#DIV/0!</v>
      </c>
      <c r="BH133" s="2" t="e">
        <f t="shared" si="614"/>
        <v>#DIV/0!</v>
      </c>
    </row>
    <row r="134" spans="1:60" x14ac:dyDescent="0.2">
      <c r="A134" s="2">
        <f t="shared" si="647"/>
        <v>8.1666666666666554</v>
      </c>
      <c r="B134" s="2">
        <f t="shared" si="592"/>
        <v>2.8396298390325966E-4</v>
      </c>
      <c r="C134" s="2">
        <f t="shared" ref="C134:D156" si="877">EXP(-$A134*$B$31*C$31)</f>
        <v>2.8396298390325966E-4</v>
      </c>
      <c r="D134" s="2">
        <f t="shared" si="877"/>
        <v>2.8396298390325966E-4</v>
      </c>
      <c r="E134" s="8">
        <f t="shared" si="593"/>
        <v>2.8396298390325966E-4</v>
      </c>
      <c r="F134" s="2">
        <f t="shared" ref="F134:G134" si="878">EXP(-(($A134*$F$31*G$31)^$E$31))</f>
        <v>2.8396298390325966E-4</v>
      </c>
      <c r="G134" s="2">
        <f t="shared" si="878"/>
        <v>2.8396298390325966E-4</v>
      </c>
      <c r="I134" s="8" t="e">
        <f t="shared" si="595"/>
        <v>#DIV/0!</v>
      </c>
      <c r="J134" s="2" t="e">
        <f t="shared" ref="J134:K134" si="879">EXP(-(($J$31*K$31)/$I$31)*(EXP($I$31*$A134)-1))</f>
        <v>#DIV/0!</v>
      </c>
      <c r="K134" s="2" t="e">
        <f t="shared" si="879"/>
        <v>#DIV/0!</v>
      </c>
      <c r="M134" s="8">
        <f t="shared" si="597"/>
        <v>1.7861745260699391E-2</v>
      </c>
      <c r="N134" s="2">
        <f t="shared" ref="N134:O134" si="880">1-_xlfn.NORM.S.DIST((LN($A134)-$M$31-O$31)/$N$31,TRUE)</f>
        <v>1.7861745260699391E-2</v>
      </c>
      <c r="O134" s="2">
        <f t="shared" si="880"/>
        <v>1.7861745260699391E-2</v>
      </c>
      <c r="Q134" s="8">
        <f t="shared" si="599"/>
        <v>0.10909090909090924</v>
      </c>
      <c r="R134" s="2">
        <f t="shared" ref="R134:S134" si="881">1-(1/(1+($A134/($R$31*S$31))^(-$Q$31)))</f>
        <v>0.10909090909090924</v>
      </c>
      <c r="S134" s="2">
        <f t="shared" si="881"/>
        <v>0.10909090909090924</v>
      </c>
      <c r="U134" s="8">
        <f t="shared" si="601"/>
        <v>2.8396298390320762E-4</v>
      </c>
      <c r="V134" s="2">
        <f t="shared" ref="V134" si="882">1-(_xlfn.GAMMA.DIST($V$31*W$31*$A134,$U$31,1,TRUE)*EXP(GAMMALN($U$31)))/EXP(GAMMALN($U$31))</f>
        <v>2.8396298390320762E-4</v>
      </c>
      <c r="W134" s="2">
        <f t="shared" si="867"/>
        <v>2.8396298390320762E-4</v>
      </c>
      <c r="Y134" s="8">
        <f t="shared" si="603"/>
        <v>1.7861745260699391E-2</v>
      </c>
      <c r="Z134" s="2">
        <f t="shared" si="653"/>
        <v>1.7861745260699391E-2</v>
      </c>
      <c r="AA134" s="2">
        <f t="shared" si="654"/>
        <v>1.7861745260699391E-2</v>
      </c>
      <c r="AD134" s="8" t="e">
        <f t="shared" si="868"/>
        <v>#DIV/0!</v>
      </c>
      <c r="AE134" s="2" t="e">
        <f t="shared" si="604"/>
        <v>#DIV/0!</v>
      </c>
      <c r="AF134" s="2" t="e">
        <f t="shared" ref="AF134:AG134" si="883">EXP(-EXP($AD134+AG$31))</f>
        <v>#DIV/0!</v>
      </c>
      <c r="AG134" s="2" t="e">
        <f t="shared" si="883"/>
        <v>#DIV/0!</v>
      </c>
      <c r="AI134" s="8" t="e">
        <f t="shared" si="870"/>
        <v>#DIV/0!</v>
      </c>
      <c r="AJ134" s="2" t="e">
        <f t="shared" si="606"/>
        <v>#DIV/0!</v>
      </c>
      <c r="AK134" s="2" t="e">
        <f t="shared" ref="AK134:AL134" si="884">1-(EXP($AI134+AL$31)/(1 + EXP($AI134+AL$31)))</f>
        <v>#DIV/0!</v>
      </c>
      <c r="AL134" s="2" t="e">
        <f t="shared" si="884"/>
        <v>#DIV/0!</v>
      </c>
      <c r="AN134" s="8" t="e">
        <f t="shared" si="872"/>
        <v>#DIV/0!</v>
      </c>
      <c r="AO134" s="2" t="e">
        <f t="shared" si="608"/>
        <v>#DIV/0!</v>
      </c>
      <c r="AP134" s="2" t="e">
        <f t="shared" ref="AP134:AQ134" si="885">1-NORMSDIST($AN134+AQ$31)</f>
        <v>#DIV/0!</v>
      </c>
      <c r="AQ134" s="2" t="e">
        <f t="shared" si="885"/>
        <v>#DIV/0!</v>
      </c>
      <c r="AS134" s="8" t="e">
        <f t="shared" si="874"/>
        <v>#DIV/0!</v>
      </c>
      <c r="AT134" s="2" t="e">
        <f t="shared" si="610"/>
        <v>#DIV/0!</v>
      </c>
      <c r="AU134" s="2" t="e">
        <f t="shared" si="658"/>
        <v>#DIV/0!</v>
      </c>
      <c r="AV134" s="2" t="e">
        <f t="shared" si="659"/>
        <v>#DIV/0!</v>
      </c>
      <c r="AY134" s="8" t="e">
        <f t="shared" si="875"/>
        <v>#DIV/0!</v>
      </c>
      <c r="AZ134" s="2" t="e">
        <f t="shared" si="611"/>
        <v>#DIV/0!</v>
      </c>
      <c r="BA134" s="2" t="e">
        <f t="shared" si="660"/>
        <v>#DIV/0!</v>
      </c>
      <c r="BB134" s="2" t="e">
        <f t="shared" si="661"/>
        <v>#DIV/0!</v>
      </c>
      <c r="BE134" s="8" t="e">
        <f t="shared" si="876"/>
        <v>#DIV/0!</v>
      </c>
      <c r="BF134" s="2" t="e">
        <f t="shared" si="612"/>
        <v>#DIV/0!</v>
      </c>
      <c r="BG134" s="2" t="e">
        <f t="shared" si="613"/>
        <v>#DIV/0!</v>
      </c>
      <c r="BH134" s="2" t="e">
        <f t="shared" si="614"/>
        <v>#DIV/0!</v>
      </c>
    </row>
    <row r="135" spans="1:60" x14ac:dyDescent="0.2">
      <c r="A135" s="2">
        <f t="shared" si="647"/>
        <v>8.2499999999999893</v>
      </c>
      <c r="B135" s="2">
        <f t="shared" si="592"/>
        <v>2.612585573016703E-4</v>
      </c>
      <c r="C135" s="2">
        <f t="shared" si="877"/>
        <v>2.612585573016703E-4</v>
      </c>
      <c r="D135" s="2">
        <f t="shared" si="877"/>
        <v>2.612585573016703E-4</v>
      </c>
      <c r="E135" s="8">
        <f t="shared" si="593"/>
        <v>2.612585573016703E-4</v>
      </c>
      <c r="F135" s="2">
        <f t="shared" ref="F135:G135" si="886">EXP(-(($A135*$F$31*G$31)^$E$31))</f>
        <v>2.612585573016703E-4</v>
      </c>
      <c r="G135" s="2">
        <f t="shared" si="886"/>
        <v>2.612585573016703E-4</v>
      </c>
      <c r="I135" s="8" t="e">
        <f t="shared" si="595"/>
        <v>#DIV/0!</v>
      </c>
      <c r="J135" s="2" t="e">
        <f t="shared" ref="J135:K135" si="887">EXP(-(($J$31*K$31)/$I$31)*(EXP($I$31*$A135)-1))</f>
        <v>#DIV/0!</v>
      </c>
      <c r="K135" s="2" t="e">
        <f t="shared" si="887"/>
        <v>#DIV/0!</v>
      </c>
      <c r="M135" s="8">
        <f t="shared" si="597"/>
        <v>1.7419998014267635E-2</v>
      </c>
      <c r="N135" s="2">
        <f t="shared" ref="N135:O135" si="888">1-_xlfn.NORM.S.DIST((LN($A135)-$M$31-O$31)/$N$31,TRUE)</f>
        <v>1.7419998014267635E-2</v>
      </c>
      <c r="O135" s="2">
        <f t="shared" si="888"/>
        <v>1.7419998014267635E-2</v>
      </c>
      <c r="Q135" s="8">
        <f t="shared" si="599"/>
        <v>0.10810810810810823</v>
      </c>
      <c r="R135" s="2">
        <f t="shared" ref="R135:S135" si="889">1-(1/(1+($A135/($R$31*S$31))^(-$Q$31)))</f>
        <v>0.10810810810810823</v>
      </c>
      <c r="S135" s="2">
        <f t="shared" si="889"/>
        <v>0.10810810810810823</v>
      </c>
      <c r="U135" s="8">
        <f t="shared" si="601"/>
        <v>2.6125855730163572E-4</v>
      </c>
      <c r="V135" s="2">
        <f t="shared" ref="V135" si="890">1-(_xlfn.GAMMA.DIST($V$31*W$31*$A135,$U$31,1,TRUE)*EXP(GAMMALN($U$31)))/EXP(GAMMALN($U$31))</f>
        <v>2.6125855730163572E-4</v>
      </c>
      <c r="W135" s="2">
        <f t="shared" si="867"/>
        <v>2.6125855730163572E-4</v>
      </c>
      <c r="Y135" s="8">
        <f t="shared" si="603"/>
        <v>1.7419998014267635E-2</v>
      </c>
      <c r="Z135" s="2">
        <f t="shared" si="653"/>
        <v>1.7419998014267635E-2</v>
      </c>
      <c r="AA135" s="2">
        <f t="shared" si="654"/>
        <v>1.7419998014267635E-2</v>
      </c>
      <c r="AD135" s="8" t="e">
        <f t="shared" si="868"/>
        <v>#DIV/0!</v>
      </c>
      <c r="AE135" s="2" t="e">
        <f t="shared" si="604"/>
        <v>#DIV/0!</v>
      </c>
      <c r="AF135" s="2" t="e">
        <f t="shared" ref="AF135:AG135" si="891">EXP(-EXP($AD135+AG$31))</f>
        <v>#DIV/0!</v>
      </c>
      <c r="AG135" s="2" t="e">
        <f t="shared" si="891"/>
        <v>#DIV/0!</v>
      </c>
      <c r="AI135" s="8" t="e">
        <f t="shared" si="870"/>
        <v>#DIV/0!</v>
      </c>
      <c r="AJ135" s="2" t="e">
        <f t="shared" si="606"/>
        <v>#DIV/0!</v>
      </c>
      <c r="AK135" s="2" t="e">
        <f t="shared" ref="AK135:AL135" si="892">1-(EXP($AI135+AL$31)/(1 + EXP($AI135+AL$31)))</f>
        <v>#DIV/0!</v>
      </c>
      <c r="AL135" s="2" t="e">
        <f t="shared" si="892"/>
        <v>#DIV/0!</v>
      </c>
      <c r="AN135" s="8" t="e">
        <f t="shared" si="872"/>
        <v>#DIV/0!</v>
      </c>
      <c r="AO135" s="2" t="e">
        <f t="shared" si="608"/>
        <v>#DIV/0!</v>
      </c>
      <c r="AP135" s="2" t="e">
        <f t="shared" ref="AP135:AQ135" si="893">1-NORMSDIST($AN135+AQ$31)</f>
        <v>#DIV/0!</v>
      </c>
      <c r="AQ135" s="2" t="e">
        <f t="shared" si="893"/>
        <v>#DIV/0!</v>
      </c>
      <c r="AS135" s="8" t="e">
        <f t="shared" si="874"/>
        <v>#DIV/0!</v>
      </c>
      <c r="AT135" s="2" t="e">
        <f t="shared" si="610"/>
        <v>#DIV/0!</v>
      </c>
      <c r="AU135" s="2" t="e">
        <f t="shared" si="658"/>
        <v>#DIV/0!</v>
      </c>
      <c r="AV135" s="2" t="e">
        <f t="shared" si="659"/>
        <v>#DIV/0!</v>
      </c>
      <c r="AY135" s="8" t="e">
        <f t="shared" si="875"/>
        <v>#DIV/0!</v>
      </c>
      <c r="AZ135" s="2" t="e">
        <f t="shared" si="611"/>
        <v>#DIV/0!</v>
      </c>
      <c r="BA135" s="2" t="e">
        <f t="shared" si="660"/>
        <v>#DIV/0!</v>
      </c>
      <c r="BB135" s="2" t="e">
        <f t="shared" si="661"/>
        <v>#DIV/0!</v>
      </c>
      <c r="BE135" s="8" t="e">
        <f t="shared" si="876"/>
        <v>#DIV/0!</v>
      </c>
      <c r="BF135" s="2" t="e">
        <f t="shared" si="612"/>
        <v>#DIV/0!</v>
      </c>
      <c r="BG135" s="2" t="e">
        <f t="shared" si="613"/>
        <v>#DIV/0!</v>
      </c>
      <c r="BH135" s="2" t="e">
        <f t="shared" si="614"/>
        <v>#DIV/0!</v>
      </c>
    </row>
    <row r="136" spans="1:60" x14ac:dyDescent="0.2">
      <c r="A136" s="2">
        <f t="shared" si="647"/>
        <v>8.3333333333333233</v>
      </c>
      <c r="B136" s="2">
        <f t="shared" si="592"/>
        <v>2.4036947641951662E-4</v>
      </c>
      <c r="C136" s="2">
        <f t="shared" si="877"/>
        <v>2.4036947641951662E-4</v>
      </c>
      <c r="D136" s="2">
        <f t="shared" si="877"/>
        <v>2.4036947641951662E-4</v>
      </c>
      <c r="E136" s="8">
        <f t="shared" si="593"/>
        <v>2.4036947641951662E-4</v>
      </c>
      <c r="F136" s="2">
        <f t="shared" ref="F136:G136" si="894">EXP(-(($A136*$F$31*G$31)^$E$31))</f>
        <v>2.4036947641951662E-4</v>
      </c>
      <c r="G136" s="2">
        <f t="shared" si="894"/>
        <v>2.4036947641951662E-4</v>
      </c>
      <c r="I136" s="8" t="e">
        <f t="shared" si="595"/>
        <v>#DIV/0!</v>
      </c>
      <c r="J136" s="2" t="e">
        <f t="shared" ref="J136:K136" si="895">EXP(-(($J$31*K$31)/$I$31)*(EXP($I$31*$A136)-1))</f>
        <v>#DIV/0!</v>
      </c>
      <c r="K136" s="2" t="e">
        <f t="shared" si="895"/>
        <v>#DIV/0!</v>
      </c>
      <c r="M136" s="8">
        <f t="shared" si="597"/>
        <v>1.6991913455783769E-2</v>
      </c>
      <c r="N136" s="2">
        <f t="shared" ref="N136:O136" si="896">1-_xlfn.NORM.S.DIST((LN($A136)-$M$31-O$31)/$N$31,TRUE)</f>
        <v>1.6991913455783769E-2</v>
      </c>
      <c r="O136" s="2">
        <f t="shared" si="896"/>
        <v>1.6991913455783769E-2</v>
      </c>
      <c r="Q136" s="8">
        <f t="shared" si="599"/>
        <v>0.10714285714285721</v>
      </c>
      <c r="R136" s="2">
        <f t="shared" ref="R136:S136" si="897">1-(1/(1+($A136/($R$31*S$31))^(-$Q$31)))</f>
        <v>0.10714285714285721</v>
      </c>
      <c r="S136" s="2">
        <f t="shared" si="897"/>
        <v>0.10714285714285721</v>
      </c>
      <c r="U136" s="8">
        <f t="shared" si="601"/>
        <v>2.4036947641947748E-4</v>
      </c>
      <c r="V136" s="2">
        <f t="shared" ref="V136" si="898">1-(_xlfn.GAMMA.DIST($V$31*W$31*$A136,$U$31,1,TRUE)*EXP(GAMMALN($U$31)))/EXP(GAMMALN($U$31))</f>
        <v>2.4036947641947748E-4</v>
      </c>
      <c r="W136" s="2">
        <f t="shared" si="867"/>
        <v>2.4036947641947748E-4</v>
      </c>
      <c r="Y136" s="8">
        <f t="shared" si="603"/>
        <v>1.6991913455783769E-2</v>
      </c>
      <c r="Z136" s="2">
        <f t="shared" si="653"/>
        <v>1.6991913455783769E-2</v>
      </c>
      <c r="AA136" s="2">
        <f t="shared" si="654"/>
        <v>1.6991913455783769E-2</v>
      </c>
      <c r="AD136" s="8" t="e">
        <f t="shared" si="868"/>
        <v>#DIV/0!</v>
      </c>
      <c r="AE136" s="2" t="e">
        <f t="shared" si="604"/>
        <v>#DIV/0!</v>
      </c>
      <c r="AF136" s="2" t="e">
        <f t="shared" ref="AF136:AG136" si="899">EXP(-EXP($AD136+AG$31))</f>
        <v>#DIV/0!</v>
      </c>
      <c r="AG136" s="2" t="e">
        <f t="shared" si="899"/>
        <v>#DIV/0!</v>
      </c>
      <c r="AI136" s="8" t="e">
        <f t="shared" si="870"/>
        <v>#DIV/0!</v>
      </c>
      <c r="AJ136" s="2" t="e">
        <f t="shared" si="606"/>
        <v>#DIV/0!</v>
      </c>
      <c r="AK136" s="2" t="e">
        <f t="shared" ref="AK136:AL136" si="900">1-(EXP($AI136+AL$31)/(1 + EXP($AI136+AL$31)))</f>
        <v>#DIV/0!</v>
      </c>
      <c r="AL136" s="2" t="e">
        <f t="shared" si="900"/>
        <v>#DIV/0!</v>
      </c>
      <c r="AN136" s="8" t="e">
        <f t="shared" si="872"/>
        <v>#DIV/0!</v>
      </c>
      <c r="AO136" s="2" t="e">
        <f t="shared" si="608"/>
        <v>#DIV/0!</v>
      </c>
      <c r="AP136" s="2" t="e">
        <f t="shared" ref="AP136:AQ136" si="901">1-NORMSDIST($AN136+AQ$31)</f>
        <v>#DIV/0!</v>
      </c>
      <c r="AQ136" s="2" t="e">
        <f t="shared" si="901"/>
        <v>#DIV/0!</v>
      </c>
      <c r="AS136" s="8" t="e">
        <f t="shared" si="874"/>
        <v>#DIV/0!</v>
      </c>
      <c r="AT136" s="2" t="e">
        <f t="shared" si="610"/>
        <v>#DIV/0!</v>
      </c>
      <c r="AU136" s="2" t="e">
        <f t="shared" si="658"/>
        <v>#DIV/0!</v>
      </c>
      <c r="AV136" s="2" t="e">
        <f t="shared" si="659"/>
        <v>#DIV/0!</v>
      </c>
      <c r="AY136" s="8" t="e">
        <f t="shared" si="875"/>
        <v>#DIV/0!</v>
      </c>
      <c r="AZ136" s="2" t="e">
        <f t="shared" si="611"/>
        <v>#DIV/0!</v>
      </c>
      <c r="BA136" s="2" t="e">
        <f t="shared" si="660"/>
        <v>#DIV/0!</v>
      </c>
      <c r="BB136" s="2" t="e">
        <f t="shared" si="661"/>
        <v>#DIV/0!</v>
      </c>
      <c r="BE136" s="8" t="e">
        <f t="shared" si="876"/>
        <v>#DIV/0!</v>
      </c>
      <c r="BF136" s="2" t="e">
        <f t="shared" si="612"/>
        <v>#DIV/0!</v>
      </c>
      <c r="BG136" s="2" t="e">
        <f t="shared" si="613"/>
        <v>#DIV/0!</v>
      </c>
      <c r="BH136" s="2" t="e">
        <f t="shared" si="614"/>
        <v>#DIV/0!</v>
      </c>
    </row>
    <row r="137" spans="1:60" x14ac:dyDescent="0.2">
      <c r="A137" s="2">
        <f t="shared" si="647"/>
        <v>8.4166666666666572</v>
      </c>
      <c r="B137" s="2">
        <f t="shared" si="592"/>
        <v>2.2115059422715097E-4</v>
      </c>
      <c r="C137" s="2">
        <f t="shared" si="877"/>
        <v>2.2115059422715097E-4</v>
      </c>
      <c r="D137" s="2">
        <f t="shared" si="877"/>
        <v>2.2115059422715097E-4</v>
      </c>
      <c r="E137" s="8">
        <f t="shared" si="593"/>
        <v>2.2115059422715097E-4</v>
      </c>
      <c r="F137" s="2">
        <f t="shared" ref="F137:G137" si="902">EXP(-(($A137*$F$31*G$31)^$E$31))</f>
        <v>2.2115059422715097E-4</v>
      </c>
      <c r="G137" s="2">
        <f t="shared" si="902"/>
        <v>2.2115059422715097E-4</v>
      </c>
      <c r="I137" s="8" t="e">
        <f t="shared" si="595"/>
        <v>#DIV/0!</v>
      </c>
      <c r="J137" s="2" t="e">
        <f t="shared" ref="J137:K137" si="903">EXP(-(($J$31*K$31)/$I$31)*(EXP($I$31*$A137)-1))</f>
        <v>#DIV/0!</v>
      </c>
      <c r="K137" s="2" t="e">
        <f t="shared" si="903"/>
        <v>#DIV/0!</v>
      </c>
      <c r="M137" s="8">
        <f t="shared" si="597"/>
        <v>1.6576980362649874E-2</v>
      </c>
      <c r="N137" s="2">
        <f t="shared" ref="N137:O137" si="904">1-_xlfn.NORM.S.DIST((LN($A137)-$M$31-O$31)/$N$31,TRUE)</f>
        <v>1.6576980362649874E-2</v>
      </c>
      <c r="O137" s="2">
        <f t="shared" si="904"/>
        <v>1.6576980362649874E-2</v>
      </c>
      <c r="Q137" s="8">
        <f t="shared" si="599"/>
        <v>0.10619469026548678</v>
      </c>
      <c r="R137" s="2">
        <f t="shared" ref="R137:S137" si="905">1-(1/(1+($A137/($R$31*S$31))^(-$Q$31)))</f>
        <v>0.10619469026548678</v>
      </c>
      <c r="S137" s="2">
        <f t="shared" si="905"/>
        <v>0.10619469026548678</v>
      </c>
      <c r="U137" s="8">
        <f t="shared" si="601"/>
        <v>2.2115059422711525E-4</v>
      </c>
      <c r="V137" s="2">
        <f t="shared" ref="V137" si="906">1-(_xlfn.GAMMA.DIST($V$31*W$31*$A137,$U$31,1,TRUE)*EXP(GAMMALN($U$31)))/EXP(GAMMALN($U$31))</f>
        <v>2.2115059422711525E-4</v>
      </c>
      <c r="W137" s="2">
        <f t="shared" si="867"/>
        <v>2.2115059422711525E-4</v>
      </c>
      <c r="Y137" s="8">
        <f t="shared" si="603"/>
        <v>1.6576980362649874E-2</v>
      </c>
      <c r="Z137" s="2">
        <f t="shared" si="653"/>
        <v>1.6576980362649874E-2</v>
      </c>
      <c r="AA137" s="2">
        <f t="shared" si="654"/>
        <v>1.6576980362649874E-2</v>
      </c>
      <c r="AD137" s="8" t="e">
        <f t="shared" si="868"/>
        <v>#DIV/0!</v>
      </c>
      <c r="AE137" s="2" t="e">
        <f t="shared" si="604"/>
        <v>#DIV/0!</v>
      </c>
      <c r="AF137" s="2" t="e">
        <f t="shared" ref="AF137:AG137" si="907">EXP(-EXP($AD137+AG$31))</f>
        <v>#DIV/0!</v>
      </c>
      <c r="AG137" s="2" t="e">
        <f t="shared" si="907"/>
        <v>#DIV/0!</v>
      </c>
      <c r="AI137" s="8" t="e">
        <f t="shared" si="870"/>
        <v>#DIV/0!</v>
      </c>
      <c r="AJ137" s="2" t="e">
        <f t="shared" si="606"/>
        <v>#DIV/0!</v>
      </c>
      <c r="AK137" s="2" t="e">
        <f t="shared" ref="AK137:AL137" si="908">1-(EXP($AI137+AL$31)/(1 + EXP($AI137+AL$31)))</f>
        <v>#DIV/0!</v>
      </c>
      <c r="AL137" s="2" t="e">
        <f t="shared" si="908"/>
        <v>#DIV/0!</v>
      </c>
      <c r="AN137" s="8" t="e">
        <f t="shared" si="872"/>
        <v>#DIV/0!</v>
      </c>
      <c r="AO137" s="2" t="e">
        <f t="shared" si="608"/>
        <v>#DIV/0!</v>
      </c>
      <c r="AP137" s="2" t="e">
        <f t="shared" ref="AP137:AQ137" si="909">1-NORMSDIST($AN137+AQ$31)</f>
        <v>#DIV/0!</v>
      </c>
      <c r="AQ137" s="2" t="e">
        <f t="shared" si="909"/>
        <v>#DIV/0!</v>
      </c>
      <c r="AS137" s="8" t="e">
        <f t="shared" si="874"/>
        <v>#DIV/0!</v>
      </c>
      <c r="AT137" s="2" t="e">
        <f t="shared" si="610"/>
        <v>#DIV/0!</v>
      </c>
      <c r="AU137" s="2" t="e">
        <f t="shared" si="658"/>
        <v>#DIV/0!</v>
      </c>
      <c r="AV137" s="2" t="e">
        <f t="shared" si="659"/>
        <v>#DIV/0!</v>
      </c>
      <c r="AY137" s="8" t="e">
        <f t="shared" si="875"/>
        <v>#DIV/0!</v>
      </c>
      <c r="AZ137" s="2" t="e">
        <f t="shared" si="611"/>
        <v>#DIV/0!</v>
      </c>
      <c r="BA137" s="2" t="e">
        <f t="shared" si="660"/>
        <v>#DIV/0!</v>
      </c>
      <c r="BB137" s="2" t="e">
        <f t="shared" si="661"/>
        <v>#DIV/0!</v>
      </c>
      <c r="BE137" s="8" t="e">
        <f t="shared" si="876"/>
        <v>#DIV/0!</v>
      </c>
      <c r="BF137" s="2" t="e">
        <f t="shared" si="612"/>
        <v>#DIV/0!</v>
      </c>
      <c r="BG137" s="2" t="e">
        <f t="shared" si="613"/>
        <v>#DIV/0!</v>
      </c>
      <c r="BH137" s="2" t="e">
        <f t="shared" si="614"/>
        <v>#DIV/0!</v>
      </c>
    </row>
    <row r="138" spans="1:60" x14ac:dyDescent="0.2">
      <c r="A138" s="2">
        <f t="shared" si="647"/>
        <v>8.4999999999999911</v>
      </c>
      <c r="B138" s="2">
        <f t="shared" si="592"/>
        <v>2.0346836901064598E-4</v>
      </c>
      <c r="C138" s="2">
        <f t="shared" si="877"/>
        <v>2.0346836901064598E-4</v>
      </c>
      <c r="D138" s="2">
        <f t="shared" si="877"/>
        <v>2.0346836901064598E-4</v>
      </c>
      <c r="E138" s="8">
        <f t="shared" si="593"/>
        <v>2.0346836901064598E-4</v>
      </c>
      <c r="F138" s="2">
        <f t="shared" ref="F138:G138" si="910">EXP(-(($A138*$F$31*G$31)^$E$31))</f>
        <v>2.0346836901064598E-4</v>
      </c>
      <c r="G138" s="2">
        <f t="shared" si="910"/>
        <v>2.0346836901064598E-4</v>
      </c>
      <c r="I138" s="8" t="e">
        <f t="shared" si="595"/>
        <v>#DIV/0!</v>
      </c>
      <c r="J138" s="2" t="e">
        <f t="shared" ref="J138:K138" si="911">EXP(-(($J$31*K$31)/$I$31)*(EXP($I$31*$A138)-1))</f>
        <v>#DIV/0!</v>
      </c>
      <c r="K138" s="2" t="e">
        <f t="shared" si="911"/>
        <v>#DIV/0!</v>
      </c>
      <c r="M138" s="8">
        <f t="shared" si="597"/>
        <v>1.6174710056386488E-2</v>
      </c>
      <c r="N138" s="2">
        <f t="shared" ref="N138:O138" si="912">1-_xlfn.NORM.S.DIST((LN($A138)-$M$31-O$31)/$N$31,TRUE)</f>
        <v>1.6174710056386488E-2</v>
      </c>
      <c r="O138" s="2">
        <f t="shared" si="912"/>
        <v>1.6174710056386488E-2</v>
      </c>
      <c r="Q138" s="8">
        <f t="shared" si="599"/>
        <v>0.10526315789473684</v>
      </c>
      <c r="R138" s="2">
        <f t="shared" ref="R138:S138" si="913">1-(1/(1+($A138/($R$31*S$31))^(-$Q$31)))</f>
        <v>0.10526315789473684</v>
      </c>
      <c r="S138" s="2">
        <f t="shared" si="913"/>
        <v>0.10526315789473684</v>
      </c>
      <c r="U138" s="8">
        <f t="shared" si="601"/>
        <v>2.034683690106398E-4</v>
      </c>
      <c r="V138" s="2">
        <f t="shared" ref="V138" si="914">1-(_xlfn.GAMMA.DIST($V$31*W$31*$A138,$U$31,1,TRUE)*EXP(GAMMALN($U$31)))/EXP(GAMMALN($U$31))</f>
        <v>2.034683690106398E-4</v>
      </c>
      <c r="W138" s="2">
        <f t="shared" si="867"/>
        <v>2.034683690106398E-4</v>
      </c>
      <c r="Y138" s="8">
        <f t="shared" si="603"/>
        <v>1.6174710056386488E-2</v>
      </c>
      <c r="Z138" s="2">
        <f t="shared" si="653"/>
        <v>1.6174710056386488E-2</v>
      </c>
      <c r="AA138" s="2">
        <f t="shared" si="654"/>
        <v>1.6174710056386488E-2</v>
      </c>
      <c r="AD138" s="8" t="e">
        <f t="shared" si="868"/>
        <v>#DIV/0!</v>
      </c>
      <c r="AE138" s="2" t="e">
        <f t="shared" si="604"/>
        <v>#DIV/0!</v>
      </c>
      <c r="AF138" s="2" t="e">
        <f t="shared" ref="AF138:AG138" si="915">EXP(-EXP($AD138+AG$31))</f>
        <v>#DIV/0!</v>
      </c>
      <c r="AG138" s="2" t="e">
        <f t="shared" si="915"/>
        <v>#DIV/0!</v>
      </c>
      <c r="AI138" s="8" t="e">
        <f t="shared" si="870"/>
        <v>#DIV/0!</v>
      </c>
      <c r="AJ138" s="2" t="e">
        <f t="shared" si="606"/>
        <v>#DIV/0!</v>
      </c>
      <c r="AK138" s="2" t="e">
        <f t="shared" ref="AK138:AL138" si="916">1-(EXP($AI138+AL$31)/(1 + EXP($AI138+AL$31)))</f>
        <v>#DIV/0!</v>
      </c>
      <c r="AL138" s="2" t="e">
        <f t="shared" si="916"/>
        <v>#DIV/0!</v>
      </c>
      <c r="AN138" s="8" t="e">
        <f t="shared" si="872"/>
        <v>#DIV/0!</v>
      </c>
      <c r="AO138" s="2" t="e">
        <f t="shared" si="608"/>
        <v>#DIV/0!</v>
      </c>
      <c r="AP138" s="2" t="e">
        <f t="shared" ref="AP138:AQ138" si="917">1-NORMSDIST($AN138+AQ$31)</f>
        <v>#DIV/0!</v>
      </c>
      <c r="AQ138" s="2" t="e">
        <f t="shared" si="917"/>
        <v>#DIV/0!</v>
      </c>
      <c r="AS138" s="8" t="e">
        <f t="shared" si="874"/>
        <v>#DIV/0!</v>
      </c>
      <c r="AT138" s="2" t="e">
        <f t="shared" si="610"/>
        <v>#DIV/0!</v>
      </c>
      <c r="AU138" s="2" t="e">
        <f t="shared" si="658"/>
        <v>#DIV/0!</v>
      </c>
      <c r="AV138" s="2" t="e">
        <f t="shared" si="659"/>
        <v>#DIV/0!</v>
      </c>
      <c r="AY138" s="8" t="e">
        <f t="shared" si="875"/>
        <v>#DIV/0!</v>
      </c>
      <c r="AZ138" s="2" t="e">
        <f t="shared" si="611"/>
        <v>#DIV/0!</v>
      </c>
      <c r="BA138" s="2" t="e">
        <f t="shared" si="660"/>
        <v>#DIV/0!</v>
      </c>
      <c r="BB138" s="2" t="e">
        <f t="shared" si="661"/>
        <v>#DIV/0!</v>
      </c>
      <c r="BE138" s="8" t="e">
        <f t="shared" si="876"/>
        <v>#DIV/0!</v>
      </c>
      <c r="BF138" s="2" t="e">
        <f t="shared" si="612"/>
        <v>#DIV/0!</v>
      </c>
      <c r="BG138" s="2" t="e">
        <f t="shared" si="613"/>
        <v>#DIV/0!</v>
      </c>
      <c r="BH138" s="2" t="e">
        <f t="shared" si="614"/>
        <v>#DIV/0!</v>
      </c>
    </row>
    <row r="139" spans="1:60" x14ac:dyDescent="0.2">
      <c r="A139" s="2">
        <f t="shared" si="647"/>
        <v>8.583333333333325</v>
      </c>
      <c r="B139" s="2">
        <f t="shared" si="592"/>
        <v>1.8719993646198281E-4</v>
      </c>
      <c r="C139" s="2">
        <f t="shared" si="877"/>
        <v>1.8719993646198281E-4</v>
      </c>
      <c r="D139" s="2">
        <f t="shared" si="877"/>
        <v>1.8719993646198281E-4</v>
      </c>
      <c r="E139" s="8">
        <f t="shared" si="593"/>
        <v>1.8719993646198281E-4</v>
      </c>
      <c r="F139" s="2">
        <f t="shared" ref="F139:G139" si="918">EXP(-(($A139*$F$31*G$31)^$E$31))</f>
        <v>1.8719993646198281E-4</v>
      </c>
      <c r="G139" s="2">
        <f t="shared" si="918"/>
        <v>1.8719993646198281E-4</v>
      </c>
      <c r="I139" s="8" t="e">
        <f t="shared" si="595"/>
        <v>#DIV/0!</v>
      </c>
      <c r="J139" s="2" t="e">
        <f t="shared" ref="J139:K139" si="919">EXP(-(($J$31*K$31)/$I$31)*(EXP($I$31*$A139)-1))</f>
        <v>#DIV/0!</v>
      </c>
      <c r="K139" s="2" t="e">
        <f t="shared" si="919"/>
        <v>#DIV/0!</v>
      </c>
      <c r="M139" s="8">
        <f t="shared" si="597"/>
        <v>1.5784635255215118E-2</v>
      </c>
      <c r="N139" s="2">
        <f t="shared" ref="N139:O139" si="920">1-_xlfn.NORM.S.DIST((LN($A139)-$M$31-O$31)/$N$31,TRUE)</f>
        <v>1.5784635255215118E-2</v>
      </c>
      <c r="O139" s="2">
        <f t="shared" si="920"/>
        <v>1.5784635255215118E-2</v>
      </c>
      <c r="Q139" s="8">
        <f t="shared" si="599"/>
        <v>0.1043478260869567</v>
      </c>
      <c r="R139" s="2">
        <f t="shared" ref="R139:S139" si="921">1-(1/(1+($A139/($R$31*S$31))^(-$Q$31)))</f>
        <v>0.1043478260869567</v>
      </c>
      <c r="S139" s="2">
        <f t="shared" si="921"/>
        <v>0.1043478260869567</v>
      </c>
      <c r="U139" s="8">
        <f t="shared" si="601"/>
        <v>1.8719993646199029E-4</v>
      </c>
      <c r="V139" s="2">
        <f t="shared" ref="V139" si="922">1-(_xlfn.GAMMA.DIST($V$31*W$31*$A139,$U$31,1,TRUE)*EXP(GAMMALN($U$31)))/EXP(GAMMALN($U$31))</f>
        <v>1.8719993646199029E-4</v>
      </c>
      <c r="W139" s="2">
        <f t="shared" si="867"/>
        <v>1.8719993646199029E-4</v>
      </c>
      <c r="Y139" s="8">
        <f t="shared" si="603"/>
        <v>1.5784635255215118E-2</v>
      </c>
      <c r="Z139" s="2">
        <f t="shared" si="653"/>
        <v>1.5784635255215118E-2</v>
      </c>
      <c r="AA139" s="2">
        <f t="shared" si="654"/>
        <v>1.5784635255215118E-2</v>
      </c>
      <c r="AD139" s="8" t="e">
        <f t="shared" si="868"/>
        <v>#DIV/0!</v>
      </c>
      <c r="AE139" s="2" t="e">
        <f t="shared" si="604"/>
        <v>#DIV/0!</v>
      </c>
      <c r="AF139" s="2" t="e">
        <f t="shared" ref="AF139:AG139" si="923">EXP(-EXP($AD139+AG$31))</f>
        <v>#DIV/0!</v>
      </c>
      <c r="AG139" s="2" t="e">
        <f t="shared" si="923"/>
        <v>#DIV/0!</v>
      </c>
      <c r="AI139" s="8" t="e">
        <f t="shared" si="870"/>
        <v>#DIV/0!</v>
      </c>
      <c r="AJ139" s="2" t="e">
        <f t="shared" si="606"/>
        <v>#DIV/0!</v>
      </c>
      <c r="AK139" s="2" t="e">
        <f t="shared" ref="AK139:AL139" si="924">1-(EXP($AI139+AL$31)/(1 + EXP($AI139+AL$31)))</f>
        <v>#DIV/0!</v>
      </c>
      <c r="AL139" s="2" t="e">
        <f t="shared" si="924"/>
        <v>#DIV/0!</v>
      </c>
      <c r="AN139" s="8" t="e">
        <f t="shared" si="872"/>
        <v>#DIV/0!</v>
      </c>
      <c r="AO139" s="2" t="e">
        <f t="shared" si="608"/>
        <v>#DIV/0!</v>
      </c>
      <c r="AP139" s="2" t="e">
        <f t="shared" ref="AP139:AQ139" si="925">1-NORMSDIST($AN139+AQ$31)</f>
        <v>#DIV/0!</v>
      </c>
      <c r="AQ139" s="2" t="e">
        <f t="shared" si="925"/>
        <v>#DIV/0!</v>
      </c>
      <c r="AS139" s="8" t="e">
        <f t="shared" si="874"/>
        <v>#DIV/0!</v>
      </c>
      <c r="AT139" s="2" t="e">
        <f t="shared" si="610"/>
        <v>#DIV/0!</v>
      </c>
      <c r="AU139" s="2" t="e">
        <f t="shared" si="658"/>
        <v>#DIV/0!</v>
      </c>
      <c r="AV139" s="2" t="e">
        <f t="shared" si="659"/>
        <v>#DIV/0!</v>
      </c>
      <c r="AY139" s="8" t="e">
        <f t="shared" si="875"/>
        <v>#DIV/0!</v>
      </c>
      <c r="AZ139" s="2" t="e">
        <f t="shared" si="611"/>
        <v>#DIV/0!</v>
      </c>
      <c r="BA139" s="2" t="e">
        <f t="shared" si="660"/>
        <v>#DIV/0!</v>
      </c>
      <c r="BB139" s="2" t="e">
        <f t="shared" si="661"/>
        <v>#DIV/0!</v>
      </c>
      <c r="BE139" s="8" t="e">
        <f t="shared" si="876"/>
        <v>#DIV/0!</v>
      </c>
      <c r="BF139" s="2" t="e">
        <f t="shared" si="612"/>
        <v>#DIV/0!</v>
      </c>
      <c r="BG139" s="2" t="e">
        <f t="shared" si="613"/>
        <v>#DIV/0!</v>
      </c>
      <c r="BH139" s="2" t="e">
        <f t="shared" si="614"/>
        <v>#DIV/0!</v>
      </c>
    </row>
    <row r="140" spans="1:60" x14ac:dyDescent="0.2">
      <c r="A140" s="2">
        <f t="shared" si="647"/>
        <v>8.666666666666659</v>
      </c>
      <c r="B140" s="2">
        <f t="shared" si="592"/>
        <v>1.7223225596081138E-4</v>
      </c>
      <c r="C140" s="2">
        <f t="shared" si="877"/>
        <v>1.7223225596081138E-4</v>
      </c>
      <c r="D140" s="2">
        <f t="shared" si="877"/>
        <v>1.7223225596081138E-4</v>
      </c>
      <c r="E140" s="8">
        <f t="shared" si="593"/>
        <v>1.7223225596081138E-4</v>
      </c>
      <c r="F140" s="2">
        <f t="shared" ref="F140:G140" si="926">EXP(-(($A140*$F$31*G$31)^$E$31))</f>
        <v>1.7223225596081138E-4</v>
      </c>
      <c r="G140" s="2">
        <f t="shared" si="926"/>
        <v>1.7223225596081138E-4</v>
      </c>
      <c r="I140" s="8" t="e">
        <f t="shared" si="595"/>
        <v>#DIV/0!</v>
      </c>
      <c r="J140" s="2" t="e">
        <f t="shared" ref="J140:K140" si="927">EXP(-(($J$31*K$31)/$I$31)*(EXP($I$31*$A140)-1))</f>
        <v>#DIV/0!</v>
      </c>
      <c r="K140" s="2" t="e">
        <f t="shared" si="927"/>
        <v>#DIV/0!</v>
      </c>
      <c r="M140" s="8">
        <f t="shared" si="597"/>
        <v>1.5406308992909512E-2</v>
      </c>
      <c r="N140" s="2">
        <f t="shared" ref="N140:O140" si="928">1-_xlfn.NORM.S.DIST((LN($A140)-$M$31-O$31)/$N$31,TRUE)</f>
        <v>1.5406308992909512E-2</v>
      </c>
      <c r="O140" s="2">
        <f t="shared" si="928"/>
        <v>1.5406308992909512E-2</v>
      </c>
      <c r="Q140" s="8">
        <f t="shared" si="599"/>
        <v>0.10344827586206895</v>
      </c>
      <c r="R140" s="2">
        <f t="shared" ref="R140:S140" si="929">1-(1/(1+($A140/($R$31*S$31))^(-$Q$31)))</f>
        <v>0.10344827586206895</v>
      </c>
      <c r="S140" s="2">
        <f t="shared" si="929"/>
        <v>0.10344827586206895</v>
      </c>
      <c r="U140" s="8">
        <f t="shared" si="601"/>
        <v>1.7223225596085801E-4</v>
      </c>
      <c r="V140" s="2">
        <f t="shared" ref="V140" si="930">1-(_xlfn.GAMMA.DIST($V$31*W$31*$A140,$U$31,1,TRUE)*EXP(GAMMALN($U$31)))/EXP(GAMMALN($U$31))</f>
        <v>1.7223225596085801E-4</v>
      </c>
      <c r="W140" s="2">
        <f t="shared" si="867"/>
        <v>1.7223225596085801E-4</v>
      </c>
      <c r="Y140" s="8">
        <f t="shared" si="603"/>
        <v>1.5406308992909512E-2</v>
      </c>
      <c r="Z140" s="2">
        <f t="shared" si="653"/>
        <v>1.5406308992909512E-2</v>
      </c>
      <c r="AA140" s="2">
        <f t="shared" si="654"/>
        <v>1.5406308992909512E-2</v>
      </c>
      <c r="AD140" s="8" t="e">
        <f t="shared" si="868"/>
        <v>#DIV/0!</v>
      </c>
      <c r="AE140" s="2" t="e">
        <f t="shared" si="604"/>
        <v>#DIV/0!</v>
      </c>
      <c r="AF140" s="2" t="e">
        <f t="shared" ref="AF140:AG140" si="931">EXP(-EXP($AD140+AG$31))</f>
        <v>#DIV/0!</v>
      </c>
      <c r="AG140" s="2" t="e">
        <f t="shared" si="931"/>
        <v>#DIV/0!</v>
      </c>
      <c r="AI140" s="8" t="e">
        <f t="shared" si="870"/>
        <v>#DIV/0!</v>
      </c>
      <c r="AJ140" s="2" t="e">
        <f t="shared" si="606"/>
        <v>#DIV/0!</v>
      </c>
      <c r="AK140" s="2" t="e">
        <f t="shared" ref="AK140:AL140" si="932">1-(EXP($AI140+AL$31)/(1 + EXP($AI140+AL$31)))</f>
        <v>#DIV/0!</v>
      </c>
      <c r="AL140" s="2" t="e">
        <f t="shared" si="932"/>
        <v>#DIV/0!</v>
      </c>
      <c r="AN140" s="8" t="e">
        <f t="shared" si="872"/>
        <v>#DIV/0!</v>
      </c>
      <c r="AO140" s="2" t="e">
        <f t="shared" si="608"/>
        <v>#DIV/0!</v>
      </c>
      <c r="AP140" s="2" t="e">
        <f t="shared" ref="AP140:AQ140" si="933">1-NORMSDIST($AN140+AQ$31)</f>
        <v>#DIV/0!</v>
      </c>
      <c r="AQ140" s="2" t="e">
        <f t="shared" si="933"/>
        <v>#DIV/0!</v>
      </c>
      <c r="AS140" s="8" t="e">
        <f t="shared" si="874"/>
        <v>#DIV/0!</v>
      </c>
      <c r="AT140" s="2" t="e">
        <f t="shared" si="610"/>
        <v>#DIV/0!</v>
      </c>
      <c r="AU140" s="2" t="e">
        <f t="shared" si="658"/>
        <v>#DIV/0!</v>
      </c>
      <c r="AV140" s="2" t="e">
        <f t="shared" si="659"/>
        <v>#DIV/0!</v>
      </c>
      <c r="AY140" s="8" t="e">
        <f t="shared" si="875"/>
        <v>#DIV/0!</v>
      </c>
      <c r="AZ140" s="2" t="e">
        <f t="shared" si="611"/>
        <v>#DIV/0!</v>
      </c>
      <c r="BA140" s="2" t="e">
        <f t="shared" si="660"/>
        <v>#DIV/0!</v>
      </c>
      <c r="BB140" s="2" t="e">
        <f t="shared" si="661"/>
        <v>#DIV/0!</v>
      </c>
      <c r="BE140" s="8" t="e">
        <f t="shared" si="876"/>
        <v>#DIV/0!</v>
      </c>
      <c r="BF140" s="2" t="e">
        <f t="shared" si="612"/>
        <v>#DIV/0!</v>
      </c>
      <c r="BG140" s="2" t="e">
        <f t="shared" si="613"/>
        <v>#DIV/0!</v>
      </c>
      <c r="BH140" s="2" t="e">
        <f t="shared" si="614"/>
        <v>#DIV/0!</v>
      </c>
    </row>
    <row r="141" spans="1:60" x14ac:dyDescent="0.2">
      <c r="A141" s="2">
        <f t="shared" si="647"/>
        <v>8.7499999999999929</v>
      </c>
      <c r="B141" s="2">
        <f t="shared" si="592"/>
        <v>1.5846132511575237E-4</v>
      </c>
      <c r="C141" s="2">
        <f t="shared" si="877"/>
        <v>1.5846132511575237E-4</v>
      </c>
      <c r="D141" s="2">
        <f t="shared" si="877"/>
        <v>1.5846132511575237E-4</v>
      </c>
      <c r="E141" s="8">
        <f t="shared" si="593"/>
        <v>1.5846132511575237E-4</v>
      </c>
      <c r="F141" s="2">
        <f t="shared" ref="F141:G141" si="934">EXP(-(($A141*$F$31*G$31)^$E$31))</f>
        <v>1.5846132511575237E-4</v>
      </c>
      <c r="G141" s="2">
        <f t="shared" si="934"/>
        <v>1.5846132511575237E-4</v>
      </c>
      <c r="I141" s="8" t="e">
        <f t="shared" si="595"/>
        <v>#DIV/0!</v>
      </c>
      <c r="J141" s="2" t="e">
        <f t="shared" ref="J141:K141" si="935">EXP(-(($J$31*K$31)/$I$31)*(EXP($I$31*$A141)-1))</f>
        <v>#DIV/0!</v>
      </c>
      <c r="K141" s="2" t="e">
        <f t="shared" si="935"/>
        <v>#DIV/0!</v>
      </c>
      <c r="M141" s="8">
        <f t="shared" si="597"/>
        <v>1.5039303599632015E-2</v>
      </c>
      <c r="N141" s="2">
        <f t="shared" ref="N141:O141" si="936">1-_xlfn.NORM.S.DIST((LN($A141)-$M$31-O$31)/$N$31,TRUE)</f>
        <v>1.5039303599632015E-2</v>
      </c>
      <c r="O141" s="2">
        <f t="shared" si="936"/>
        <v>1.5039303599632015E-2</v>
      </c>
      <c r="Q141" s="8">
        <f t="shared" si="599"/>
        <v>0.10256410256410264</v>
      </c>
      <c r="R141" s="2">
        <f t="shared" ref="R141:S141" si="937">1-(1/(1+($A141/($R$31*S$31))^(-$Q$31)))</f>
        <v>0.10256410256410264</v>
      </c>
      <c r="S141" s="2">
        <f t="shared" si="937"/>
        <v>0.10256410256410264</v>
      </c>
      <c r="U141" s="8">
        <f t="shared" si="601"/>
        <v>1.5846132511576627E-4</v>
      </c>
      <c r="V141" s="2">
        <f t="shared" ref="V141" si="938">1-(_xlfn.GAMMA.DIST($V$31*W$31*$A141,$U$31,1,TRUE)*EXP(GAMMALN($U$31)))/EXP(GAMMALN($U$31))</f>
        <v>1.5846132511576627E-4</v>
      </c>
      <c r="W141" s="2">
        <f t="shared" si="867"/>
        <v>1.5846132511576627E-4</v>
      </c>
      <c r="Y141" s="8">
        <f t="shared" si="603"/>
        <v>1.5039303599632015E-2</v>
      </c>
      <c r="Z141" s="2">
        <f t="shared" si="653"/>
        <v>1.5039303599632015E-2</v>
      </c>
      <c r="AA141" s="2">
        <f t="shared" si="654"/>
        <v>1.5039303599632015E-2</v>
      </c>
      <c r="AD141" s="8" t="e">
        <f t="shared" si="868"/>
        <v>#DIV/0!</v>
      </c>
      <c r="AE141" s="2" t="e">
        <f t="shared" si="604"/>
        <v>#DIV/0!</v>
      </c>
      <c r="AF141" s="2" t="e">
        <f t="shared" ref="AF141:AG141" si="939">EXP(-EXP($AD141+AG$31))</f>
        <v>#DIV/0!</v>
      </c>
      <c r="AG141" s="2" t="e">
        <f t="shared" si="939"/>
        <v>#DIV/0!</v>
      </c>
      <c r="AI141" s="8" t="e">
        <f t="shared" si="870"/>
        <v>#DIV/0!</v>
      </c>
      <c r="AJ141" s="2" t="e">
        <f t="shared" si="606"/>
        <v>#DIV/0!</v>
      </c>
      <c r="AK141" s="2" t="e">
        <f t="shared" ref="AK141:AL141" si="940">1-(EXP($AI141+AL$31)/(1 + EXP($AI141+AL$31)))</f>
        <v>#DIV/0!</v>
      </c>
      <c r="AL141" s="2" t="e">
        <f t="shared" si="940"/>
        <v>#DIV/0!</v>
      </c>
      <c r="AN141" s="8" t="e">
        <f t="shared" si="872"/>
        <v>#DIV/0!</v>
      </c>
      <c r="AO141" s="2" t="e">
        <f t="shared" si="608"/>
        <v>#DIV/0!</v>
      </c>
      <c r="AP141" s="2" t="e">
        <f t="shared" ref="AP141:AQ141" si="941">1-NORMSDIST($AN141+AQ$31)</f>
        <v>#DIV/0!</v>
      </c>
      <c r="AQ141" s="2" t="e">
        <f t="shared" si="941"/>
        <v>#DIV/0!</v>
      </c>
      <c r="AS141" s="8" t="e">
        <f t="shared" si="874"/>
        <v>#DIV/0!</v>
      </c>
      <c r="AT141" s="2" t="e">
        <f t="shared" si="610"/>
        <v>#DIV/0!</v>
      </c>
      <c r="AU141" s="2" t="e">
        <f t="shared" si="658"/>
        <v>#DIV/0!</v>
      </c>
      <c r="AV141" s="2" t="e">
        <f t="shared" si="659"/>
        <v>#DIV/0!</v>
      </c>
      <c r="AY141" s="8" t="e">
        <f t="shared" si="875"/>
        <v>#DIV/0!</v>
      </c>
      <c r="AZ141" s="2" t="e">
        <f t="shared" si="611"/>
        <v>#DIV/0!</v>
      </c>
      <c r="BA141" s="2" t="e">
        <f t="shared" si="660"/>
        <v>#DIV/0!</v>
      </c>
      <c r="BB141" s="2" t="e">
        <f t="shared" si="661"/>
        <v>#DIV/0!</v>
      </c>
      <c r="BE141" s="8" t="e">
        <f t="shared" si="876"/>
        <v>#DIV/0!</v>
      </c>
      <c r="BF141" s="2" t="e">
        <f t="shared" si="612"/>
        <v>#DIV/0!</v>
      </c>
      <c r="BG141" s="2" t="e">
        <f t="shared" si="613"/>
        <v>#DIV/0!</v>
      </c>
      <c r="BH141" s="2" t="e">
        <f t="shared" si="614"/>
        <v>#DIV/0!</v>
      </c>
    </row>
    <row r="142" spans="1:60" x14ac:dyDescent="0.2">
      <c r="A142" s="2">
        <f t="shared" si="647"/>
        <v>8.8333333333333268</v>
      </c>
      <c r="B142" s="2">
        <f t="shared" si="592"/>
        <v>1.4579145710750919E-4</v>
      </c>
      <c r="C142" s="2">
        <f t="shared" si="877"/>
        <v>1.4579145710750919E-4</v>
      </c>
      <c r="D142" s="2">
        <f t="shared" si="877"/>
        <v>1.4579145710750919E-4</v>
      </c>
      <c r="E142" s="8">
        <f t="shared" si="593"/>
        <v>1.4579145710750919E-4</v>
      </c>
      <c r="F142" s="2">
        <f t="shared" ref="F142:G142" si="942">EXP(-(($A142*$F$31*G$31)^$E$31))</f>
        <v>1.4579145710750919E-4</v>
      </c>
      <c r="G142" s="2">
        <f t="shared" si="942"/>
        <v>1.4579145710750919E-4</v>
      </c>
      <c r="I142" s="8" t="e">
        <f t="shared" si="595"/>
        <v>#DIV/0!</v>
      </c>
      <c r="J142" s="2" t="e">
        <f t="shared" ref="J142:K142" si="943">EXP(-(($J$31*K$31)/$I$31)*(EXP($I$31*$A142)-1))</f>
        <v>#DIV/0!</v>
      </c>
      <c r="K142" s="2" t="e">
        <f t="shared" si="943"/>
        <v>#DIV/0!</v>
      </c>
      <c r="M142" s="8">
        <f t="shared" si="597"/>
        <v>1.4683209740778969E-2</v>
      </c>
      <c r="N142" s="2">
        <f t="shared" ref="N142:O142" si="944">1-_xlfn.NORM.S.DIST((LN($A142)-$M$31-O$31)/$N$31,TRUE)</f>
        <v>1.4683209740778969E-2</v>
      </c>
      <c r="O142" s="2">
        <f t="shared" si="944"/>
        <v>1.4683209740778969E-2</v>
      </c>
      <c r="Q142" s="8">
        <f t="shared" si="599"/>
        <v>0.10169491525423724</v>
      </c>
      <c r="R142" s="2">
        <f t="shared" ref="R142:S142" si="945">1-(1/(1+($A142/($R$31*S$31))^(-$Q$31)))</f>
        <v>0.10169491525423724</v>
      </c>
      <c r="S142" s="2">
        <f t="shared" si="945"/>
        <v>0.10169491525423724</v>
      </c>
      <c r="U142" s="8">
        <f t="shared" si="601"/>
        <v>1.4579145710746921E-4</v>
      </c>
      <c r="V142" s="2">
        <f t="shared" ref="V142" si="946">1-(_xlfn.GAMMA.DIST($V$31*W$31*$A142,$U$31,1,TRUE)*EXP(GAMMALN($U$31)))/EXP(GAMMALN($U$31))</f>
        <v>1.4579145710746921E-4</v>
      </c>
      <c r="W142" s="2">
        <f t="shared" si="867"/>
        <v>1.4579145710746921E-4</v>
      </c>
      <c r="Y142" s="8">
        <f t="shared" si="603"/>
        <v>1.4683209740778969E-2</v>
      </c>
      <c r="Z142" s="2">
        <f t="shared" si="653"/>
        <v>1.4683209740778969E-2</v>
      </c>
      <c r="AA142" s="2">
        <f t="shared" si="654"/>
        <v>1.4683209740778969E-2</v>
      </c>
      <c r="AD142" s="8" t="e">
        <f t="shared" si="868"/>
        <v>#DIV/0!</v>
      </c>
      <c r="AE142" s="2" t="e">
        <f t="shared" si="604"/>
        <v>#DIV/0!</v>
      </c>
      <c r="AF142" s="2" t="e">
        <f t="shared" ref="AF142:AG142" si="947">EXP(-EXP($AD142+AG$31))</f>
        <v>#DIV/0!</v>
      </c>
      <c r="AG142" s="2" t="e">
        <f t="shared" si="947"/>
        <v>#DIV/0!</v>
      </c>
      <c r="AI142" s="8" t="e">
        <f t="shared" si="870"/>
        <v>#DIV/0!</v>
      </c>
      <c r="AJ142" s="2" t="e">
        <f t="shared" si="606"/>
        <v>#DIV/0!</v>
      </c>
      <c r="AK142" s="2" t="e">
        <f t="shared" ref="AK142:AL142" si="948">1-(EXP($AI142+AL$31)/(1 + EXP($AI142+AL$31)))</f>
        <v>#DIV/0!</v>
      </c>
      <c r="AL142" s="2" t="e">
        <f t="shared" si="948"/>
        <v>#DIV/0!</v>
      </c>
      <c r="AN142" s="8" t="e">
        <f t="shared" si="872"/>
        <v>#DIV/0!</v>
      </c>
      <c r="AO142" s="2" t="e">
        <f t="shared" si="608"/>
        <v>#DIV/0!</v>
      </c>
      <c r="AP142" s="2" t="e">
        <f t="shared" ref="AP142:AQ142" si="949">1-NORMSDIST($AN142+AQ$31)</f>
        <v>#DIV/0!</v>
      </c>
      <c r="AQ142" s="2" t="e">
        <f t="shared" si="949"/>
        <v>#DIV/0!</v>
      </c>
      <c r="AS142" s="8" t="e">
        <f t="shared" si="874"/>
        <v>#DIV/0!</v>
      </c>
      <c r="AT142" s="2" t="e">
        <f t="shared" si="610"/>
        <v>#DIV/0!</v>
      </c>
      <c r="AU142" s="2" t="e">
        <f t="shared" si="658"/>
        <v>#DIV/0!</v>
      </c>
      <c r="AV142" s="2" t="e">
        <f t="shared" si="659"/>
        <v>#DIV/0!</v>
      </c>
      <c r="AY142" s="8" t="e">
        <f t="shared" si="875"/>
        <v>#DIV/0!</v>
      </c>
      <c r="AZ142" s="2" t="e">
        <f t="shared" si="611"/>
        <v>#DIV/0!</v>
      </c>
      <c r="BA142" s="2" t="e">
        <f t="shared" si="660"/>
        <v>#DIV/0!</v>
      </c>
      <c r="BB142" s="2" t="e">
        <f t="shared" si="661"/>
        <v>#DIV/0!</v>
      </c>
      <c r="BE142" s="8" t="e">
        <f t="shared" si="876"/>
        <v>#DIV/0!</v>
      </c>
      <c r="BF142" s="2" t="e">
        <f t="shared" si="612"/>
        <v>#DIV/0!</v>
      </c>
      <c r="BG142" s="2" t="e">
        <f t="shared" si="613"/>
        <v>#DIV/0!</v>
      </c>
      <c r="BH142" s="2" t="e">
        <f t="shared" si="614"/>
        <v>#DIV/0!</v>
      </c>
    </row>
    <row r="143" spans="1:60" x14ac:dyDescent="0.2">
      <c r="A143" s="2">
        <f t="shared" si="647"/>
        <v>8.9166666666666607</v>
      </c>
      <c r="B143" s="2">
        <f t="shared" si="592"/>
        <v>1.341346158124343E-4</v>
      </c>
      <c r="C143" s="2">
        <f t="shared" si="877"/>
        <v>1.341346158124343E-4</v>
      </c>
      <c r="D143" s="2">
        <f t="shared" si="877"/>
        <v>1.341346158124343E-4</v>
      </c>
      <c r="E143" s="8">
        <f t="shared" si="593"/>
        <v>1.341346158124343E-4</v>
      </c>
      <c r="F143" s="2">
        <f t="shared" ref="F143:G143" si="950">EXP(-(($A143*$F$31*G$31)^$E$31))</f>
        <v>1.341346158124343E-4</v>
      </c>
      <c r="G143" s="2">
        <f t="shared" si="950"/>
        <v>1.341346158124343E-4</v>
      </c>
      <c r="I143" s="8" t="e">
        <f t="shared" si="595"/>
        <v>#DIV/0!</v>
      </c>
      <c r="J143" s="2" t="e">
        <f t="shared" ref="J143:K143" si="951">EXP(-(($J$31*K$31)/$I$31)*(EXP($I$31*$A143)-1))</f>
        <v>#DIV/0!</v>
      </c>
      <c r="K143" s="2" t="e">
        <f t="shared" si="951"/>
        <v>#DIV/0!</v>
      </c>
      <c r="M143" s="8">
        <f t="shared" si="597"/>
        <v>1.4337635510141555E-2</v>
      </c>
      <c r="N143" s="2">
        <f t="shared" ref="N143:O143" si="952">1-_xlfn.NORM.S.DIST((LN($A143)-$M$31-O$31)/$N$31,TRUE)</f>
        <v>1.4337635510141555E-2</v>
      </c>
      <c r="O143" s="2">
        <f t="shared" si="952"/>
        <v>1.4337635510141555E-2</v>
      </c>
      <c r="Q143" s="8">
        <f t="shared" si="599"/>
        <v>0.10084033613445376</v>
      </c>
      <c r="R143" s="2">
        <f t="shared" ref="R143:S143" si="953">1-(1/(1+($A143/($R$31*S$31))^(-$Q$31)))</f>
        <v>0.10084033613445376</v>
      </c>
      <c r="S143" s="2">
        <f t="shared" si="953"/>
        <v>0.10084033613445376</v>
      </c>
      <c r="U143" s="8">
        <f t="shared" si="601"/>
        <v>1.3413461581246455E-4</v>
      </c>
      <c r="V143" s="2">
        <f t="shared" ref="V143" si="954">1-(_xlfn.GAMMA.DIST($V$31*W$31*$A143,$U$31,1,TRUE)*EXP(GAMMALN($U$31)))/EXP(GAMMALN($U$31))</f>
        <v>1.3413461581246455E-4</v>
      </c>
      <c r="W143" s="2">
        <f t="shared" si="867"/>
        <v>1.3413461581246455E-4</v>
      </c>
      <c r="Y143" s="8">
        <f t="shared" si="603"/>
        <v>1.4337635510141555E-2</v>
      </c>
      <c r="Z143" s="2">
        <f t="shared" si="653"/>
        <v>1.4337635510141555E-2</v>
      </c>
      <c r="AA143" s="2">
        <f t="shared" si="654"/>
        <v>1.4337635510141555E-2</v>
      </c>
      <c r="AD143" s="8" t="e">
        <f t="shared" si="868"/>
        <v>#DIV/0!</v>
      </c>
      <c r="AE143" s="2" t="e">
        <f t="shared" si="604"/>
        <v>#DIV/0!</v>
      </c>
      <c r="AF143" s="2" t="e">
        <f t="shared" ref="AF143:AG143" si="955">EXP(-EXP($AD143+AG$31))</f>
        <v>#DIV/0!</v>
      </c>
      <c r="AG143" s="2" t="e">
        <f t="shared" si="955"/>
        <v>#DIV/0!</v>
      </c>
      <c r="AI143" s="8" t="e">
        <f t="shared" si="870"/>
        <v>#DIV/0!</v>
      </c>
      <c r="AJ143" s="2" t="e">
        <f t="shared" si="606"/>
        <v>#DIV/0!</v>
      </c>
      <c r="AK143" s="2" t="e">
        <f t="shared" ref="AK143:AL143" si="956">1-(EXP($AI143+AL$31)/(1 + EXP($AI143+AL$31)))</f>
        <v>#DIV/0!</v>
      </c>
      <c r="AL143" s="2" t="e">
        <f t="shared" si="956"/>
        <v>#DIV/0!</v>
      </c>
      <c r="AN143" s="8" t="e">
        <f t="shared" si="872"/>
        <v>#DIV/0!</v>
      </c>
      <c r="AO143" s="2" t="e">
        <f t="shared" si="608"/>
        <v>#DIV/0!</v>
      </c>
      <c r="AP143" s="2" t="e">
        <f t="shared" ref="AP143:AQ143" si="957">1-NORMSDIST($AN143+AQ$31)</f>
        <v>#DIV/0!</v>
      </c>
      <c r="AQ143" s="2" t="e">
        <f t="shared" si="957"/>
        <v>#DIV/0!</v>
      </c>
      <c r="AS143" s="8" t="e">
        <f t="shared" si="874"/>
        <v>#DIV/0!</v>
      </c>
      <c r="AT143" s="2" t="e">
        <f t="shared" si="610"/>
        <v>#DIV/0!</v>
      </c>
      <c r="AU143" s="2" t="e">
        <f t="shared" si="658"/>
        <v>#DIV/0!</v>
      </c>
      <c r="AV143" s="2" t="e">
        <f t="shared" si="659"/>
        <v>#DIV/0!</v>
      </c>
      <c r="AY143" s="8" t="e">
        <f t="shared" si="875"/>
        <v>#DIV/0!</v>
      </c>
      <c r="AZ143" s="2" t="e">
        <f t="shared" si="611"/>
        <v>#DIV/0!</v>
      </c>
      <c r="BA143" s="2" t="e">
        <f t="shared" si="660"/>
        <v>#DIV/0!</v>
      </c>
      <c r="BB143" s="2" t="e">
        <f t="shared" si="661"/>
        <v>#DIV/0!</v>
      </c>
      <c r="BE143" s="8" t="e">
        <f t="shared" si="876"/>
        <v>#DIV/0!</v>
      </c>
      <c r="BF143" s="2" t="e">
        <f t="shared" si="612"/>
        <v>#DIV/0!</v>
      </c>
      <c r="BG143" s="2" t="e">
        <f t="shared" si="613"/>
        <v>#DIV/0!</v>
      </c>
      <c r="BH143" s="2" t="e">
        <f t="shared" si="614"/>
        <v>#DIV/0!</v>
      </c>
    </row>
    <row r="144" spans="1:60" x14ac:dyDescent="0.2">
      <c r="A144" s="2">
        <f t="shared" si="647"/>
        <v>8.9999999999999947</v>
      </c>
      <c r="B144" s="2">
        <f t="shared" si="592"/>
        <v>1.2340980408668021E-4</v>
      </c>
      <c r="C144" s="2">
        <f t="shared" si="877"/>
        <v>1.2340980408668021E-4</v>
      </c>
      <c r="D144" s="2">
        <f t="shared" si="877"/>
        <v>1.2340980408668021E-4</v>
      </c>
      <c r="E144" s="8">
        <f t="shared" si="593"/>
        <v>1.2340980408668021E-4</v>
      </c>
      <c r="F144" s="2">
        <f t="shared" ref="F144:G144" si="958">EXP(-(($A144*$F$31*G$31)^$E$31))</f>
        <v>1.2340980408668021E-4</v>
      </c>
      <c r="G144" s="2">
        <f t="shared" si="958"/>
        <v>1.2340980408668021E-4</v>
      </c>
      <c r="I144" s="8" t="e">
        <f t="shared" si="595"/>
        <v>#DIV/0!</v>
      </c>
      <c r="J144" s="2" t="e">
        <f t="shared" ref="J144:K144" si="959">EXP(-(($J$31*K$31)/$I$31)*(EXP($I$31*$A144)-1))</f>
        <v>#DIV/0!</v>
      </c>
      <c r="K144" s="2" t="e">
        <f t="shared" si="959"/>
        <v>#DIV/0!</v>
      </c>
      <c r="M144" s="8">
        <f t="shared" si="597"/>
        <v>1.4002205573945048E-2</v>
      </c>
      <c r="N144" s="2">
        <f t="shared" ref="N144:O144" si="960">1-_xlfn.NORM.S.DIST((LN($A144)-$M$31-O$31)/$N$31,TRUE)</f>
        <v>1.4002205573945048E-2</v>
      </c>
      <c r="O144" s="2">
        <f t="shared" si="960"/>
        <v>1.4002205573945048E-2</v>
      </c>
      <c r="Q144" s="8">
        <f t="shared" si="599"/>
        <v>0.10000000000000009</v>
      </c>
      <c r="R144" s="2">
        <f t="shared" ref="R144:S144" si="961">1-(1/(1+($A144/($R$31*S$31))^(-$Q$31)))</f>
        <v>0.10000000000000009</v>
      </c>
      <c r="S144" s="2">
        <f t="shared" si="961"/>
        <v>0.10000000000000009</v>
      </c>
      <c r="U144" s="8">
        <f t="shared" si="601"/>
        <v>1.2340980408664937E-4</v>
      </c>
      <c r="V144" s="2">
        <f t="shared" ref="V144" si="962">1-(_xlfn.GAMMA.DIST($V$31*W$31*$A144,$U$31,1,TRUE)*EXP(GAMMALN($U$31)))/EXP(GAMMALN($U$31))</f>
        <v>1.2340980408664937E-4</v>
      </c>
      <c r="W144" s="2">
        <f t="shared" si="867"/>
        <v>1.2340980408664937E-4</v>
      </c>
      <c r="Y144" s="8">
        <f t="shared" si="603"/>
        <v>1.4002205573945048E-2</v>
      </c>
      <c r="Z144" s="2">
        <f t="shared" si="653"/>
        <v>1.4002205573945048E-2</v>
      </c>
      <c r="AA144" s="2">
        <f t="shared" si="654"/>
        <v>1.4002205573945048E-2</v>
      </c>
      <c r="AD144" s="8" t="e">
        <f t="shared" si="868"/>
        <v>#DIV/0!</v>
      </c>
      <c r="AE144" s="2" t="e">
        <f t="shared" si="604"/>
        <v>#DIV/0!</v>
      </c>
      <c r="AF144" s="2" t="e">
        <f t="shared" ref="AF144:AG144" si="963">EXP(-EXP($AD144+AG$31))</f>
        <v>#DIV/0!</v>
      </c>
      <c r="AG144" s="2" t="e">
        <f t="shared" si="963"/>
        <v>#DIV/0!</v>
      </c>
      <c r="AI144" s="8" t="e">
        <f t="shared" si="870"/>
        <v>#DIV/0!</v>
      </c>
      <c r="AJ144" s="2" t="e">
        <f t="shared" si="606"/>
        <v>#DIV/0!</v>
      </c>
      <c r="AK144" s="2" t="e">
        <f t="shared" ref="AK144:AL144" si="964">1-(EXP($AI144+AL$31)/(1 + EXP($AI144+AL$31)))</f>
        <v>#DIV/0!</v>
      </c>
      <c r="AL144" s="2" t="e">
        <f t="shared" si="964"/>
        <v>#DIV/0!</v>
      </c>
      <c r="AN144" s="8" t="e">
        <f t="shared" si="872"/>
        <v>#DIV/0!</v>
      </c>
      <c r="AO144" s="2" t="e">
        <f t="shared" si="608"/>
        <v>#DIV/0!</v>
      </c>
      <c r="AP144" s="2" t="e">
        <f t="shared" ref="AP144:AQ144" si="965">1-NORMSDIST($AN144+AQ$31)</f>
        <v>#DIV/0!</v>
      </c>
      <c r="AQ144" s="2" t="e">
        <f t="shared" si="965"/>
        <v>#DIV/0!</v>
      </c>
      <c r="AS144" s="8" t="e">
        <f t="shared" si="874"/>
        <v>#DIV/0!</v>
      </c>
      <c r="AT144" s="2" t="e">
        <f t="shared" si="610"/>
        <v>#DIV/0!</v>
      </c>
      <c r="AU144" s="2" t="e">
        <f t="shared" si="658"/>
        <v>#DIV/0!</v>
      </c>
      <c r="AV144" s="2" t="e">
        <f t="shared" si="659"/>
        <v>#DIV/0!</v>
      </c>
      <c r="AY144" s="8" t="e">
        <f t="shared" si="875"/>
        <v>#DIV/0!</v>
      </c>
      <c r="AZ144" s="2" t="e">
        <f t="shared" si="611"/>
        <v>#DIV/0!</v>
      </c>
      <c r="BA144" s="2" t="e">
        <f t="shared" si="660"/>
        <v>#DIV/0!</v>
      </c>
      <c r="BB144" s="2" t="e">
        <f t="shared" si="661"/>
        <v>#DIV/0!</v>
      </c>
      <c r="BE144" s="8" t="e">
        <f t="shared" si="876"/>
        <v>#DIV/0!</v>
      </c>
      <c r="BF144" s="2" t="e">
        <f t="shared" si="612"/>
        <v>#DIV/0!</v>
      </c>
      <c r="BG144" s="2" t="e">
        <f t="shared" si="613"/>
        <v>#DIV/0!</v>
      </c>
      <c r="BH144" s="2" t="e">
        <f t="shared" si="614"/>
        <v>#DIV/0!</v>
      </c>
    </row>
    <row r="145" spans="1:60" x14ac:dyDescent="0.2">
      <c r="A145" s="2">
        <f t="shared" si="647"/>
        <v>9.0833333333333286</v>
      </c>
      <c r="B145" s="2">
        <f t="shared" si="592"/>
        <v>1.1354250096044909E-4</v>
      </c>
      <c r="C145" s="2">
        <f t="shared" si="877"/>
        <v>1.1354250096044909E-4</v>
      </c>
      <c r="D145" s="2">
        <f t="shared" si="877"/>
        <v>1.1354250096044909E-4</v>
      </c>
      <c r="E145" s="8">
        <f t="shared" si="593"/>
        <v>1.1354250096044909E-4</v>
      </c>
      <c r="F145" s="2">
        <f t="shared" ref="F145:G145" si="966">EXP(-(($A145*$F$31*G$31)^$E$31))</f>
        <v>1.1354250096044909E-4</v>
      </c>
      <c r="G145" s="2">
        <f t="shared" si="966"/>
        <v>1.1354250096044909E-4</v>
      </c>
      <c r="I145" s="8" t="e">
        <f t="shared" si="595"/>
        <v>#DIV/0!</v>
      </c>
      <c r="J145" s="2" t="e">
        <f t="shared" ref="J145:K145" si="967">EXP(-(($J$31*K$31)/$I$31)*(EXP($I$31*$A145)-1))</f>
        <v>#DIV/0!</v>
      </c>
      <c r="K145" s="2" t="e">
        <f t="shared" si="967"/>
        <v>#DIV/0!</v>
      </c>
      <c r="M145" s="8">
        <f t="shared" si="597"/>
        <v>1.3676560362576251E-2</v>
      </c>
      <c r="N145" s="2">
        <f t="shared" ref="N145:O145" si="968">1-_xlfn.NORM.S.DIST((LN($A145)-$M$31-O$31)/$N$31,TRUE)</f>
        <v>1.3676560362576251E-2</v>
      </c>
      <c r="O145" s="2">
        <f t="shared" si="968"/>
        <v>1.3676560362576251E-2</v>
      </c>
      <c r="Q145" s="8">
        <f t="shared" si="599"/>
        <v>9.9173553719008267E-2</v>
      </c>
      <c r="R145" s="2">
        <f t="shared" ref="R145:S145" si="969">1-(1/(1+($A145/($R$31*S$31))^(-$Q$31)))</f>
        <v>9.9173553719008267E-2</v>
      </c>
      <c r="S145" s="2">
        <f t="shared" si="969"/>
        <v>9.9173553719008267E-2</v>
      </c>
      <c r="U145" s="8">
        <f t="shared" si="601"/>
        <v>1.135425009604063E-4</v>
      </c>
      <c r="V145" s="2">
        <f t="shared" ref="V145" si="970">1-(_xlfn.GAMMA.DIST($V$31*W$31*$A145,$U$31,1,TRUE)*EXP(GAMMALN($U$31)))/EXP(GAMMALN($U$31))</f>
        <v>1.135425009604063E-4</v>
      </c>
      <c r="W145" s="2">
        <f t="shared" si="867"/>
        <v>1.135425009604063E-4</v>
      </c>
      <c r="Y145" s="8">
        <f t="shared" si="603"/>
        <v>1.3676560362576251E-2</v>
      </c>
      <c r="Z145" s="2">
        <f t="shared" si="653"/>
        <v>1.3676560362576251E-2</v>
      </c>
      <c r="AA145" s="2">
        <f t="shared" si="654"/>
        <v>1.3676560362576251E-2</v>
      </c>
      <c r="AD145" s="8" t="e">
        <f t="shared" si="868"/>
        <v>#DIV/0!</v>
      </c>
      <c r="AE145" s="2" t="e">
        <f t="shared" si="604"/>
        <v>#DIV/0!</v>
      </c>
      <c r="AF145" s="2" t="e">
        <f t="shared" ref="AF145:AG145" si="971">EXP(-EXP($AD145+AG$31))</f>
        <v>#DIV/0!</v>
      </c>
      <c r="AG145" s="2" t="e">
        <f t="shared" si="971"/>
        <v>#DIV/0!</v>
      </c>
      <c r="AI145" s="8" t="e">
        <f t="shared" si="870"/>
        <v>#DIV/0!</v>
      </c>
      <c r="AJ145" s="2" t="e">
        <f t="shared" si="606"/>
        <v>#DIV/0!</v>
      </c>
      <c r="AK145" s="2" t="e">
        <f t="shared" ref="AK145:AL145" si="972">1-(EXP($AI145+AL$31)/(1 + EXP($AI145+AL$31)))</f>
        <v>#DIV/0!</v>
      </c>
      <c r="AL145" s="2" t="e">
        <f t="shared" si="972"/>
        <v>#DIV/0!</v>
      </c>
      <c r="AN145" s="8" t="e">
        <f t="shared" si="872"/>
        <v>#DIV/0!</v>
      </c>
      <c r="AO145" s="2" t="e">
        <f t="shared" si="608"/>
        <v>#DIV/0!</v>
      </c>
      <c r="AP145" s="2" t="e">
        <f t="shared" ref="AP145:AQ145" si="973">1-NORMSDIST($AN145+AQ$31)</f>
        <v>#DIV/0!</v>
      </c>
      <c r="AQ145" s="2" t="e">
        <f t="shared" si="973"/>
        <v>#DIV/0!</v>
      </c>
      <c r="AS145" s="8" t="e">
        <f t="shared" si="874"/>
        <v>#DIV/0!</v>
      </c>
      <c r="AT145" s="2" t="e">
        <f t="shared" si="610"/>
        <v>#DIV/0!</v>
      </c>
      <c r="AU145" s="2" t="e">
        <f t="shared" si="658"/>
        <v>#DIV/0!</v>
      </c>
      <c r="AV145" s="2" t="e">
        <f t="shared" si="659"/>
        <v>#DIV/0!</v>
      </c>
      <c r="AY145" s="8" t="e">
        <f t="shared" si="875"/>
        <v>#DIV/0!</v>
      </c>
      <c r="AZ145" s="2" t="e">
        <f t="shared" si="611"/>
        <v>#DIV/0!</v>
      </c>
      <c r="BA145" s="2" t="e">
        <f t="shared" si="660"/>
        <v>#DIV/0!</v>
      </c>
      <c r="BB145" s="2" t="e">
        <f t="shared" si="661"/>
        <v>#DIV/0!</v>
      </c>
      <c r="BE145" s="8" t="e">
        <f t="shared" si="876"/>
        <v>#DIV/0!</v>
      </c>
      <c r="BF145" s="2" t="e">
        <f t="shared" si="612"/>
        <v>#DIV/0!</v>
      </c>
      <c r="BG145" s="2" t="e">
        <f t="shared" si="613"/>
        <v>#DIV/0!</v>
      </c>
      <c r="BH145" s="2" t="e">
        <f t="shared" si="614"/>
        <v>#DIV/0!</v>
      </c>
    </row>
    <row r="146" spans="1:60" x14ac:dyDescent="0.2">
      <c r="A146" s="2">
        <f t="shared" si="647"/>
        <v>9.1666666666666625</v>
      </c>
      <c r="B146" s="2">
        <f t="shared" si="592"/>
        <v>1.044641438317057E-4</v>
      </c>
      <c r="C146" s="2">
        <f t="shared" si="877"/>
        <v>1.044641438317057E-4</v>
      </c>
      <c r="D146" s="2">
        <f t="shared" si="877"/>
        <v>1.044641438317057E-4</v>
      </c>
      <c r="E146" s="8">
        <f t="shared" si="593"/>
        <v>1.044641438317057E-4</v>
      </c>
      <c r="F146" s="2">
        <f t="shared" ref="F146:G146" si="974">EXP(-(($A146*$F$31*G$31)^$E$31))</f>
        <v>1.044641438317057E-4</v>
      </c>
      <c r="G146" s="2">
        <f t="shared" si="974"/>
        <v>1.044641438317057E-4</v>
      </c>
      <c r="I146" s="8" t="e">
        <f t="shared" si="595"/>
        <v>#DIV/0!</v>
      </c>
      <c r="J146" s="2" t="e">
        <f t="shared" ref="J146:K146" si="975">EXP(-(($J$31*K$31)/$I$31)*(EXP($I$31*$A146)-1))</f>
        <v>#DIV/0!</v>
      </c>
      <c r="K146" s="2" t="e">
        <f t="shared" si="975"/>
        <v>#DIV/0!</v>
      </c>
      <c r="M146" s="8">
        <f t="shared" si="597"/>
        <v>1.3360355307023286E-2</v>
      </c>
      <c r="N146" s="2">
        <f t="shared" ref="N146:O146" si="976">1-_xlfn.NORM.S.DIST((LN($A146)-$M$31-O$31)/$N$31,TRUE)</f>
        <v>1.3360355307023286E-2</v>
      </c>
      <c r="O146" s="2">
        <f t="shared" si="976"/>
        <v>1.3360355307023286E-2</v>
      </c>
      <c r="Q146" s="8">
        <f t="shared" si="599"/>
        <v>9.8360655737704916E-2</v>
      </c>
      <c r="R146" s="2">
        <f t="shared" ref="R146:S146" si="977">1-(1/(1+($A146/($R$31*S$31))^(-$Q$31)))</f>
        <v>9.8360655737704916E-2</v>
      </c>
      <c r="S146" s="2">
        <f t="shared" si="977"/>
        <v>9.8360655737704916E-2</v>
      </c>
      <c r="U146" s="8">
        <f t="shared" si="601"/>
        <v>1.0446414383169511E-4</v>
      </c>
      <c r="V146" s="2">
        <f t="shared" ref="V146" si="978">1-(_xlfn.GAMMA.DIST($V$31*W$31*$A146,$U$31,1,TRUE)*EXP(GAMMALN($U$31)))/EXP(GAMMALN($U$31))</f>
        <v>1.0446414383169511E-4</v>
      </c>
      <c r="W146" s="2">
        <f t="shared" si="867"/>
        <v>1.0446414383169511E-4</v>
      </c>
      <c r="Y146" s="8">
        <f t="shared" si="603"/>
        <v>1.3360355307023286E-2</v>
      </c>
      <c r="Z146" s="2">
        <f t="shared" si="653"/>
        <v>1.3360355307023286E-2</v>
      </c>
      <c r="AA146" s="2">
        <f t="shared" si="654"/>
        <v>1.3360355307023286E-2</v>
      </c>
      <c r="AD146" s="8" t="e">
        <f t="shared" si="868"/>
        <v>#DIV/0!</v>
      </c>
      <c r="AE146" s="2" t="e">
        <f t="shared" si="604"/>
        <v>#DIV/0!</v>
      </c>
      <c r="AF146" s="2" t="e">
        <f t="shared" ref="AF146:AG146" si="979">EXP(-EXP($AD146+AG$31))</f>
        <v>#DIV/0!</v>
      </c>
      <c r="AG146" s="2" t="e">
        <f t="shared" si="979"/>
        <v>#DIV/0!</v>
      </c>
      <c r="AI146" s="8" t="e">
        <f t="shared" si="870"/>
        <v>#DIV/0!</v>
      </c>
      <c r="AJ146" s="2" t="e">
        <f t="shared" si="606"/>
        <v>#DIV/0!</v>
      </c>
      <c r="AK146" s="2" t="e">
        <f t="shared" ref="AK146:AL146" si="980">1-(EXP($AI146+AL$31)/(1 + EXP($AI146+AL$31)))</f>
        <v>#DIV/0!</v>
      </c>
      <c r="AL146" s="2" t="e">
        <f t="shared" si="980"/>
        <v>#DIV/0!</v>
      </c>
      <c r="AN146" s="8" t="e">
        <f t="shared" si="872"/>
        <v>#DIV/0!</v>
      </c>
      <c r="AO146" s="2" t="e">
        <f t="shared" si="608"/>
        <v>#DIV/0!</v>
      </c>
      <c r="AP146" s="2" t="e">
        <f t="shared" ref="AP146:AQ146" si="981">1-NORMSDIST($AN146+AQ$31)</f>
        <v>#DIV/0!</v>
      </c>
      <c r="AQ146" s="2" t="e">
        <f t="shared" si="981"/>
        <v>#DIV/0!</v>
      </c>
      <c r="AS146" s="8" t="e">
        <f t="shared" si="874"/>
        <v>#DIV/0!</v>
      </c>
      <c r="AT146" s="2" t="e">
        <f t="shared" si="610"/>
        <v>#DIV/0!</v>
      </c>
      <c r="AU146" s="2" t="e">
        <f t="shared" si="658"/>
        <v>#DIV/0!</v>
      </c>
      <c r="AV146" s="2" t="e">
        <f t="shared" si="659"/>
        <v>#DIV/0!</v>
      </c>
      <c r="AY146" s="8" t="e">
        <f t="shared" si="875"/>
        <v>#DIV/0!</v>
      </c>
      <c r="AZ146" s="2" t="e">
        <f t="shared" si="611"/>
        <v>#DIV/0!</v>
      </c>
      <c r="BA146" s="2" t="e">
        <f t="shared" si="660"/>
        <v>#DIV/0!</v>
      </c>
      <c r="BB146" s="2" t="e">
        <f t="shared" si="661"/>
        <v>#DIV/0!</v>
      </c>
      <c r="BE146" s="8" t="e">
        <f t="shared" si="876"/>
        <v>#DIV/0!</v>
      </c>
      <c r="BF146" s="2" t="e">
        <f t="shared" si="612"/>
        <v>#DIV/0!</v>
      </c>
      <c r="BG146" s="2" t="e">
        <f t="shared" si="613"/>
        <v>#DIV/0!</v>
      </c>
      <c r="BH146" s="2" t="e">
        <f t="shared" si="614"/>
        <v>#DIV/0!</v>
      </c>
    </row>
    <row r="147" spans="1:60" x14ac:dyDescent="0.2">
      <c r="A147" s="2">
        <f t="shared" si="647"/>
        <v>9.2499999999999964</v>
      </c>
      <c r="B147" s="2">
        <f t="shared" si="592"/>
        <v>9.6111652061395034E-5</v>
      </c>
      <c r="C147" s="2">
        <f t="shared" si="877"/>
        <v>9.6111652061395034E-5</v>
      </c>
      <c r="D147" s="2">
        <f t="shared" si="877"/>
        <v>9.6111652061395034E-5</v>
      </c>
      <c r="E147" s="8">
        <f t="shared" si="593"/>
        <v>9.6111652061395034E-5</v>
      </c>
      <c r="F147" s="2">
        <f t="shared" ref="F147:G147" si="982">EXP(-(($A147*$F$31*G$31)^$E$31))</f>
        <v>9.6111652061395034E-5</v>
      </c>
      <c r="G147" s="2">
        <f t="shared" si="982"/>
        <v>9.6111652061395034E-5</v>
      </c>
      <c r="I147" s="8" t="e">
        <f t="shared" si="595"/>
        <v>#DIV/0!</v>
      </c>
      <c r="J147" s="2" t="e">
        <f t="shared" ref="J147:K147" si="983">EXP(-(($J$31*K$31)/$I$31)*(EXP($I$31*$A147)-1))</f>
        <v>#DIV/0!</v>
      </c>
      <c r="K147" s="2" t="e">
        <f t="shared" si="983"/>
        <v>#DIV/0!</v>
      </c>
      <c r="M147" s="8">
        <f t="shared" si="597"/>
        <v>1.3053260117263377E-2</v>
      </c>
      <c r="N147" s="2">
        <f t="shared" ref="N147:O147" si="984">1-_xlfn.NORM.S.DIST((LN($A147)-$M$31-O$31)/$N$31,TRUE)</f>
        <v>1.3053260117263377E-2</v>
      </c>
      <c r="O147" s="2">
        <f t="shared" si="984"/>
        <v>1.3053260117263377E-2</v>
      </c>
      <c r="Q147" s="8">
        <f t="shared" si="599"/>
        <v>9.7560975609756073E-2</v>
      </c>
      <c r="R147" s="2">
        <f t="shared" ref="R147:S147" si="985">1-(1/(1+($A147/($R$31*S$31))^(-$Q$31)))</f>
        <v>9.7560975609756073E-2</v>
      </c>
      <c r="S147" s="2">
        <f t="shared" si="985"/>
        <v>9.7560975609756073E-2</v>
      </c>
      <c r="U147" s="8">
        <f t="shared" si="601"/>
        <v>9.6111652061359187E-5</v>
      </c>
      <c r="V147" s="2">
        <f t="shared" ref="V147" si="986">1-(_xlfn.GAMMA.DIST($V$31*W$31*$A147,$U$31,1,TRUE)*EXP(GAMMALN($U$31)))/EXP(GAMMALN($U$31))</f>
        <v>9.6111652061359187E-5</v>
      </c>
      <c r="W147" s="2">
        <f t="shared" si="867"/>
        <v>9.6111652061359187E-5</v>
      </c>
      <c r="Y147" s="8">
        <f t="shared" si="603"/>
        <v>1.3053260117263377E-2</v>
      </c>
      <c r="Z147" s="2">
        <f t="shared" si="653"/>
        <v>1.3053260117263377E-2</v>
      </c>
      <c r="AA147" s="2">
        <f t="shared" si="654"/>
        <v>1.3053260117263377E-2</v>
      </c>
      <c r="AD147" s="8" t="e">
        <f t="shared" si="868"/>
        <v>#DIV/0!</v>
      </c>
      <c r="AE147" s="2" t="e">
        <f t="shared" si="604"/>
        <v>#DIV/0!</v>
      </c>
      <c r="AF147" s="2" t="e">
        <f t="shared" ref="AF147:AG147" si="987">EXP(-EXP($AD147+AG$31))</f>
        <v>#DIV/0!</v>
      </c>
      <c r="AG147" s="2" t="e">
        <f t="shared" si="987"/>
        <v>#DIV/0!</v>
      </c>
      <c r="AI147" s="8" t="e">
        <f t="shared" si="870"/>
        <v>#DIV/0!</v>
      </c>
      <c r="AJ147" s="2" t="e">
        <f t="shared" si="606"/>
        <v>#DIV/0!</v>
      </c>
      <c r="AK147" s="2" t="e">
        <f t="shared" ref="AK147:AL147" si="988">1-(EXP($AI147+AL$31)/(1 + EXP($AI147+AL$31)))</f>
        <v>#DIV/0!</v>
      </c>
      <c r="AL147" s="2" t="e">
        <f t="shared" si="988"/>
        <v>#DIV/0!</v>
      </c>
      <c r="AN147" s="8" t="e">
        <f t="shared" si="872"/>
        <v>#DIV/0!</v>
      </c>
      <c r="AO147" s="2" t="e">
        <f t="shared" si="608"/>
        <v>#DIV/0!</v>
      </c>
      <c r="AP147" s="2" t="e">
        <f t="shared" ref="AP147:AQ147" si="989">1-NORMSDIST($AN147+AQ$31)</f>
        <v>#DIV/0!</v>
      </c>
      <c r="AQ147" s="2" t="e">
        <f t="shared" si="989"/>
        <v>#DIV/0!</v>
      </c>
      <c r="AS147" s="8" t="e">
        <f t="shared" si="874"/>
        <v>#DIV/0!</v>
      </c>
      <c r="AT147" s="2" t="e">
        <f t="shared" si="610"/>
        <v>#DIV/0!</v>
      </c>
      <c r="AU147" s="2" t="e">
        <f t="shared" si="658"/>
        <v>#DIV/0!</v>
      </c>
      <c r="AV147" s="2" t="e">
        <f t="shared" si="659"/>
        <v>#DIV/0!</v>
      </c>
      <c r="AY147" s="8" t="e">
        <f t="shared" si="875"/>
        <v>#DIV/0!</v>
      </c>
      <c r="AZ147" s="2" t="e">
        <f t="shared" si="611"/>
        <v>#DIV/0!</v>
      </c>
      <c r="BA147" s="2" t="e">
        <f t="shared" si="660"/>
        <v>#DIV/0!</v>
      </c>
      <c r="BB147" s="2" t="e">
        <f t="shared" si="661"/>
        <v>#DIV/0!</v>
      </c>
      <c r="BE147" s="8" t="e">
        <f t="shared" si="876"/>
        <v>#DIV/0!</v>
      </c>
      <c r="BF147" s="2" t="e">
        <f t="shared" si="612"/>
        <v>#DIV/0!</v>
      </c>
      <c r="BG147" s="2" t="e">
        <f t="shared" si="613"/>
        <v>#DIV/0!</v>
      </c>
      <c r="BH147" s="2" t="e">
        <f t="shared" si="614"/>
        <v>#DIV/0!</v>
      </c>
    </row>
    <row r="148" spans="1:60" x14ac:dyDescent="0.2">
      <c r="A148" s="2">
        <f t="shared" si="647"/>
        <v>9.3333333333333304</v>
      </c>
      <c r="B148" s="2">
        <f t="shared" si="592"/>
        <v>8.8426988659883328E-5</v>
      </c>
      <c r="C148" s="2">
        <f t="shared" si="877"/>
        <v>8.8426988659883328E-5</v>
      </c>
      <c r="D148" s="2">
        <f t="shared" si="877"/>
        <v>8.8426988659883328E-5</v>
      </c>
      <c r="E148" s="8">
        <f t="shared" si="593"/>
        <v>8.8426988659883328E-5</v>
      </c>
      <c r="F148" s="2">
        <f t="shared" ref="F148:G148" si="990">EXP(-(($A148*$F$31*G$31)^$E$31))</f>
        <v>8.8426988659883328E-5</v>
      </c>
      <c r="G148" s="2">
        <f t="shared" si="990"/>
        <v>8.8426988659883328E-5</v>
      </c>
      <c r="I148" s="8" t="e">
        <f t="shared" si="595"/>
        <v>#DIV/0!</v>
      </c>
      <c r="J148" s="2" t="e">
        <f t="shared" ref="J148:K148" si="991">EXP(-(($J$31*K$31)/$I$31)*(EXP($I$31*$A148)-1))</f>
        <v>#DIV/0!</v>
      </c>
      <c r="K148" s="2" t="e">
        <f t="shared" si="991"/>
        <v>#DIV/0!</v>
      </c>
      <c r="M148" s="8">
        <f t="shared" si="597"/>
        <v>1.2754958100017921E-2</v>
      </c>
      <c r="N148" s="2">
        <f t="shared" ref="N148:O148" si="992">1-_xlfn.NORM.S.DIST((LN($A148)-$M$31-O$31)/$N$31,TRUE)</f>
        <v>1.2754958100017921E-2</v>
      </c>
      <c r="O148" s="2">
        <f t="shared" si="992"/>
        <v>1.2754958100017921E-2</v>
      </c>
      <c r="Q148" s="8">
        <f t="shared" si="599"/>
        <v>9.6774193548387122E-2</v>
      </c>
      <c r="R148" s="2">
        <f t="shared" ref="R148:S148" si="993">1-(1/(1+($A148/($R$31*S$31))^(-$Q$31)))</f>
        <v>9.6774193548387122E-2</v>
      </c>
      <c r="S148" s="2">
        <f t="shared" si="993"/>
        <v>9.6774193548387122E-2</v>
      </c>
      <c r="U148" s="8">
        <f t="shared" si="601"/>
        <v>8.8426988659850991E-5</v>
      </c>
      <c r="V148" s="2">
        <f t="shared" ref="V148" si="994">1-(_xlfn.GAMMA.DIST($V$31*W$31*$A148,$U$31,1,TRUE)*EXP(GAMMALN($U$31)))/EXP(GAMMALN($U$31))</f>
        <v>8.8426988659850991E-5</v>
      </c>
      <c r="W148" s="2">
        <f t="shared" si="867"/>
        <v>8.8426988659850991E-5</v>
      </c>
      <c r="Y148" s="8">
        <f t="shared" si="603"/>
        <v>1.2754958100017921E-2</v>
      </c>
      <c r="Z148" s="2">
        <f t="shared" si="653"/>
        <v>1.2754958100017921E-2</v>
      </c>
      <c r="AA148" s="2">
        <f t="shared" si="654"/>
        <v>1.2754958100017921E-2</v>
      </c>
      <c r="AD148" s="8" t="e">
        <f t="shared" si="868"/>
        <v>#DIV/0!</v>
      </c>
      <c r="AE148" s="2" t="e">
        <f t="shared" si="604"/>
        <v>#DIV/0!</v>
      </c>
      <c r="AF148" s="2" t="e">
        <f t="shared" ref="AF148:AG148" si="995">EXP(-EXP($AD148+AG$31))</f>
        <v>#DIV/0!</v>
      </c>
      <c r="AG148" s="2" t="e">
        <f t="shared" si="995"/>
        <v>#DIV/0!</v>
      </c>
      <c r="AI148" s="8" t="e">
        <f t="shared" si="870"/>
        <v>#DIV/0!</v>
      </c>
      <c r="AJ148" s="2" t="e">
        <f t="shared" si="606"/>
        <v>#DIV/0!</v>
      </c>
      <c r="AK148" s="2" t="e">
        <f t="shared" ref="AK148:AL148" si="996">1-(EXP($AI148+AL$31)/(1 + EXP($AI148+AL$31)))</f>
        <v>#DIV/0!</v>
      </c>
      <c r="AL148" s="2" t="e">
        <f t="shared" si="996"/>
        <v>#DIV/0!</v>
      </c>
      <c r="AN148" s="8" t="e">
        <f t="shared" si="872"/>
        <v>#DIV/0!</v>
      </c>
      <c r="AO148" s="2" t="e">
        <f t="shared" si="608"/>
        <v>#DIV/0!</v>
      </c>
      <c r="AP148" s="2" t="e">
        <f t="shared" ref="AP148:AQ148" si="997">1-NORMSDIST($AN148+AQ$31)</f>
        <v>#DIV/0!</v>
      </c>
      <c r="AQ148" s="2" t="e">
        <f t="shared" si="997"/>
        <v>#DIV/0!</v>
      </c>
      <c r="AS148" s="8" t="e">
        <f t="shared" si="874"/>
        <v>#DIV/0!</v>
      </c>
      <c r="AT148" s="2" t="e">
        <f t="shared" si="610"/>
        <v>#DIV/0!</v>
      </c>
      <c r="AU148" s="2" t="e">
        <f t="shared" si="658"/>
        <v>#DIV/0!</v>
      </c>
      <c r="AV148" s="2" t="e">
        <f t="shared" si="659"/>
        <v>#DIV/0!</v>
      </c>
      <c r="AY148" s="8" t="e">
        <f t="shared" si="875"/>
        <v>#DIV/0!</v>
      </c>
      <c r="AZ148" s="2" t="e">
        <f t="shared" si="611"/>
        <v>#DIV/0!</v>
      </c>
      <c r="BA148" s="2" t="e">
        <f t="shared" si="660"/>
        <v>#DIV/0!</v>
      </c>
      <c r="BB148" s="2" t="e">
        <f t="shared" si="661"/>
        <v>#DIV/0!</v>
      </c>
      <c r="BE148" s="8" t="e">
        <f t="shared" si="876"/>
        <v>#DIV/0!</v>
      </c>
      <c r="BF148" s="2" t="e">
        <f t="shared" si="612"/>
        <v>#DIV/0!</v>
      </c>
      <c r="BG148" s="2" t="e">
        <f t="shared" si="613"/>
        <v>#DIV/0!</v>
      </c>
      <c r="BH148" s="2" t="e">
        <f t="shared" si="614"/>
        <v>#DIV/0!</v>
      </c>
    </row>
    <row r="149" spans="1:60" x14ac:dyDescent="0.2">
      <c r="A149" s="2">
        <f t="shared" si="647"/>
        <v>9.4166666666666643</v>
      </c>
      <c r="B149" s="2">
        <f t="shared" si="592"/>
        <v>8.1356757019016116E-5</v>
      </c>
      <c r="C149" s="2">
        <f t="shared" si="877"/>
        <v>8.1356757019016116E-5</v>
      </c>
      <c r="D149" s="2">
        <f t="shared" si="877"/>
        <v>8.1356757019016116E-5</v>
      </c>
      <c r="E149" s="8">
        <f t="shared" si="593"/>
        <v>8.1356757019016116E-5</v>
      </c>
      <c r="F149" s="2">
        <f t="shared" ref="F149:G149" si="998">EXP(-(($A149*$F$31*G$31)^$E$31))</f>
        <v>8.1356757019016116E-5</v>
      </c>
      <c r="G149" s="2">
        <f t="shared" si="998"/>
        <v>8.1356757019016116E-5</v>
      </c>
      <c r="I149" s="8" t="e">
        <f t="shared" si="595"/>
        <v>#DIV/0!</v>
      </c>
      <c r="J149" s="2" t="e">
        <f t="shared" ref="J149:K149" si="999">EXP(-(($J$31*K$31)/$I$31)*(EXP($I$31*$A149)-1))</f>
        <v>#DIV/0!</v>
      </c>
      <c r="K149" s="2" t="e">
        <f t="shared" si="999"/>
        <v>#DIV/0!</v>
      </c>
      <c r="M149" s="8">
        <f t="shared" si="597"/>
        <v>1.246514551347444E-2</v>
      </c>
      <c r="N149" s="2">
        <f t="shared" ref="N149:O149" si="1000">1-_xlfn.NORM.S.DIST((LN($A149)-$M$31-O$31)/$N$31,TRUE)</f>
        <v>1.246514551347444E-2</v>
      </c>
      <c r="O149" s="2">
        <f t="shared" si="1000"/>
        <v>1.246514551347444E-2</v>
      </c>
      <c r="Q149" s="8">
        <f t="shared" si="599"/>
        <v>9.5999999999999974E-2</v>
      </c>
      <c r="R149" s="2">
        <f t="shared" ref="R149:S149" si="1001">1-(1/(1+($A149/($R$31*S$31))^(-$Q$31)))</f>
        <v>9.5999999999999974E-2</v>
      </c>
      <c r="S149" s="2">
        <f t="shared" si="1001"/>
        <v>9.5999999999999974E-2</v>
      </c>
      <c r="U149" s="8">
        <f t="shared" si="601"/>
        <v>8.1356757019035442E-5</v>
      </c>
      <c r="V149" s="2">
        <f t="shared" ref="V149:W156" si="1002">1-(_xlfn.GAMMA.DIST($V$31*W$31*$A149,$U$31,1,TRUE)*EXP(GAMMALN($U$31)))/EXP(GAMMALN($U$31))</f>
        <v>8.1356757019035442E-5</v>
      </c>
      <c r="W149" s="2">
        <f t="shared" si="1002"/>
        <v>8.1356757019035442E-5</v>
      </c>
      <c r="Y149" s="8">
        <f t="shared" si="603"/>
        <v>1.246514551347444E-2</v>
      </c>
      <c r="Z149" s="2">
        <f t="shared" si="653"/>
        <v>1.246514551347444E-2</v>
      </c>
      <c r="AA149" s="2">
        <f t="shared" si="654"/>
        <v>1.246514551347444E-2</v>
      </c>
      <c r="AD149" s="8" t="e">
        <f t="shared" si="868"/>
        <v>#DIV/0!</v>
      </c>
      <c r="AE149" s="2" t="e">
        <f t="shared" si="604"/>
        <v>#DIV/0!</v>
      </c>
      <c r="AF149" s="2" t="e">
        <f t="shared" ref="AF149:AG149" si="1003">EXP(-EXP($AD149+AG$31))</f>
        <v>#DIV/0!</v>
      </c>
      <c r="AG149" s="2" t="e">
        <f t="shared" si="1003"/>
        <v>#DIV/0!</v>
      </c>
      <c r="AI149" s="8" t="e">
        <f t="shared" si="870"/>
        <v>#DIV/0!</v>
      </c>
      <c r="AJ149" s="2" t="e">
        <f t="shared" si="606"/>
        <v>#DIV/0!</v>
      </c>
      <c r="AK149" s="2" t="e">
        <f t="shared" ref="AK149:AL149" si="1004">1-(EXP($AI149+AL$31)/(1 + EXP($AI149+AL$31)))</f>
        <v>#DIV/0!</v>
      </c>
      <c r="AL149" s="2" t="e">
        <f t="shared" si="1004"/>
        <v>#DIV/0!</v>
      </c>
      <c r="AN149" s="8" t="e">
        <f t="shared" si="872"/>
        <v>#DIV/0!</v>
      </c>
      <c r="AO149" s="2" t="e">
        <f t="shared" si="608"/>
        <v>#DIV/0!</v>
      </c>
      <c r="AP149" s="2" t="e">
        <f t="shared" ref="AP149:AQ149" si="1005">1-NORMSDIST($AN149+AQ$31)</f>
        <v>#DIV/0!</v>
      </c>
      <c r="AQ149" s="2" t="e">
        <f t="shared" si="1005"/>
        <v>#DIV/0!</v>
      </c>
      <c r="AS149" s="8" t="e">
        <f t="shared" si="874"/>
        <v>#DIV/0!</v>
      </c>
      <c r="AT149" s="2" t="e">
        <f t="shared" si="610"/>
        <v>#DIV/0!</v>
      </c>
      <c r="AU149" s="2" t="e">
        <f t="shared" si="658"/>
        <v>#DIV/0!</v>
      </c>
      <c r="AV149" s="2" t="e">
        <f t="shared" si="659"/>
        <v>#DIV/0!</v>
      </c>
      <c r="AY149" s="8" t="e">
        <f t="shared" si="875"/>
        <v>#DIV/0!</v>
      </c>
      <c r="AZ149" s="2" t="e">
        <f t="shared" si="611"/>
        <v>#DIV/0!</v>
      </c>
      <c r="BA149" s="2" t="e">
        <f t="shared" si="660"/>
        <v>#DIV/0!</v>
      </c>
      <c r="BB149" s="2" t="e">
        <f t="shared" si="661"/>
        <v>#DIV/0!</v>
      </c>
      <c r="BE149" s="8" t="e">
        <f t="shared" si="876"/>
        <v>#DIV/0!</v>
      </c>
      <c r="BF149" s="2" t="e">
        <f t="shared" si="612"/>
        <v>#DIV/0!</v>
      </c>
      <c r="BG149" s="2" t="e">
        <f t="shared" si="613"/>
        <v>#DIV/0!</v>
      </c>
      <c r="BH149" s="2" t="e">
        <f t="shared" si="614"/>
        <v>#DIV/0!</v>
      </c>
    </row>
    <row r="150" spans="1:60" x14ac:dyDescent="0.2">
      <c r="A150" s="2">
        <f t="shared" si="647"/>
        <v>9.4999999999999982</v>
      </c>
      <c r="B150" s="2">
        <f t="shared" si="592"/>
        <v>7.485182988770072E-5</v>
      </c>
      <c r="C150" s="2">
        <f t="shared" si="877"/>
        <v>7.485182988770072E-5</v>
      </c>
      <c r="D150" s="2">
        <f t="shared" si="877"/>
        <v>7.485182988770072E-5</v>
      </c>
      <c r="E150" s="8">
        <f t="shared" si="593"/>
        <v>7.485182988770072E-5</v>
      </c>
      <c r="F150" s="2">
        <f t="shared" ref="F150:G150" si="1006">EXP(-(($A150*$F$31*G$31)^$E$31))</f>
        <v>7.485182988770072E-5</v>
      </c>
      <c r="G150" s="2">
        <f t="shared" si="1006"/>
        <v>7.485182988770072E-5</v>
      </c>
      <c r="I150" s="8" t="e">
        <f t="shared" si="595"/>
        <v>#DIV/0!</v>
      </c>
      <c r="J150" s="2" t="e">
        <f t="shared" ref="J150:K150" si="1007">EXP(-(($J$31*K$31)/$I$31)*(EXP($I$31*$A150)-1))</f>
        <v>#DIV/0!</v>
      </c>
      <c r="K150" s="2" t="e">
        <f t="shared" si="1007"/>
        <v>#DIV/0!</v>
      </c>
      <c r="M150" s="8">
        <f t="shared" si="597"/>
        <v>1.2183530956733302E-2</v>
      </c>
      <c r="N150" s="2">
        <f t="shared" ref="N150:O150" si="1008">1-_xlfn.NORM.S.DIST((LN($A150)-$M$31-O$31)/$N$31,TRUE)</f>
        <v>1.2183530956733302E-2</v>
      </c>
      <c r="O150" s="2">
        <f t="shared" si="1008"/>
        <v>1.2183530956733302E-2</v>
      </c>
      <c r="Q150" s="8">
        <f t="shared" si="599"/>
        <v>9.5238095238095344E-2</v>
      </c>
      <c r="R150" s="2">
        <f t="shared" ref="R150:S150" si="1009">1-(1/(1+($A150/($R$31*S$31))^(-$Q$31)))</f>
        <v>9.5238095238095344E-2</v>
      </c>
      <c r="S150" s="2">
        <f t="shared" si="1009"/>
        <v>9.5238095238095344E-2</v>
      </c>
      <c r="U150" s="8">
        <f t="shared" si="601"/>
        <v>7.4851829887645493E-5</v>
      </c>
      <c r="V150" s="2">
        <f t="shared" ref="V150" si="1010">1-(_xlfn.GAMMA.DIST($V$31*W$31*$A150,$U$31,1,TRUE)*EXP(GAMMALN($U$31)))/EXP(GAMMALN($U$31))</f>
        <v>7.4851829887645493E-5</v>
      </c>
      <c r="W150" s="2">
        <f t="shared" si="1002"/>
        <v>7.4851829887645493E-5</v>
      </c>
      <c r="Y150" s="8">
        <f t="shared" si="603"/>
        <v>1.2183530956733302E-2</v>
      </c>
      <c r="Z150" s="2">
        <f t="shared" si="653"/>
        <v>1.2183530956733302E-2</v>
      </c>
      <c r="AA150" s="2">
        <f t="shared" si="654"/>
        <v>1.2183530956733302E-2</v>
      </c>
      <c r="AD150" s="8" t="e">
        <f t="shared" si="868"/>
        <v>#DIV/0!</v>
      </c>
      <c r="AE150" s="2" t="e">
        <f t="shared" si="604"/>
        <v>#DIV/0!</v>
      </c>
      <c r="AF150" s="2" t="e">
        <f t="shared" ref="AF150:AG150" si="1011">EXP(-EXP($AD150+AG$31))</f>
        <v>#DIV/0!</v>
      </c>
      <c r="AG150" s="2" t="e">
        <f t="shared" si="1011"/>
        <v>#DIV/0!</v>
      </c>
      <c r="AI150" s="8" t="e">
        <f t="shared" si="870"/>
        <v>#DIV/0!</v>
      </c>
      <c r="AJ150" s="2" t="e">
        <f t="shared" si="606"/>
        <v>#DIV/0!</v>
      </c>
      <c r="AK150" s="2" t="e">
        <f t="shared" ref="AK150:AL150" si="1012">1-(EXP($AI150+AL$31)/(1 + EXP($AI150+AL$31)))</f>
        <v>#DIV/0!</v>
      </c>
      <c r="AL150" s="2" t="e">
        <f t="shared" si="1012"/>
        <v>#DIV/0!</v>
      </c>
      <c r="AN150" s="8" t="e">
        <f t="shared" si="872"/>
        <v>#DIV/0!</v>
      </c>
      <c r="AO150" s="2" t="e">
        <f t="shared" si="608"/>
        <v>#DIV/0!</v>
      </c>
      <c r="AP150" s="2" t="e">
        <f t="shared" ref="AP150:AQ150" si="1013">1-NORMSDIST($AN150+AQ$31)</f>
        <v>#DIV/0!</v>
      </c>
      <c r="AQ150" s="2" t="e">
        <f t="shared" si="1013"/>
        <v>#DIV/0!</v>
      </c>
      <c r="AS150" s="8" t="e">
        <f t="shared" si="874"/>
        <v>#DIV/0!</v>
      </c>
      <c r="AT150" s="2" t="e">
        <f t="shared" si="610"/>
        <v>#DIV/0!</v>
      </c>
      <c r="AU150" s="2" t="e">
        <f t="shared" si="658"/>
        <v>#DIV/0!</v>
      </c>
      <c r="AV150" s="2" t="e">
        <f t="shared" si="659"/>
        <v>#DIV/0!</v>
      </c>
      <c r="AY150" s="8" t="e">
        <f t="shared" si="875"/>
        <v>#DIV/0!</v>
      </c>
      <c r="AZ150" s="2" t="e">
        <f t="shared" si="611"/>
        <v>#DIV/0!</v>
      </c>
      <c r="BA150" s="2" t="e">
        <f t="shared" si="660"/>
        <v>#DIV/0!</v>
      </c>
      <c r="BB150" s="2" t="e">
        <f t="shared" si="661"/>
        <v>#DIV/0!</v>
      </c>
      <c r="BE150" s="8" t="e">
        <f t="shared" si="876"/>
        <v>#DIV/0!</v>
      </c>
      <c r="BF150" s="2" t="e">
        <f t="shared" si="612"/>
        <v>#DIV/0!</v>
      </c>
      <c r="BG150" s="2" t="e">
        <f t="shared" si="613"/>
        <v>#DIV/0!</v>
      </c>
      <c r="BH150" s="2" t="e">
        <f t="shared" si="614"/>
        <v>#DIV/0!</v>
      </c>
    </row>
    <row r="151" spans="1:60" x14ac:dyDescent="0.2">
      <c r="A151" s="2">
        <f t="shared" si="647"/>
        <v>9.5833333333333321</v>
      </c>
      <c r="B151" s="2">
        <f t="shared" si="592"/>
        <v>6.8867008012963248E-5</v>
      </c>
      <c r="C151" s="2">
        <f t="shared" si="877"/>
        <v>6.8867008012963248E-5</v>
      </c>
      <c r="D151" s="2">
        <f t="shared" si="877"/>
        <v>6.8867008012963248E-5</v>
      </c>
      <c r="E151" s="8">
        <f t="shared" si="593"/>
        <v>6.8867008012963248E-5</v>
      </c>
      <c r="F151" s="2">
        <f t="shared" ref="F151:G151" si="1014">EXP(-(($A151*$F$31*G$31)^$E$31))</f>
        <v>6.8867008012963248E-5</v>
      </c>
      <c r="G151" s="2">
        <f t="shared" si="1014"/>
        <v>6.8867008012963248E-5</v>
      </c>
      <c r="I151" s="8" t="e">
        <f t="shared" si="595"/>
        <v>#DIV/0!</v>
      </c>
      <c r="J151" s="2" t="e">
        <f t="shared" ref="J151:K151" si="1015">EXP(-(($J$31*K$31)/$I$31)*(EXP($I$31*$A151)-1))</f>
        <v>#DIV/0!</v>
      </c>
      <c r="K151" s="2" t="e">
        <f t="shared" si="1015"/>
        <v>#DIV/0!</v>
      </c>
      <c r="M151" s="8">
        <f t="shared" si="597"/>
        <v>1.1909834791890006E-2</v>
      </c>
      <c r="N151" s="2">
        <f t="shared" ref="N151:O151" si="1016">1-_xlfn.NORM.S.DIST((LN($A151)-$M$31-O$31)/$N$31,TRUE)</f>
        <v>1.1909834791890006E-2</v>
      </c>
      <c r="O151" s="2">
        <f t="shared" si="1016"/>
        <v>1.1909834791890006E-2</v>
      </c>
      <c r="Q151" s="8">
        <f t="shared" si="599"/>
        <v>9.4488188976378007E-2</v>
      </c>
      <c r="R151" s="2">
        <f t="shared" ref="R151:S151" si="1017">1-(1/(1+($A151/($R$31*S$31))^(-$Q$31)))</f>
        <v>9.4488188976378007E-2</v>
      </c>
      <c r="S151" s="2">
        <f t="shared" si="1017"/>
        <v>9.4488188976378007E-2</v>
      </c>
      <c r="U151" s="8">
        <f t="shared" si="601"/>
        <v>6.8867008013007158E-5</v>
      </c>
      <c r="V151" s="2">
        <f t="shared" ref="V151" si="1018">1-(_xlfn.GAMMA.DIST($V$31*W$31*$A151,$U$31,1,TRUE)*EXP(GAMMALN($U$31)))/EXP(GAMMALN($U$31))</f>
        <v>6.8867008013007158E-5</v>
      </c>
      <c r="W151" s="2">
        <f t="shared" si="1002"/>
        <v>6.8867008013007158E-5</v>
      </c>
      <c r="Y151" s="8">
        <f t="shared" si="603"/>
        <v>1.1909834791890006E-2</v>
      </c>
      <c r="Z151" s="2">
        <f t="shared" si="653"/>
        <v>1.1909834791890006E-2</v>
      </c>
      <c r="AA151" s="2">
        <f t="shared" si="654"/>
        <v>1.1909834791890006E-2</v>
      </c>
      <c r="AD151" s="8" t="e">
        <f t="shared" si="868"/>
        <v>#DIV/0!</v>
      </c>
      <c r="AE151" s="2" t="e">
        <f t="shared" si="604"/>
        <v>#DIV/0!</v>
      </c>
      <c r="AF151" s="2" t="e">
        <f t="shared" ref="AF151:AG151" si="1019">EXP(-EXP($AD151+AG$31))</f>
        <v>#DIV/0!</v>
      </c>
      <c r="AG151" s="2" t="e">
        <f t="shared" si="1019"/>
        <v>#DIV/0!</v>
      </c>
      <c r="AI151" s="8" t="e">
        <f t="shared" si="870"/>
        <v>#DIV/0!</v>
      </c>
      <c r="AJ151" s="2" t="e">
        <f t="shared" si="606"/>
        <v>#DIV/0!</v>
      </c>
      <c r="AK151" s="2" t="e">
        <f t="shared" ref="AK151:AL151" si="1020">1-(EXP($AI151+AL$31)/(1 + EXP($AI151+AL$31)))</f>
        <v>#DIV/0!</v>
      </c>
      <c r="AL151" s="2" t="e">
        <f t="shared" si="1020"/>
        <v>#DIV/0!</v>
      </c>
      <c r="AN151" s="8" t="e">
        <f t="shared" si="872"/>
        <v>#DIV/0!</v>
      </c>
      <c r="AO151" s="2" t="e">
        <f t="shared" si="608"/>
        <v>#DIV/0!</v>
      </c>
      <c r="AP151" s="2" t="e">
        <f t="shared" ref="AP151:AQ151" si="1021">1-NORMSDIST($AN151+AQ$31)</f>
        <v>#DIV/0!</v>
      </c>
      <c r="AQ151" s="2" t="e">
        <f t="shared" si="1021"/>
        <v>#DIV/0!</v>
      </c>
      <c r="AS151" s="8" t="e">
        <f t="shared" si="874"/>
        <v>#DIV/0!</v>
      </c>
      <c r="AT151" s="2" t="e">
        <f t="shared" si="610"/>
        <v>#DIV/0!</v>
      </c>
      <c r="AU151" s="2" t="e">
        <f t="shared" si="658"/>
        <v>#DIV/0!</v>
      </c>
      <c r="AV151" s="2" t="e">
        <f t="shared" si="659"/>
        <v>#DIV/0!</v>
      </c>
      <c r="AY151" s="8" t="e">
        <f t="shared" si="875"/>
        <v>#DIV/0!</v>
      </c>
      <c r="AZ151" s="2" t="e">
        <f t="shared" si="611"/>
        <v>#DIV/0!</v>
      </c>
      <c r="BA151" s="2" t="e">
        <f t="shared" si="660"/>
        <v>#DIV/0!</v>
      </c>
      <c r="BB151" s="2" t="e">
        <f t="shared" si="661"/>
        <v>#DIV/0!</v>
      </c>
      <c r="BE151" s="8" t="e">
        <f t="shared" si="876"/>
        <v>#DIV/0!</v>
      </c>
      <c r="BF151" s="2" t="e">
        <f t="shared" si="612"/>
        <v>#DIV/0!</v>
      </c>
      <c r="BG151" s="2" t="e">
        <f t="shared" si="613"/>
        <v>#DIV/0!</v>
      </c>
      <c r="BH151" s="2" t="e">
        <f t="shared" si="614"/>
        <v>#DIV/0!</v>
      </c>
    </row>
    <row r="152" spans="1:60" x14ac:dyDescent="0.2">
      <c r="A152" s="2">
        <f t="shared" si="647"/>
        <v>9.6666666666666661</v>
      </c>
      <c r="B152" s="2">
        <f t="shared" si="592"/>
        <v>6.3360706074559649E-5</v>
      </c>
      <c r="C152" s="2">
        <f t="shared" si="877"/>
        <v>6.3360706074559649E-5</v>
      </c>
      <c r="D152" s="2">
        <f t="shared" si="877"/>
        <v>6.3360706074559649E-5</v>
      </c>
      <c r="E152" s="8">
        <f t="shared" si="593"/>
        <v>6.3360706074559649E-5</v>
      </c>
      <c r="F152" s="2">
        <f t="shared" ref="F152:G152" si="1022">EXP(-(($A152*$F$31*G$31)^$E$31))</f>
        <v>6.3360706074559649E-5</v>
      </c>
      <c r="G152" s="2">
        <f t="shared" si="1022"/>
        <v>6.3360706074559649E-5</v>
      </c>
      <c r="I152" s="8" t="e">
        <f t="shared" si="595"/>
        <v>#DIV/0!</v>
      </c>
      <c r="J152" s="2" t="e">
        <f t="shared" ref="J152:K152" si="1023">EXP(-(($J$31*K$31)/$I$31)*(EXP($I$31*$A152)-1))</f>
        <v>#DIV/0!</v>
      </c>
      <c r="K152" s="2" t="e">
        <f t="shared" si="1023"/>
        <v>#DIV/0!</v>
      </c>
      <c r="M152" s="8">
        <f t="shared" si="597"/>
        <v>1.1643788596800708E-2</v>
      </c>
      <c r="N152" s="2">
        <f t="shared" ref="N152:O152" si="1024">1-_xlfn.NORM.S.DIST((LN($A152)-$M$31-O$31)/$N$31,TRUE)</f>
        <v>1.1643788596800708E-2</v>
      </c>
      <c r="O152" s="2">
        <f t="shared" si="1024"/>
        <v>1.1643788596800708E-2</v>
      </c>
      <c r="Q152" s="8">
        <f t="shared" si="599"/>
        <v>9.375E-2</v>
      </c>
      <c r="R152" s="2">
        <f t="shared" ref="R152:S152" si="1025">1-(1/(1+($A152/($R$31*S$31))^(-$Q$31)))</f>
        <v>9.375E-2</v>
      </c>
      <c r="S152" s="2">
        <f t="shared" si="1025"/>
        <v>9.375E-2</v>
      </c>
      <c r="U152" s="8">
        <f t="shared" si="601"/>
        <v>6.3360706074599982E-5</v>
      </c>
      <c r="V152" s="2">
        <f t="shared" ref="V152" si="1026">1-(_xlfn.GAMMA.DIST($V$31*W$31*$A152,$U$31,1,TRUE)*EXP(GAMMALN($U$31)))/EXP(GAMMALN($U$31))</f>
        <v>6.3360706074599982E-5</v>
      </c>
      <c r="W152" s="2">
        <f t="shared" si="1002"/>
        <v>6.3360706074599982E-5</v>
      </c>
      <c r="Y152" s="8">
        <f t="shared" si="603"/>
        <v>1.1643788596800708E-2</v>
      </c>
      <c r="Z152" s="2">
        <f t="shared" si="653"/>
        <v>1.1643788596800708E-2</v>
      </c>
      <c r="AA152" s="2">
        <f t="shared" si="654"/>
        <v>1.1643788596800708E-2</v>
      </c>
      <c r="AD152" s="8" t="e">
        <f t="shared" si="868"/>
        <v>#DIV/0!</v>
      </c>
      <c r="AE152" s="2" t="e">
        <f t="shared" si="604"/>
        <v>#DIV/0!</v>
      </c>
      <c r="AF152" s="2" t="e">
        <f t="shared" ref="AF152:AG152" si="1027">EXP(-EXP($AD152+AG$31))</f>
        <v>#DIV/0!</v>
      </c>
      <c r="AG152" s="2" t="e">
        <f t="shared" si="1027"/>
        <v>#DIV/0!</v>
      </c>
      <c r="AI152" s="8" t="e">
        <f t="shared" si="870"/>
        <v>#DIV/0!</v>
      </c>
      <c r="AJ152" s="2" t="e">
        <f t="shared" si="606"/>
        <v>#DIV/0!</v>
      </c>
      <c r="AK152" s="2" t="e">
        <f t="shared" ref="AK152:AL152" si="1028">1-(EXP($AI152+AL$31)/(1 + EXP($AI152+AL$31)))</f>
        <v>#DIV/0!</v>
      </c>
      <c r="AL152" s="2" t="e">
        <f t="shared" si="1028"/>
        <v>#DIV/0!</v>
      </c>
      <c r="AN152" s="8" t="e">
        <f t="shared" si="872"/>
        <v>#DIV/0!</v>
      </c>
      <c r="AO152" s="2" t="e">
        <f t="shared" si="608"/>
        <v>#DIV/0!</v>
      </c>
      <c r="AP152" s="2" t="e">
        <f t="shared" ref="AP152:AQ152" si="1029">1-NORMSDIST($AN152+AQ$31)</f>
        <v>#DIV/0!</v>
      </c>
      <c r="AQ152" s="2" t="e">
        <f t="shared" si="1029"/>
        <v>#DIV/0!</v>
      </c>
      <c r="AS152" s="8" t="e">
        <f t="shared" si="874"/>
        <v>#DIV/0!</v>
      </c>
      <c r="AT152" s="2" t="e">
        <f t="shared" si="610"/>
        <v>#DIV/0!</v>
      </c>
      <c r="AU152" s="2" t="e">
        <f t="shared" si="658"/>
        <v>#DIV/0!</v>
      </c>
      <c r="AV152" s="2" t="e">
        <f t="shared" si="659"/>
        <v>#DIV/0!</v>
      </c>
      <c r="AY152" s="8" t="e">
        <f t="shared" si="875"/>
        <v>#DIV/0!</v>
      </c>
      <c r="AZ152" s="2" t="e">
        <f t="shared" si="611"/>
        <v>#DIV/0!</v>
      </c>
      <c r="BA152" s="2" t="e">
        <f t="shared" si="660"/>
        <v>#DIV/0!</v>
      </c>
      <c r="BB152" s="2" t="e">
        <f t="shared" si="661"/>
        <v>#DIV/0!</v>
      </c>
      <c r="BE152" s="8" t="e">
        <f t="shared" si="876"/>
        <v>#DIV/0!</v>
      </c>
      <c r="BF152" s="2" t="e">
        <f t="shared" si="612"/>
        <v>#DIV/0!</v>
      </c>
      <c r="BG152" s="2" t="e">
        <f t="shared" si="613"/>
        <v>#DIV/0!</v>
      </c>
      <c r="BH152" s="2" t="e">
        <f t="shared" si="614"/>
        <v>#DIV/0!</v>
      </c>
    </row>
    <row r="153" spans="1:60" x14ac:dyDescent="0.2">
      <c r="A153" s="2">
        <f t="shared" si="647"/>
        <v>9.75</v>
      </c>
      <c r="B153" s="2">
        <f t="shared" si="592"/>
        <v>5.8294663730868811E-5</v>
      </c>
      <c r="C153" s="2">
        <f t="shared" si="877"/>
        <v>5.8294663730868811E-5</v>
      </c>
      <c r="D153" s="2">
        <f t="shared" si="877"/>
        <v>5.8294663730868811E-5</v>
      </c>
      <c r="E153" s="8">
        <f t="shared" si="593"/>
        <v>5.8294663730868811E-5</v>
      </c>
      <c r="F153" s="2">
        <f t="shared" ref="F153:G153" si="1030">EXP(-(($A153*$F$31*G$31)^$E$31))</f>
        <v>5.8294663730868811E-5</v>
      </c>
      <c r="G153" s="2">
        <f t="shared" si="1030"/>
        <v>5.8294663730868811E-5</v>
      </c>
      <c r="I153" s="8" t="e">
        <f t="shared" si="595"/>
        <v>#DIV/0!</v>
      </c>
      <c r="J153" s="2" t="e">
        <f t="shared" ref="J153:K153" si="1031">EXP(-(($J$31*K$31)/$I$31)*(EXP($I$31*$A153)-1))</f>
        <v>#DIV/0!</v>
      </c>
      <c r="K153" s="2" t="e">
        <f t="shared" si="1031"/>
        <v>#DIV/0!</v>
      </c>
      <c r="M153" s="8">
        <f t="shared" si="597"/>
        <v>1.138513464670976E-2</v>
      </c>
      <c r="N153" s="2">
        <f t="shared" ref="N153:O153" si="1032">1-_xlfn.NORM.S.DIST((LN($A153)-$M$31-O$31)/$N$31,TRUE)</f>
        <v>1.138513464670976E-2</v>
      </c>
      <c r="O153" s="2">
        <f t="shared" si="1032"/>
        <v>1.138513464670976E-2</v>
      </c>
      <c r="Q153" s="8">
        <f t="shared" si="599"/>
        <v>9.3023255813953543E-2</v>
      </c>
      <c r="R153" s="2">
        <f t="shared" ref="R153:S153" si="1033">1-(1/(1+($A153/($R$31*S$31))^(-$Q$31)))</f>
        <v>9.3023255813953543E-2</v>
      </c>
      <c r="S153" s="2">
        <f t="shared" si="1033"/>
        <v>9.3023255813953543E-2</v>
      </c>
      <c r="U153" s="8">
        <f t="shared" si="601"/>
        <v>5.8294663730862339E-5</v>
      </c>
      <c r="V153" s="2">
        <f t="shared" ref="V153" si="1034">1-(_xlfn.GAMMA.DIST($V$31*W$31*$A153,$U$31,1,TRUE)*EXP(GAMMALN($U$31)))/EXP(GAMMALN($U$31))</f>
        <v>5.8294663730862339E-5</v>
      </c>
      <c r="W153" s="2">
        <f t="shared" si="1002"/>
        <v>5.8294663730862339E-5</v>
      </c>
      <c r="Y153" s="8">
        <f t="shared" si="603"/>
        <v>1.138513464670976E-2</v>
      </c>
      <c r="Z153" s="2">
        <f t="shared" si="653"/>
        <v>1.138513464670976E-2</v>
      </c>
      <c r="AA153" s="2">
        <f t="shared" si="654"/>
        <v>1.138513464670976E-2</v>
      </c>
      <c r="AD153" s="8" t="e">
        <f t="shared" si="868"/>
        <v>#DIV/0!</v>
      </c>
      <c r="AE153" s="2" t="e">
        <f t="shared" si="604"/>
        <v>#DIV/0!</v>
      </c>
      <c r="AF153" s="2" t="e">
        <f t="shared" ref="AF153:AG153" si="1035">EXP(-EXP($AD153+AG$31))</f>
        <v>#DIV/0!</v>
      </c>
      <c r="AG153" s="2" t="e">
        <f t="shared" si="1035"/>
        <v>#DIV/0!</v>
      </c>
      <c r="AI153" s="8" t="e">
        <f t="shared" si="870"/>
        <v>#DIV/0!</v>
      </c>
      <c r="AJ153" s="2" t="e">
        <f t="shared" si="606"/>
        <v>#DIV/0!</v>
      </c>
      <c r="AK153" s="2" t="e">
        <f t="shared" ref="AK153:AL153" si="1036">1-(EXP($AI153+AL$31)/(1 + EXP($AI153+AL$31)))</f>
        <v>#DIV/0!</v>
      </c>
      <c r="AL153" s="2" t="e">
        <f t="shared" si="1036"/>
        <v>#DIV/0!</v>
      </c>
      <c r="AN153" s="8" t="e">
        <f t="shared" si="872"/>
        <v>#DIV/0!</v>
      </c>
      <c r="AO153" s="2" t="e">
        <f t="shared" si="608"/>
        <v>#DIV/0!</v>
      </c>
      <c r="AP153" s="2" t="e">
        <f t="shared" ref="AP153:AQ153" si="1037">1-NORMSDIST($AN153+AQ$31)</f>
        <v>#DIV/0!</v>
      </c>
      <c r="AQ153" s="2" t="e">
        <f t="shared" si="1037"/>
        <v>#DIV/0!</v>
      </c>
      <c r="AS153" s="8" t="e">
        <f t="shared" si="874"/>
        <v>#DIV/0!</v>
      </c>
      <c r="AT153" s="2" t="e">
        <f t="shared" si="610"/>
        <v>#DIV/0!</v>
      </c>
      <c r="AU153" s="2" t="e">
        <f t="shared" si="658"/>
        <v>#DIV/0!</v>
      </c>
      <c r="AV153" s="2" t="e">
        <f t="shared" si="659"/>
        <v>#DIV/0!</v>
      </c>
      <c r="AY153" s="8" t="e">
        <f t="shared" si="875"/>
        <v>#DIV/0!</v>
      </c>
      <c r="AZ153" s="2" t="e">
        <f t="shared" si="611"/>
        <v>#DIV/0!</v>
      </c>
      <c r="BA153" s="2" t="e">
        <f t="shared" si="660"/>
        <v>#DIV/0!</v>
      </c>
      <c r="BB153" s="2" t="e">
        <f t="shared" si="661"/>
        <v>#DIV/0!</v>
      </c>
      <c r="BE153" s="8" t="e">
        <f t="shared" si="876"/>
        <v>#DIV/0!</v>
      </c>
      <c r="BF153" s="2" t="e">
        <f t="shared" si="612"/>
        <v>#DIV/0!</v>
      </c>
      <c r="BG153" s="2" t="e">
        <f t="shared" si="613"/>
        <v>#DIV/0!</v>
      </c>
      <c r="BH153" s="2" t="e">
        <f t="shared" si="614"/>
        <v>#DIV/0!</v>
      </c>
    </row>
    <row r="154" spans="1:60" x14ac:dyDescent="0.2">
      <c r="A154" s="2">
        <f t="shared" si="647"/>
        <v>9.8333333333333339</v>
      </c>
      <c r="B154" s="2">
        <f t="shared" si="592"/>
        <v>5.3633679768280402E-5</v>
      </c>
      <c r="C154" s="2">
        <f t="shared" si="877"/>
        <v>5.3633679768280402E-5</v>
      </c>
      <c r="D154" s="2">
        <f t="shared" si="877"/>
        <v>5.3633679768280402E-5</v>
      </c>
      <c r="E154" s="8">
        <f t="shared" si="593"/>
        <v>5.3633679768280402E-5</v>
      </c>
      <c r="F154" s="2">
        <f t="shared" ref="F154:G154" si="1038">EXP(-(($A154*$F$31*G$31)^$E$31))</f>
        <v>5.3633679768280402E-5</v>
      </c>
      <c r="G154" s="2">
        <f t="shared" si="1038"/>
        <v>5.3633679768280402E-5</v>
      </c>
      <c r="I154" s="8" t="e">
        <f t="shared" si="595"/>
        <v>#DIV/0!</v>
      </c>
      <c r="J154" s="2" t="e">
        <f t="shared" ref="J154:K154" si="1039">EXP(-(($J$31*K$31)/$I$31)*(EXP($I$31*$A154)-1))</f>
        <v>#DIV/0!</v>
      </c>
      <c r="K154" s="2" t="e">
        <f t="shared" si="1039"/>
        <v>#DIV/0!</v>
      </c>
      <c r="M154" s="8">
        <f t="shared" si="597"/>
        <v>1.113362542303642E-2</v>
      </c>
      <c r="N154" s="2">
        <f t="shared" ref="N154:O154" si="1040">1-_xlfn.NORM.S.DIST((LN($A154)-$M$31-O$31)/$N$31,TRUE)</f>
        <v>1.113362542303642E-2</v>
      </c>
      <c r="O154" s="2">
        <f t="shared" si="1040"/>
        <v>1.113362542303642E-2</v>
      </c>
      <c r="Q154" s="8">
        <f t="shared" si="599"/>
        <v>9.2307692307692313E-2</v>
      </c>
      <c r="R154" s="2">
        <f t="shared" ref="R154:S154" si="1041">1-(1/(1+($A154/($R$31*S$31))^(-$Q$31)))</f>
        <v>9.2307692307692313E-2</v>
      </c>
      <c r="S154" s="2">
        <f t="shared" si="1041"/>
        <v>9.2307692307692313E-2</v>
      </c>
      <c r="U154" s="8">
        <f t="shared" si="601"/>
        <v>5.3633679768294584E-5</v>
      </c>
      <c r="V154" s="2">
        <f t="shared" ref="V154" si="1042">1-(_xlfn.GAMMA.DIST($V$31*W$31*$A154,$U$31,1,TRUE)*EXP(GAMMALN($U$31)))/EXP(GAMMALN($U$31))</f>
        <v>5.3633679768294584E-5</v>
      </c>
      <c r="W154" s="2">
        <f t="shared" si="1002"/>
        <v>5.3633679768294584E-5</v>
      </c>
      <c r="Y154" s="8">
        <f t="shared" si="603"/>
        <v>1.113362542303642E-2</v>
      </c>
      <c r="Z154" s="2">
        <f t="shared" si="653"/>
        <v>1.113362542303642E-2</v>
      </c>
      <c r="AA154" s="2">
        <f t="shared" si="654"/>
        <v>1.113362542303642E-2</v>
      </c>
      <c r="AD154" s="8" t="e">
        <f t="shared" si="868"/>
        <v>#DIV/0!</v>
      </c>
      <c r="AE154" s="2" t="e">
        <f t="shared" si="604"/>
        <v>#DIV/0!</v>
      </c>
      <c r="AF154" s="2" t="e">
        <f t="shared" ref="AF154:AG154" si="1043">EXP(-EXP($AD154+AG$31))</f>
        <v>#DIV/0!</v>
      </c>
      <c r="AG154" s="2" t="e">
        <f t="shared" si="1043"/>
        <v>#DIV/0!</v>
      </c>
      <c r="AI154" s="8" t="e">
        <f t="shared" si="870"/>
        <v>#DIV/0!</v>
      </c>
      <c r="AJ154" s="2" t="e">
        <f t="shared" si="606"/>
        <v>#DIV/0!</v>
      </c>
      <c r="AK154" s="2" t="e">
        <f t="shared" ref="AK154:AL154" si="1044">1-(EXP($AI154+AL$31)/(1 + EXP($AI154+AL$31)))</f>
        <v>#DIV/0!</v>
      </c>
      <c r="AL154" s="2" t="e">
        <f t="shared" si="1044"/>
        <v>#DIV/0!</v>
      </c>
      <c r="AN154" s="8" t="e">
        <f t="shared" si="872"/>
        <v>#DIV/0!</v>
      </c>
      <c r="AO154" s="2" t="e">
        <f t="shared" si="608"/>
        <v>#DIV/0!</v>
      </c>
      <c r="AP154" s="2" t="e">
        <f t="shared" ref="AP154:AQ154" si="1045">1-NORMSDIST($AN154+AQ$31)</f>
        <v>#DIV/0!</v>
      </c>
      <c r="AQ154" s="2" t="e">
        <f t="shared" si="1045"/>
        <v>#DIV/0!</v>
      </c>
      <c r="AS154" s="8" t="e">
        <f t="shared" si="874"/>
        <v>#DIV/0!</v>
      </c>
      <c r="AT154" s="2" t="e">
        <f t="shared" si="610"/>
        <v>#DIV/0!</v>
      </c>
      <c r="AU154" s="2" t="e">
        <f t="shared" si="658"/>
        <v>#DIV/0!</v>
      </c>
      <c r="AV154" s="2" t="e">
        <f t="shared" si="659"/>
        <v>#DIV/0!</v>
      </c>
      <c r="AY154" s="8" t="e">
        <f t="shared" si="875"/>
        <v>#DIV/0!</v>
      </c>
      <c r="AZ154" s="2" t="e">
        <f t="shared" si="611"/>
        <v>#DIV/0!</v>
      </c>
      <c r="BA154" s="2" t="e">
        <f t="shared" si="660"/>
        <v>#DIV/0!</v>
      </c>
      <c r="BB154" s="2" t="e">
        <f t="shared" si="661"/>
        <v>#DIV/0!</v>
      </c>
      <c r="BE154" s="8" t="e">
        <f t="shared" si="876"/>
        <v>#DIV/0!</v>
      </c>
      <c r="BF154" s="2" t="e">
        <f t="shared" si="612"/>
        <v>#DIV/0!</v>
      </c>
      <c r="BG154" s="2" t="e">
        <f t="shared" si="613"/>
        <v>#DIV/0!</v>
      </c>
      <c r="BH154" s="2" t="e">
        <f t="shared" si="614"/>
        <v>#DIV/0!</v>
      </c>
    </row>
    <row r="155" spans="1:60" x14ac:dyDescent="0.2">
      <c r="A155" s="2">
        <f t="shared" si="647"/>
        <v>9.9166666666666679</v>
      </c>
      <c r="B155" s="2">
        <f t="shared" si="592"/>
        <v>4.9345367506824088E-5</v>
      </c>
      <c r="C155" s="2">
        <f t="shared" si="877"/>
        <v>4.9345367506824088E-5</v>
      </c>
      <c r="D155" s="2">
        <f t="shared" si="877"/>
        <v>4.9345367506824088E-5</v>
      </c>
      <c r="E155" s="8">
        <f t="shared" si="593"/>
        <v>4.9345367506824088E-5</v>
      </c>
      <c r="F155" s="2">
        <f t="shared" ref="F155:G155" si="1046">EXP(-(($A155*$F$31*G$31)^$E$31))</f>
        <v>4.9345367506824088E-5</v>
      </c>
      <c r="G155" s="2">
        <f t="shared" si="1046"/>
        <v>4.9345367506824088E-5</v>
      </c>
      <c r="I155" s="8" t="e">
        <f t="shared" si="595"/>
        <v>#DIV/0!</v>
      </c>
      <c r="J155" s="2" t="e">
        <f t="shared" ref="J155:K155" si="1047">EXP(-(($J$31*K$31)/$I$31)*(EXP($I$31*$A155)-1))</f>
        <v>#DIV/0!</v>
      </c>
      <c r="K155" s="2" t="e">
        <f t="shared" si="1047"/>
        <v>#DIV/0!</v>
      </c>
      <c r="M155" s="8">
        <f t="shared" si="597"/>
        <v>1.0889023147729326E-2</v>
      </c>
      <c r="N155" s="2">
        <f t="shared" ref="N155:O155" si="1048">1-_xlfn.NORM.S.DIST((LN($A155)-$M$31-O$31)/$N$31,TRUE)</f>
        <v>1.0889023147729326E-2</v>
      </c>
      <c r="O155" s="2">
        <f t="shared" si="1048"/>
        <v>1.0889023147729326E-2</v>
      </c>
      <c r="Q155" s="8">
        <f t="shared" si="599"/>
        <v>9.1603053435114545E-2</v>
      </c>
      <c r="R155" s="2">
        <f t="shared" ref="R155:S155" si="1049">1-(1/(1+($A155/($R$31*S$31))^(-$Q$31)))</f>
        <v>9.1603053435114545E-2</v>
      </c>
      <c r="S155" s="2">
        <f t="shared" si="1049"/>
        <v>9.1603053435114545E-2</v>
      </c>
      <c r="U155" s="8">
        <f t="shared" si="601"/>
        <v>4.9345367506781201E-5</v>
      </c>
      <c r="V155" s="2">
        <f t="shared" ref="V155" si="1050">1-(_xlfn.GAMMA.DIST($V$31*W$31*$A155,$U$31,1,TRUE)*EXP(GAMMALN($U$31)))/EXP(GAMMALN($U$31))</f>
        <v>4.9345367506781201E-5</v>
      </c>
      <c r="W155" s="2">
        <f t="shared" si="1002"/>
        <v>4.9345367506781201E-5</v>
      </c>
      <c r="Y155" s="8">
        <f t="shared" si="603"/>
        <v>1.0889023147729326E-2</v>
      </c>
      <c r="Z155" s="2">
        <f t="shared" si="653"/>
        <v>1.0889023147729326E-2</v>
      </c>
      <c r="AA155" s="2">
        <f t="shared" si="654"/>
        <v>1.0889023147729326E-2</v>
      </c>
      <c r="AD155" s="8" t="e">
        <f t="shared" si="868"/>
        <v>#DIV/0!</v>
      </c>
      <c r="AE155" s="2" t="e">
        <f t="shared" si="604"/>
        <v>#DIV/0!</v>
      </c>
      <c r="AF155" s="2" t="e">
        <f t="shared" ref="AF155:AG155" si="1051">EXP(-EXP($AD155+AG$31))</f>
        <v>#DIV/0!</v>
      </c>
      <c r="AG155" s="2" t="e">
        <f t="shared" si="1051"/>
        <v>#DIV/0!</v>
      </c>
      <c r="AI155" s="8" t="e">
        <f t="shared" si="870"/>
        <v>#DIV/0!</v>
      </c>
      <c r="AJ155" s="2" t="e">
        <f t="shared" si="606"/>
        <v>#DIV/0!</v>
      </c>
      <c r="AK155" s="2" t="e">
        <f t="shared" ref="AK155:AL155" si="1052">1-(EXP($AI155+AL$31)/(1 + EXP($AI155+AL$31)))</f>
        <v>#DIV/0!</v>
      </c>
      <c r="AL155" s="2" t="e">
        <f t="shared" si="1052"/>
        <v>#DIV/0!</v>
      </c>
      <c r="AN155" s="8" t="e">
        <f t="shared" si="872"/>
        <v>#DIV/0!</v>
      </c>
      <c r="AO155" s="2" t="e">
        <f t="shared" si="608"/>
        <v>#DIV/0!</v>
      </c>
      <c r="AP155" s="2" t="e">
        <f t="shared" ref="AP155:AQ155" si="1053">1-NORMSDIST($AN155+AQ$31)</f>
        <v>#DIV/0!</v>
      </c>
      <c r="AQ155" s="2" t="e">
        <f t="shared" si="1053"/>
        <v>#DIV/0!</v>
      </c>
      <c r="AS155" s="8" t="e">
        <f t="shared" si="874"/>
        <v>#DIV/0!</v>
      </c>
      <c r="AT155" s="2" t="e">
        <f t="shared" si="610"/>
        <v>#DIV/0!</v>
      </c>
      <c r="AU155" s="2" t="e">
        <f t="shared" si="658"/>
        <v>#DIV/0!</v>
      </c>
      <c r="AV155" s="2" t="e">
        <f t="shared" si="659"/>
        <v>#DIV/0!</v>
      </c>
      <c r="AY155" s="8" t="e">
        <f t="shared" si="875"/>
        <v>#DIV/0!</v>
      </c>
      <c r="AZ155" s="2" t="e">
        <f t="shared" si="611"/>
        <v>#DIV/0!</v>
      </c>
      <c r="BA155" s="2" t="e">
        <f t="shared" si="660"/>
        <v>#DIV/0!</v>
      </c>
      <c r="BB155" s="2" t="e">
        <f t="shared" si="661"/>
        <v>#DIV/0!</v>
      </c>
      <c r="BE155" s="8" t="e">
        <f t="shared" si="876"/>
        <v>#DIV/0!</v>
      </c>
      <c r="BF155" s="2" t="e">
        <f t="shared" si="612"/>
        <v>#DIV/0!</v>
      </c>
      <c r="BG155" s="2" t="e">
        <f t="shared" si="613"/>
        <v>#DIV/0!</v>
      </c>
      <c r="BH155" s="2" t="e">
        <f t="shared" si="614"/>
        <v>#DIV/0!</v>
      </c>
    </row>
    <row r="156" spans="1:60" x14ac:dyDescent="0.2">
      <c r="A156" s="2">
        <f t="shared" si="647"/>
        <v>10.000000000000002</v>
      </c>
      <c r="B156" s="2">
        <f t="shared" si="592"/>
        <v>4.5399929762484773E-5</v>
      </c>
      <c r="C156" s="2">
        <f t="shared" si="877"/>
        <v>4.5399929762484773E-5</v>
      </c>
      <c r="D156" s="2">
        <f t="shared" si="877"/>
        <v>4.5399929762484773E-5</v>
      </c>
      <c r="E156" s="8">
        <f t="shared" si="593"/>
        <v>4.5399929762484773E-5</v>
      </c>
      <c r="F156" s="2">
        <f t="shared" ref="F156:G156" si="1054">EXP(-(($A156*$F$31*G$31)^$E$31))</f>
        <v>4.5399929762484773E-5</v>
      </c>
      <c r="G156" s="2">
        <f t="shared" si="1054"/>
        <v>4.5399929762484773E-5</v>
      </c>
      <c r="I156" s="8" t="e">
        <f t="shared" si="595"/>
        <v>#DIV/0!</v>
      </c>
      <c r="J156" s="2" t="e">
        <f t="shared" ref="J156:K156" si="1055">EXP(-(($J$31*K$31)/$I$31)*(EXP($I$31*$A156)-1))</f>
        <v>#DIV/0!</v>
      </c>
      <c r="K156" s="2" t="e">
        <f t="shared" si="1055"/>
        <v>#DIV/0!</v>
      </c>
      <c r="M156" s="8">
        <f t="shared" si="597"/>
        <v>1.0651099341700165E-2</v>
      </c>
      <c r="N156" s="2">
        <f t="shared" ref="N156:O156" si="1056">1-_xlfn.NORM.S.DIST((LN($A156)-$M$31-O$31)/$N$31,TRUE)</f>
        <v>1.0651099341700165E-2</v>
      </c>
      <c r="O156" s="2">
        <f t="shared" si="1056"/>
        <v>1.0651099341700165E-2</v>
      </c>
      <c r="Q156" s="8">
        <f t="shared" si="599"/>
        <v>9.0909090909090939E-2</v>
      </c>
      <c r="R156" s="2">
        <f t="shared" ref="R156:S156" si="1057">1-(1/(1+($A156/($R$31*S$31))^(-$Q$31)))</f>
        <v>9.0909090909090939E-2</v>
      </c>
      <c r="S156" s="2">
        <f t="shared" si="1057"/>
        <v>9.0909090909090939E-2</v>
      </c>
      <c r="U156" s="8">
        <f t="shared" si="601"/>
        <v>4.5399929762490743E-5</v>
      </c>
      <c r="V156" s="2">
        <f t="shared" ref="V156" si="1058">1-(_xlfn.GAMMA.DIST($V$31*W$31*$A156,$U$31,1,TRUE)*EXP(GAMMALN($U$31)))/EXP(GAMMALN($U$31))</f>
        <v>4.5399929762490743E-5</v>
      </c>
      <c r="W156" s="2">
        <f t="shared" si="1002"/>
        <v>4.5399929762490743E-5</v>
      </c>
      <c r="Y156" s="8">
        <f t="shared" si="603"/>
        <v>1.0651099341700165E-2</v>
      </c>
      <c r="Z156" s="2">
        <f t="shared" si="653"/>
        <v>1.0651099341700165E-2</v>
      </c>
      <c r="AA156" s="2">
        <f t="shared" si="654"/>
        <v>1.0651099341700165E-2</v>
      </c>
      <c r="AD156" s="8" t="e">
        <f t="shared" si="868"/>
        <v>#DIV/0!</v>
      </c>
      <c r="AE156" s="2" t="e">
        <f t="shared" si="604"/>
        <v>#DIV/0!</v>
      </c>
      <c r="AF156" s="2" t="e">
        <f t="shared" ref="AF156:AG156" si="1059">EXP(-EXP($AD156+AG$31))</f>
        <v>#DIV/0!</v>
      </c>
      <c r="AG156" s="2" t="e">
        <f t="shared" si="1059"/>
        <v>#DIV/0!</v>
      </c>
      <c r="AI156" s="8" t="e">
        <f t="shared" si="870"/>
        <v>#DIV/0!</v>
      </c>
      <c r="AJ156" s="2" t="e">
        <f t="shared" si="606"/>
        <v>#DIV/0!</v>
      </c>
      <c r="AK156" s="2" t="e">
        <f t="shared" ref="AK156:AL156" si="1060">1-(EXP($AI156+AL$31)/(1 + EXP($AI156+AL$31)))</f>
        <v>#DIV/0!</v>
      </c>
      <c r="AL156" s="2" t="e">
        <f t="shared" si="1060"/>
        <v>#DIV/0!</v>
      </c>
      <c r="AN156" s="8" t="e">
        <f t="shared" si="872"/>
        <v>#DIV/0!</v>
      </c>
      <c r="AO156" s="2" t="e">
        <f t="shared" si="608"/>
        <v>#DIV/0!</v>
      </c>
      <c r="AP156" s="2" t="e">
        <f t="shared" ref="AP156:AQ156" si="1061">1-NORMSDIST($AN156+AQ$31)</f>
        <v>#DIV/0!</v>
      </c>
      <c r="AQ156" s="2" t="e">
        <f t="shared" si="1061"/>
        <v>#DIV/0!</v>
      </c>
      <c r="AS156" s="8" t="e">
        <f t="shared" si="874"/>
        <v>#DIV/0!</v>
      </c>
      <c r="AT156" s="2" t="e">
        <f t="shared" si="610"/>
        <v>#DIV/0!</v>
      </c>
      <c r="AU156" s="2" t="e">
        <f t="shared" si="658"/>
        <v>#DIV/0!</v>
      </c>
      <c r="AV156" s="2" t="e">
        <f t="shared" si="659"/>
        <v>#DIV/0!</v>
      </c>
      <c r="AY156" s="8" t="e">
        <f t="shared" si="875"/>
        <v>#DIV/0!</v>
      </c>
      <c r="AZ156" s="2" t="e">
        <f t="shared" si="611"/>
        <v>#DIV/0!</v>
      </c>
      <c r="BA156" s="2" t="e">
        <f t="shared" si="660"/>
        <v>#DIV/0!</v>
      </c>
      <c r="BB156" s="2" t="e">
        <f t="shared" si="661"/>
        <v>#DIV/0!</v>
      </c>
      <c r="BE156" s="8" t="e">
        <f t="shared" si="876"/>
        <v>#DIV/0!</v>
      </c>
      <c r="BF156" s="2" t="e">
        <f t="shared" si="612"/>
        <v>#DIV/0!</v>
      </c>
      <c r="BG156" s="2" t="e">
        <f t="shared" si="613"/>
        <v>#DIV/0!</v>
      </c>
      <c r="BH156" s="2" t="e">
        <f t="shared" si="614"/>
        <v>#DIV/0!</v>
      </c>
    </row>
  </sheetData>
  <conditionalFormatting sqref="A11:XFD16">
    <cfRule type="cellIs" dxfId="3" priority="1" operator="equal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B168"/>
  <sheetViews>
    <sheetView zoomScaleNormal="100" workbookViewId="0">
      <pane xSplit="1" ySplit="3" topLeftCell="B4" activePane="bottomRight" state="frozenSplit"/>
      <selection pane="topRight" activeCell="B1" sqref="B1"/>
      <selection pane="bottomLeft" activeCell="A4" sqref="A4"/>
      <selection pane="bottomRight" activeCell="B4" sqref="B4"/>
    </sheetView>
  </sheetViews>
  <sheetFormatPr defaultRowHeight="12.75" x14ac:dyDescent="0.2"/>
  <cols>
    <col min="1" max="1" width="20.28515625" style="2" customWidth="1"/>
    <col min="2" max="4" width="18" style="2" customWidth="1"/>
    <col min="5" max="5" width="18" style="8" customWidth="1"/>
    <col min="6" max="10" width="18" style="2" customWidth="1"/>
    <col min="11" max="11" width="18" style="8" customWidth="1"/>
    <col min="12" max="16" width="18" style="2" customWidth="1"/>
    <col min="17" max="17" width="18" style="8" customWidth="1"/>
    <col min="18" max="22" width="18" style="2" customWidth="1"/>
    <col min="23" max="23" width="18" style="8" customWidth="1"/>
    <col min="24" max="28" width="18" style="2" customWidth="1"/>
    <col min="29" max="29" width="18" style="8" customWidth="1"/>
    <col min="30" max="34" width="18" style="2" customWidth="1"/>
    <col min="35" max="35" width="18" style="8" customWidth="1"/>
    <col min="36" max="43" width="18" style="2" customWidth="1"/>
    <col min="44" max="44" width="18" style="8" customWidth="1"/>
    <col min="45" max="52" width="18" style="2" customWidth="1"/>
    <col min="53" max="53" width="18" style="8" customWidth="1"/>
    <col min="54" max="61" width="18" style="2" customWidth="1"/>
    <col min="62" max="62" width="18" style="8" customWidth="1"/>
    <col min="63" max="70" width="18" style="2" customWidth="1"/>
    <col min="71" max="71" width="18" style="8" customWidth="1"/>
    <col min="72" max="82" width="18" style="2" customWidth="1"/>
    <col min="83" max="83" width="18" style="8" customWidth="1"/>
    <col min="84" max="94" width="18" style="2" customWidth="1"/>
    <col min="95" max="95" width="18" style="8" customWidth="1"/>
    <col min="96" max="106" width="18" style="2" customWidth="1"/>
    <col min="107" max="16384" width="9.140625" style="2"/>
  </cols>
  <sheetData>
    <row r="1" spans="1:95" s="4" customFormat="1" x14ac:dyDescent="0.2">
      <c r="E1" s="7"/>
      <c r="K1" s="7"/>
      <c r="Q1" s="7"/>
      <c r="W1" s="7"/>
      <c r="AC1" s="7"/>
      <c r="AI1" s="7"/>
      <c r="AR1" s="7"/>
      <c r="BA1" s="7"/>
      <c r="BJ1" s="7"/>
      <c r="BS1" s="7"/>
      <c r="CE1" s="7"/>
      <c r="CQ1" s="7"/>
    </row>
    <row r="2" spans="1:95" s="4" customFormat="1" x14ac:dyDescent="0.2">
      <c r="E2" s="7"/>
      <c r="K2" s="7"/>
      <c r="Q2" s="7"/>
      <c r="W2" s="7"/>
      <c r="AC2" s="7"/>
      <c r="AI2" s="7"/>
      <c r="AR2" s="7"/>
      <c r="BA2" s="7"/>
      <c r="BJ2" s="7"/>
      <c r="BS2" s="7"/>
      <c r="CE2" s="7"/>
      <c r="CQ2" s="7"/>
    </row>
    <row r="3" spans="1:95" s="4" customFormat="1" x14ac:dyDescent="0.2">
      <c r="E3" s="7"/>
      <c r="K3" s="7"/>
      <c r="Q3" s="7"/>
      <c r="W3" s="7"/>
      <c r="AC3" s="7"/>
      <c r="AI3" s="7"/>
      <c r="AR3" s="7"/>
      <c r="BA3" s="7"/>
      <c r="BJ3" s="7"/>
      <c r="BS3" s="7"/>
      <c r="CE3" s="7"/>
      <c r="CQ3" s="7"/>
    </row>
    <row r="4" spans="1:95" x14ac:dyDescent="0.2">
      <c r="A4" s="1"/>
    </row>
    <row r="5" spans="1:95" x14ac:dyDescent="0.2">
      <c r="A5" s="1"/>
    </row>
    <row r="6" spans="1:95" x14ac:dyDescent="0.2">
      <c r="A6" s="1"/>
    </row>
    <row r="7" spans="1:95" x14ac:dyDescent="0.2">
      <c r="A7" s="1"/>
    </row>
    <row r="8" spans="1:95" x14ac:dyDescent="0.2">
      <c r="A8" s="1"/>
    </row>
    <row r="9" spans="1:95" x14ac:dyDescent="0.2">
      <c r="A9" s="1"/>
    </row>
    <row r="10" spans="1:95" x14ac:dyDescent="0.2">
      <c r="A10" s="1"/>
    </row>
    <row r="11" spans="1:95" x14ac:dyDescent="0.2">
      <c r="A11" s="12"/>
    </row>
    <row r="12" spans="1:95" x14ac:dyDescent="0.2">
      <c r="A12" s="12"/>
    </row>
    <row r="13" spans="1:95" x14ac:dyDescent="0.2">
      <c r="A13" s="12"/>
    </row>
    <row r="14" spans="1:95" x14ac:dyDescent="0.2">
      <c r="A14" s="12"/>
    </row>
    <row r="15" spans="1:95" x14ac:dyDescent="0.2">
      <c r="A15" s="12"/>
    </row>
    <row r="16" spans="1:95" x14ac:dyDescent="0.2">
      <c r="A16" s="12"/>
    </row>
    <row r="17" spans="1:102" x14ac:dyDescent="0.2">
      <c r="A17" s="12"/>
    </row>
    <row r="18" spans="1:102" x14ac:dyDescent="0.2">
      <c r="A18" s="12"/>
    </row>
    <row r="19" spans="1:102" x14ac:dyDescent="0.2">
      <c r="A19" s="12"/>
    </row>
    <row r="20" spans="1:102" x14ac:dyDescent="0.2">
      <c r="A20" s="12"/>
    </row>
    <row r="21" spans="1:102" x14ac:dyDescent="0.2">
      <c r="A21" s="12"/>
    </row>
    <row r="22" spans="1:102" s="5" customFormat="1" ht="13.5" thickBot="1" x14ac:dyDescent="0.25">
      <c r="A22" s="13"/>
      <c r="E22" s="9"/>
      <c r="K22" s="9"/>
      <c r="Q22" s="9"/>
      <c r="W22" s="9"/>
      <c r="AC22" s="9"/>
      <c r="AI22" s="9"/>
      <c r="AR22" s="9"/>
      <c r="BA22" s="9"/>
      <c r="BJ22" s="9"/>
      <c r="BS22" s="9"/>
      <c r="CE22" s="9"/>
      <c r="CQ22" s="9"/>
    </row>
    <row r="23" spans="1:102" x14ac:dyDescent="0.2">
      <c r="A23" s="12"/>
    </row>
    <row r="24" spans="1:102" x14ac:dyDescent="0.2">
      <c r="A24" s="14" t="s">
        <v>10</v>
      </c>
    </row>
    <row r="25" spans="1:102" x14ac:dyDescent="0.2">
      <c r="A25" s="12">
        <v>1</v>
      </c>
      <c r="B25" s="8">
        <f>SQRT(B11)</f>
        <v>0</v>
      </c>
      <c r="E25" s="8">
        <f>SQRT(E11)</f>
        <v>0</v>
      </c>
      <c r="K25" s="8">
        <f>SQRT(K11)</f>
        <v>0</v>
      </c>
      <c r="Q25" s="8">
        <f>SQRT(Q11)</f>
        <v>0</v>
      </c>
      <c r="W25" s="8">
        <f>SQRT(W11)</f>
        <v>0</v>
      </c>
      <c r="AC25" s="8">
        <f>SQRT(AC11)</f>
        <v>0</v>
      </c>
      <c r="AI25" s="8">
        <f>SQRT(AI11)</f>
        <v>0</v>
      </c>
      <c r="AR25" s="8">
        <f>SQRT(AR11)</f>
        <v>0</v>
      </c>
      <c r="BA25" s="8">
        <f>SQRT(BA11)</f>
        <v>0</v>
      </c>
      <c r="BJ25" s="8">
        <f>SQRT(BJ11)</f>
        <v>0</v>
      </c>
      <c r="BS25" s="8">
        <f>SQRT(BS11)</f>
        <v>0</v>
      </c>
      <c r="CE25" s="8">
        <f>SQRT(CE11)</f>
        <v>0</v>
      </c>
      <c r="CQ25" s="8">
        <f>SQRT(CQ11)</f>
        <v>0</v>
      </c>
    </row>
    <row r="26" spans="1:102" x14ac:dyDescent="0.2">
      <c r="A26" s="12">
        <v>2</v>
      </c>
      <c r="B26" s="8" t="e">
        <f>B12/B25</f>
        <v>#DIV/0!</v>
      </c>
      <c r="C26" s="2" t="e">
        <f>SQRT(C12-B26^2)</f>
        <v>#DIV/0!</v>
      </c>
      <c r="E26" s="8" t="e">
        <f>E12/E25</f>
        <v>#DIV/0!</v>
      </c>
      <c r="F26" s="2" t="e">
        <f>SQRT(F12-E26^2)</f>
        <v>#DIV/0!</v>
      </c>
      <c r="K26" s="8" t="e">
        <f>K12/K25</f>
        <v>#DIV/0!</v>
      </c>
      <c r="L26" s="2" t="e">
        <f>SQRT(L12-K26^2)</f>
        <v>#DIV/0!</v>
      </c>
      <c r="Q26" s="8" t="e">
        <f>Q12/Q25</f>
        <v>#DIV/0!</v>
      </c>
      <c r="R26" s="2" t="e">
        <f>SQRT(R12-Q26^2)</f>
        <v>#DIV/0!</v>
      </c>
      <c r="W26" s="8" t="e">
        <f>W12/W25</f>
        <v>#DIV/0!</v>
      </c>
      <c r="X26" s="2" t="e">
        <f>SQRT(X12-W26^2)</f>
        <v>#DIV/0!</v>
      </c>
      <c r="AC26" s="8" t="e">
        <f>AC12/AC25</f>
        <v>#DIV/0!</v>
      </c>
      <c r="AD26" s="2" t="e">
        <f>SQRT(AD12-AC26^2)</f>
        <v>#DIV/0!</v>
      </c>
      <c r="AI26" s="8" t="e">
        <f>AI12/AI25</f>
        <v>#DIV/0!</v>
      </c>
      <c r="AJ26" s="2" t="e">
        <f>SQRT(AJ12-AI26^2)</f>
        <v>#DIV/0!</v>
      </c>
      <c r="AR26" s="8" t="e">
        <f>AR12/AR25</f>
        <v>#DIV/0!</v>
      </c>
      <c r="AS26" s="2" t="e">
        <f>SQRT(AS12-AR26^2)</f>
        <v>#DIV/0!</v>
      </c>
      <c r="BA26" s="8" t="e">
        <f>BA12/BA25</f>
        <v>#DIV/0!</v>
      </c>
      <c r="BB26" s="2" t="e">
        <f>SQRT(BB12-BA26^2)</f>
        <v>#DIV/0!</v>
      </c>
      <c r="BJ26" s="8" t="e">
        <f>BJ12/BJ25</f>
        <v>#DIV/0!</v>
      </c>
      <c r="BK26" s="2" t="e">
        <f>SQRT(BK12-BJ26^2)</f>
        <v>#DIV/0!</v>
      </c>
      <c r="BS26" s="8" t="e">
        <f>BS12/BS25</f>
        <v>#DIV/0!</v>
      </c>
      <c r="BT26" s="2" t="e">
        <f>SQRT(BT12-BS26^2)</f>
        <v>#DIV/0!</v>
      </c>
      <c r="CE26" s="8" t="e">
        <f>CE12/CE25</f>
        <v>#DIV/0!</v>
      </c>
      <c r="CF26" s="2" t="e">
        <f>SQRT(CF12-CE26^2)</f>
        <v>#DIV/0!</v>
      </c>
      <c r="CQ26" s="8" t="e">
        <f>CQ12/CQ25</f>
        <v>#DIV/0!</v>
      </c>
      <c r="CR26" s="2" t="e">
        <f>SQRT(CR12-CQ26^2)</f>
        <v>#DIV/0!</v>
      </c>
    </row>
    <row r="27" spans="1:102" x14ac:dyDescent="0.2">
      <c r="A27" s="12">
        <v>3</v>
      </c>
      <c r="B27" s="8" t="e">
        <f>B13/B25</f>
        <v>#DIV/0!</v>
      </c>
      <c r="C27" s="2" t="e">
        <f>(C13-B27*B26)/C26</f>
        <v>#DIV/0!</v>
      </c>
      <c r="D27" s="2" t="e">
        <f>SQRT(D13-B27^2-C27^2)</f>
        <v>#DIV/0!</v>
      </c>
      <c r="E27" s="8" t="e">
        <f>E13/E25</f>
        <v>#DIV/0!</v>
      </c>
      <c r="F27" s="2" t="e">
        <f>(F13-E27*E26)/F26</f>
        <v>#DIV/0!</v>
      </c>
      <c r="G27" s="2" t="e">
        <f>SQRT(G13-E27^2-F27^2)</f>
        <v>#DIV/0!</v>
      </c>
      <c r="K27" s="8" t="e">
        <f>K13/K25</f>
        <v>#DIV/0!</v>
      </c>
      <c r="L27" s="2" t="e">
        <f>(L13-K27*K26)/L26</f>
        <v>#DIV/0!</v>
      </c>
      <c r="M27" s="2" t="e">
        <f>SQRT(M13-K27^2-L27^2)</f>
        <v>#DIV/0!</v>
      </c>
      <c r="Q27" s="8" t="e">
        <f>Q13/Q25</f>
        <v>#DIV/0!</v>
      </c>
      <c r="R27" s="2" t="e">
        <f>(R13-Q27*Q26)/R26</f>
        <v>#DIV/0!</v>
      </c>
      <c r="S27" s="2" t="e">
        <f>SQRT(S13-Q27^2-R27^2)</f>
        <v>#DIV/0!</v>
      </c>
      <c r="W27" s="8" t="e">
        <f>W13/W25</f>
        <v>#DIV/0!</v>
      </c>
      <c r="X27" s="2" t="e">
        <f>(X13-W27*W26)/X26</f>
        <v>#DIV/0!</v>
      </c>
      <c r="Y27" s="2" t="e">
        <f>SQRT(Y13-W27^2-X27^2)</f>
        <v>#DIV/0!</v>
      </c>
      <c r="AC27" s="8" t="e">
        <f>AC13/AC25</f>
        <v>#DIV/0!</v>
      </c>
      <c r="AD27" s="2" t="e">
        <f>(AD13-AC27*AC26)/AD26</f>
        <v>#DIV/0!</v>
      </c>
      <c r="AE27" s="2" t="e">
        <f>SQRT(AE13-AC27^2-AD27^2)</f>
        <v>#DIV/0!</v>
      </c>
      <c r="AI27" s="8" t="e">
        <f>AI13/AI25</f>
        <v>#DIV/0!</v>
      </c>
      <c r="AJ27" s="2" t="e">
        <f>(AJ13-AI27*AI26)/AJ26</f>
        <v>#DIV/0!</v>
      </c>
      <c r="AK27" s="2" t="e">
        <f>SQRT(AK13-AI27^2-AJ27^2)</f>
        <v>#DIV/0!</v>
      </c>
      <c r="AR27" s="8" t="e">
        <f>AR13/AR25</f>
        <v>#DIV/0!</v>
      </c>
      <c r="AS27" s="2" t="e">
        <f>(AS13-AR27*AR26)/AS26</f>
        <v>#DIV/0!</v>
      </c>
      <c r="AT27" s="2" t="e">
        <f>SQRT(AT13-AR27^2-AS27^2)</f>
        <v>#DIV/0!</v>
      </c>
      <c r="BA27" s="8" t="e">
        <f>BA13/BA25</f>
        <v>#DIV/0!</v>
      </c>
      <c r="BB27" s="2" t="e">
        <f>(BB13-BA27*BA26)/BB26</f>
        <v>#DIV/0!</v>
      </c>
      <c r="BC27" s="2" t="e">
        <f>SQRT(BC13-BA27^2-BB27^2)</f>
        <v>#DIV/0!</v>
      </c>
      <c r="BJ27" s="8" t="e">
        <f>BJ13/BJ25</f>
        <v>#DIV/0!</v>
      </c>
      <c r="BK27" s="2" t="e">
        <f>(BK13-BJ27*BJ26)/BK26</f>
        <v>#DIV/0!</v>
      </c>
      <c r="BL27" s="2" t="e">
        <f>SQRT(BL13-BJ27^2-BK27^2)</f>
        <v>#DIV/0!</v>
      </c>
      <c r="BS27" s="8" t="e">
        <f>BS13/BS25</f>
        <v>#DIV/0!</v>
      </c>
      <c r="BT27" s="2" t="e">
        <f>(BT13-BS27*BS26)/BT26</f>
        <v>#DIV/0!</v>
      </c>
      <c r="BU27" s="2" t="e">
        <f>SQRT(BU13-BS27^2-BT27^2)</f>
        <v>#DIV/0!</v>
      </c>
      <c r="CE27" s="8" t="e">
        <f>CE13/CE25</f>
        <v>#DIV/0!</v>
      </c>
      <c r="CF27" s="2" t="e">
        <f>(CF13-CE27*CE26)/CF26</f>
        <v>#DIV/0!</v>
      </c>
      <c r="CG27" s="2" t="e">
        <f>SQRT(CG13-CE27^2-CF27^2)</f>
        <v>#DIV/0!</v>
      </c>
      <c r="CQ27" s="8" t="e">
        <f>CQ13/CQ25</f>
        <v>#DIV/0!</v>
      </c>
      <c r="CR27" s="2" t="e">
        <f>(CR13-CQ27*CQ26)/CR26</f>
        <v>#DIV/0!</v>
      </c>
      <c r="CS27" s="2" t="e">
        <f>SQRT(CS13-CQ27^2-CR27^2)</f>
        <v>#DIV/0!</v>
      </c>
    </row>
    <row r="28" spans="1:102" x14ac:dyDescent="0.2">
      <c r="A28" s="12">
        <v>4</v>
      </c>
      <c r="B28" s="8"/>
      <c r="E28" s="8" t="e">
        <f>E14/E25</f>
        <v>#DIV/0!</v>
      </c>
      <c r="F28" s="2" t="e">
        <f>(F14-E28*E26)/F26</f>
        <v>#DIV/0!</v>
      </c>
      <c r="G28" s="2" t="e">
        <f>(G14-E27*E28-F27*F28)/G27</f>
        <v>#DIV/0!</v>
      </c>
      <c r="H28" s="2" t="e">
        <f>SQRT(H14-E28^2-F28^2-G28^2)</f>
        <v>#DIV/0!</v>
      </c>
      <c r="K28" s="8" t="e">
        <f>K14/K25</f>
        <v>#DIV/0!</v>
      </c>
      <c r="L28" s="2" t="e">
        <f>(L14-K28*K26)/L26</f>
        <v>#DIV/0!</v>
      </c>
      <c r="M28" s="2" t="e">
        <f>(M14-K27*K28-L27*L28)/M27</f>
        <v>#DIV/0!</v>
      </c>
      <c r="N28" s="2" t="e">
        <f>SQRT(N14-K28^2-L28^2-M28^2)</f>
        <v>#DIV/0!</v>
      </c>
      <c r="Q28" s="8" t="e">
        <f>Q14/Q25</f>
        <v>#DIV/0!</v>
      </c>
      <c r="R28" s="2" t="e">
        <f>(R14-Q28*Q26)/R26</f>
        <v>#DIV/0!</v>
      </c>
      <c r="S28" s="2" t="e">
        <f>(S14-Q27*Q28-R27*R28)/S27</f>
        <v>#DIV/0!</v>
      </c>
      <c r="T28" s="2" t="e">
        <f>SQRT(T14-Q28^2-R28^2-S28^2)</f>
        <v>#DIV/0!</v>
      </c>
      <c r="W28" s="8" t="e">
        <f>W14/W25</f>
        <v>#DIV/0!</v>
      </c>
      <c r="X28" s="2" t="e">
        <f>(X14-W28*W26)/X26</f>
        <v>#DIV/0!</v>
      </c>
      <c r="Y28" s="2" t="e">
        <f>(Y14-W27*W28-X27*X28)/Y27</f>
        <v>#DIV/0!</v>
      </c>
      <c r="Z28" s="2" t="e">
        <f>SQRT(Z14-W28^2-X28^2-Y28^2)</f>
        <v>#DIV/0!</v>
      </c>
      <c r="AC28" s="8" t="e">
        <f>AC14/AC25</f>
        <v>#DIV/0!</v>
      </c>
      <c r="AD28" s="2" t="e">
        <f>(AD14-AC28*AC26)/AD26</f>
        <v>#DIV/0!</v>
      </c>
      <c r="AE28" s="2" t="e">
        <f>(AE14-AC27*AC28-AD27*AD28)/AE27</f>
        <v>#DIV/0!</v>
      </c>
      <c r="AF28" s="2" t="e">
        <f>SQRT(AF14-AC28^2-AD28^2-AE28^2)</f>
        <v>#DIV/0!</v>
      </c>
      <c r="AI28" s="8" t="e">
        <f>AI14/AI25</f>
        <v>#DIV/0!</v>
      </c>
      <c r="AJ28" s="2" t="e">
        <f>(AJ14-AI28*AI26)/AJ26</f>
        <v>#DIV/0!</v>
      </c>
      <c r="AK28" s="2" t="e">
        <f>(AK14-AI27*AI28-AJ27*AJ28)/AK27</f>
        <v>#DIV/0!</v>
      </c>
      <c r="AL28" s="2" t="e">
        <f>SQRT(AL14-AI28^2-AJ28^2-AK28^2)</f>
        <v>#DIV/0!</v>
      </c>
      <c r="AR28" s="8" t="e">
        <f>AR14/AR25</f>
        <v>#DIV/0!</v>
      </c>
      <c r="AS28" s="2" t="e">
        <f>(AS14-AR28*AR26)/AS26</f>
        <v>#DIV/0!</v>
      </c>
      <c r="AT28" s="2" t="e">
        <f>(AT14-AR27*AR28-AS27*AS28)/AT27</f>
        <v>#DIV/0!</v>
      </c>
      <c r="AU28" s="2" t="e">
        <f>SQRT(AU14-AR28^2-AS28^2-AT28^2)</f>
        <v>#DIV/0!</v>
      </c>
      <c r="BA28" s="8" t="e">
        <f>BA14/BA25</f>
        <v>#DIV/0!</v>
      </c>
      <c r="BB28" s="2" t="e">
        <f>(BB14-BA28*BA26)/BB26</f>
        <v>#DIV/0!</v>
      </c>
      <c r="BC28" s="2" t="e">
        <f>(BC14-BA27*BA28-BB27*BB28)/BC27</f>
        <v>#DIV/0!</v>
      </c>
      <c r="BD28" s="2" t="e">
        <f>SQRT(BD14-BA28^2-BB28^2-BC28^2)</f>
        <v>#DIV/0!</v>
      </c>
      <c r="BJ28" s="8" t="e">
        <f>BJ14/BJ25</f>
        <v>#DIV/0!</v>
      </c>
      <c r="BK28" s="2" t="e">
        <f>(BK14-BJ28*BJ26)/BK26</f>
        <v>#DIV/0!</v>
      </c>
      <c r="BL28" s="2" t="e">
        <f>(BL14-BJ27*BJ28-BK27*BK28)/BL27</f>
        <v>#DIV/0!</v>
      </c>
      <c r="BM28" s="2" t="e">
        <f>SQRT(BM14-BJ28^2-BK28^2-BL28^2)</f>
        <v>#DIV/0!</v>
      </c>
      <c r="BS28" s="8" t="e">
        <f>BS14/BS25</f>
        <v>#DIV/0!</v>
      </c>
      <c r="BT28" s="2" t="e">
        <f>(BT14-BS28*BS26)/BT26</f>
        <v>#DIV/0!</v>
      </c>
      <c r="BU28" s="2" t="e">
        <f>(BU14-BS27*BS28-BT27*BT28)/BU27</f>
        <v>#DIV/0!</v>
      </c>
      <c r="BV28" s="2" t="e">
        <f>SQRT(BV14-BS28^2-BT28^2-BU28^2)</f>
        <v>#DIV/0!</v>
      </c>
      <c r="CE28" s="8" t="e">
        <f>CE14/CE25</f>
        <v>#DIV/0!</v>
      </c>
      <c r="CF28" s="2" t="e">
        <f>(CF14-CE28*CE26)/CF26</f>
        <v>#DIV/0!</v>
      </c>
      <c r="CG28" s="2" t="e">
        <f>(CG14-CE27*CE28-CF27*CF28)/CG27</f>
        <v>#DIV/0!</v>
      </c>
      <c r="CH28" s="2" t="e">
        <f>SQRT(CH14-CE28^2-CF28^2-CG28^2)</f>
        <v>#DIV/0!</v>
      </c>
      <c r="CQ28" s="8" t="e">
        <f>CQ14/CQ25</f>
        <v>#DIV/0!</v>
      </c>
      <c r="CR28" s="2" t="e">
        <f>(CR14-CQ28*CQ26)/CR26</f>
        <v>#DIV/0!</v>
      </c>
      <c r="CS28" s="2" t="e">
        <f>(CS14-CQ27*CQ28-CR27*CR28)/CS27</f>
        <v>#DIV/0!</v>
      </c>
      <c r="CT28" s="2" t="e">
        <f>SQRT(CT14-CQ28^2-CR28^2-CS28^2)</f>
        <v>#DIV/0!</v>
      </c>
    </row>
    <row r="29" spans="1:102" x14ac:dyDescent="0.2">
      <c r="A29" s="12">
        <v>5</v>
      </c>
      <c r="B29" s="8"/>
      <c r="E29" s="8" t="e">
        <f>E15/E25</f>
        <v>#DIV/0!</v>
      </c>
      <c r="F29" s="2" t="e">
        <f>(F15-E29*E26)/F26</f>
        <v>#DIV/0!</v>
      </c>
      <c r="G29" s="2" t="e">
        <f>(G15-E27*E29-F27*F29)/G27</f>
        <v>#DIV/0!</v>
      </c>
      <c r="H29" s="2" t="e">
        <f>(H15-E28*E29-F28*F29-G28*G29)/H28</f>
        <v>#DIV/0!</v>
      </c>
      <c r="I29" s="2" t="e">
        <f>SQRT(I15-E29^2-F29^2-G29^2-H29^2)</f>
        <v>#DIV/0!</v>
      </c>
      <c r="K29" s="8" t="e">
        <f>K15/K25</f>
        <v>#DIV/0!</v>
      </c>
      <c r="L29" s="2" t="e">
        <f>(L15-K29*K26)/L26</f>
        <v>#DIV/0!</v>
      </c>
      <c r="M29" s="2" t="e">
        <f>(M15-K27*K29-L27*L29)/M27</f>
        <v>#DIV/0!</v>
      </c>
      <c r="N29" s="2" t="e">
        <f>(N15-K28*K29-L28*L29-M28*M29)/N28</f>
        <v>#DIV/0!</v>
      </c>
      <c r="O29" s="2" t="e">
        <f>SQRT(O15-K29^2-L29^2-M29^2-N29^2)</f>
        <v>#DIV/0!</v>
      </c>
      <c r="Q29" s="8" t="e">
        <f>Q15/Q25</f>
        <v>#DIV/0!</v>
      </c>
      <c r="R29" s="2" t="e">
        <f>(R15-Q29*Q26)/R26</f>
        <v>#DIV/0!</v>
      </c>
      <c r="S29" s="2" t="e">
        <f>(S15-Q27*Q29-R27*R29)/S27</f>
        <v>#DIV/0!</v>
      </c>
      <c r="T29" s="2" t="e">
        <f>(T15-Q28*Q29-R28*R29-S28*S29)/T28</f>
        <v>#DIV/0!</v>
      </c>
      <c r="U29" s="2" t="e">
        <f>SQRT(U15-Q29^2-R29^2-S29^2-T29^2)</f>
        <v>#DIV/0!</v>
      </c>
      <c r="W29" s="8" t="e">
        <f>W15/W25</f>
        <v>#DIV/0!</v>
      </c>
      <c r="X29" s="2" t="e">
        <f>(X15-W29*W26)/X26</f>
        <v>#DIV/0!</v>
      </c>
      <c r="Y29" s="2" t="e">
        <f>(Y15-W27*W29-X27*X29)/Y27</f>
        <v>#DIV/0!</v>
      </c>
      <c r="Z29" s="2" t="e">
        <f>(Z15-W28*W29-X28*X29-Y28*Y29)/Z28</f>
        <v>#DIV/0!</v>
      </c>
      <c r="AA29" s="2" t="e">
        <f>SQRT(AA15-W29^2-X29^2-Y29^2-Z29^2)</f>
        <v>#DIV/0!</v>
      </c>
      <c r="AC29" s="8" t="e">
        <f>AC15/AC25</f>
        <v>#DIV/0!</v>
      </c>
      <c r="AD29" s="2" t="e">
        <f>(AD15-AC29*AC26)/AD26</f>
        <v>#DIV/0!</v>
      </c>
      <c r="AE29" s="2" t="e">
        <f>(AE15-AC27*AC29-AD27*AD29)/AE27</f>
        <v>#DIV/0!</v>
      </c>
      <c r="AF29" s="2" t="e">
        <f>(AF15-AC28*AC29-AD28*AD29-AE28*AE29)/AF28</f>
        <v>#DIV/0!</v>
      </c>
      <c r="AG29" s="2" t="e">
        <f>SQRT(AG15-AC29^2-AD29^2-AE29^2-AF29^2)</f>
        <v>#DIV/0!</v>
      </c>
      <c r="AI29" s="8" t="e">
        <f>AI15/AI25</f>
        <v>#DIV/0!</v>
      </c>
      <c r="AJ29" s="2" t="e">
        <f>(AJ15-AI29*AI26)/AJ26</f>
        <v>#DIV/0!</v>
      </c>
      <c r="AK29" s="2" t="e">
        <f>(AK15-AI27*AI29-AJ27*AJ29)/AK27</f>
        <v>#DIV/0!</v>
      </c>
      <c r="AL29" s="2" t="e">
        <f>(AL15-AI28*AI29-AJ28*AJ29-AK28*AK29)/AL28</f>
        <v>#DIV/0!</v>
      </c>
      <c r="AM29" s="2" t="e">
        <f>SQRT(AM15-AI29^2-AJ29^2-AK29^2-AL29^2)</f>
        <v>#DIV/0!</v>
      </c>
      <c r="AR29" s="8" t="e">
        <f>AR15/AR25</f>
        <v>#DIV/0!</v>
      </c>
      <c r="AS29" s="2" t="e">
        <f>(AS15-AR29*AR26)/AS26</f>
        <v>#DIV/0!</v>
      </c>
      <c r="AT29" s="2" t="e">
        <f>(AT15-AR27*AR29-AS27*AS29)/AT27</f>
        <v>#DIV/0!</v>
      </c>
      <c r="AU29" s="2" t="e">
        <f>(AU15-AR28*AR29-AS28*AS29-AT28*AT29)/AU28</f>
        <v>#DIV/0!</v>
      </c>
      <c r="AV29" s="2" t="e">
        <f>SQRT(AV15-AR29^2-AS29^2-AT29^2-AU29^2)</f>
        <v>#DIV/0!</v>
      </c>
      <c r="BA29" s="8" t="e">
        <f>BA15/BA25</f>
        <v>#DIV/0!</v>
      </c>
      <c r="BB29" s="2" t="e">
        <f>(BB15-BA29*BA26)/BB26</f>
        <v>#DIV/0!</v>
      </c>
      <c r="BC29" s="2" t="e">
        <f>(BC15-BA27*BA29-BB27*BB29)/BC27</f>
        <v>#DIV/0!</v>
      </c>
      <c r="BD29" s="2" t="e">
        <f>(BD15-BA28*BA29-BB28*BB29-BC28*BC29)/BD28</f>
        <v>#DIV/0!</v>
      </c>
      <c r="BE29" s="2" t="e">
        <f>SQRT(BE15-BA29^2-BB29^2-BC29^2-BD29^2)</f>
        <v>#DIV/0!</v>
      </c>
      <c r="BJ29" s="8" t="e">
        <f>BJ15/BJ25</f>
        <v>#DIV/0!</v>
      </c>
      <c r="BK29" s="2" t="e">
        <f>(BK15-BJ29*BJ26)/BK26</f>
        <v>#DIV/0!</v>
      </c>
      <c r="BL29" s="2" t="e">
        <f>(BL15-BJ27*BJ29-BK27*BK29)/BL27</f>
        <v>#DIV/0!</v>
      </c>
      <c r="BM29" s="2" t="e">
        <f>(BM15-BJ28*BJ29-BK28*BK29-BL28*BL29)/BM28</f>
        <v>#DIV/0!</v>
      </c>
      <c r="BN29" s="2" t="e">
        <f>SQRT(BN15-BJ29^2-BK29^2-BL29^2-BM29^2)</f>
        <v>#DIV/0!</v>
      </c>
      <c r="BS29" s="8" t="e">
        <f>BS15/BS25</f>
        <v>#DIV/0!</v>
      </c>
      <c r="BT29" s="2" t="e">
        <f>(BT15-BS29*BS26)/BT26</f>
        <v>#DIV/0!</v>
      </c>
      <c r="BU29" s="2" t="e">
        <f>(BU15-BS27*BS29-BT27*BT29)/BU27</f>
        <v>#DIV/0!</v>
      </c>
      <c r="BV29" s="2" t="e">
        <f>(BV15-BS28*BS29-BT28*BT29-BU28*BU29)/BV28</f>
        <v>#DIV/0!</v>
      </c>
      <c r="BW29" s="2" t="e">
        <f>SQRT(BW15-BS29^2-BT29^2-BU29^2-BV29^2)</f>
        <v>#DIV/0!</v>
      </c>
      <c r="CE29" s="8" t="e">
        <f>CE15/CE25</f>
        <v>#DIV/0!</v>
      </c>
      <c r="CF29" s="2" t="e">
        <f>(CF15-CE29*CE26)/CF26</f>
        <v>#DIV/0!</v>
      </c>
      <c r="CG29" s="2" t="e">
        <f>(CG15-CE27*CE29-CF27*CF29)/CG27</f>
        <v>#DIV/0!</v>
      </c>
      <c r="CH29" s="2" t="e">
        <f>(CH15-CE28*CE29-CF28*CF29-CG28*CG29)/CH28</f>
        <v>#DIV/0!</v>
      </c>
      <c r="CI29" s="2" t="e">
        <f>SQRT(CI15-CE29^2-CF29^2-CG29^2-CH29^2)</f>
        <v>#DIV/0!</v>
      </c>
      <c r="CQ29" s="8" t="e">
        <f>CQ15/CQ25</f>
        <v>#DIV/0!</v>
      </c>
      <c r="CR29" s="2" t="e">
        <f>(CR15-CQ29*CQ26)/CR26</f>
        <v>#DIV/0!</v>
      </c>
      <c r="CS29" s="2" t="e">
        <f>(CS15-CQ27*CQ29-CR27*CR29)/CS27</f>
        <v>#DIV/0!</v>
      </c>
      <c r="CT29" s="2" t="e">
        <f>(CT15-CQ28*CQ29-CR28*CR29-CS28*CS29)/CT28</f>
        <v>#DIV/0!</v>
      </c>
      <c r="CU29" s="2" t="e">
        <f>SQRT(CU15-CQ29^2-CR29^2-CS29^2-CT29^2)</f>
        <v>#DIV/0!</v>
      </c>
    </row>
    <row r="30" spans="1:102" x14ac:dyDescent="0.2">
      <c r="A30" s="12">
        <v>6</v>
      </c>
      <c r="B30" s="8"/>
      <c r="E30" s="8" t="e">
        <f>E16/E25</f>
        <v>#DIV/0!</v>
      </c>
      <c r="F30" s="2" t="e">
        <f>(F16-E30*E26)/F26</f>
        <v>#DIV/0!</v>
      </c>
      <c r="G30" s="2" t="e">
        <f>(G16-E27*E30-F27*F30)/G27</f>
        <v>#DIV/0!</v>
      </c>
      <c r="H30" s="2" t="e">
        <f>(H16-E28*E30-F28*F30-G28*G30)/H28</f>
        <v>#DIV/0!</v>
      </c>
      <c r="I30" s="2" t="e">
        <f>(I16-E29*E30-F29*F30-G29*G30-H29*H30)/I29</f>
        <v>#DIV/0!</v>
      </c>
      <c r="J30" s="2" t="e">
        <f>SQRT(J16-E30^2-F30^2-G30^2-H30^2-I30^2)</f>
        <v>#DIV/0!</v>
      </c>
      <c r="K30" s="8" t="e">
        <f>K16/K25</f>
        <v>#DIV/0!</v>
      </c>
      <c r="L30" s="2" t="e">
        <f>(L16-K30*K26)/L26</f>
        <v>#DIV/0!</v>
      </c>
      <c r="M30" s="2" t="e">
        <f>(M16-K27*K30-L27*L30)/M27</f>
        <v>#DIV/0!</v>
      </c>
      <c r="N30" s="2" t="e">
        <f>(N16-K28*K30-L28*L30-M28*M30)/N28</f>
        <v>#DIV/0!</v>
      </c>
      <c r="O30" s="2" t="e">
        <f>(O16-K29*K30-L29*L30-M29*M30-N29*N30)/O29</f>
        <v>#DIV/0!</v>
      </c>
      <c r="P30" s="2" t="e">
        <f>SQRT(P16-K30^2-L30^2-M30^2-N30^2-O30^2)</f>
        <v>#DIV/0!</v>
      </c>
      <c r="Q30" s="8" t="e">
        <f>Q16/Q25</f>
        <v>#DIV/0!</v>
      </c>
      <c r="R30" s="2" t="e">
        <f>(R16-Q30*Q26)/R26</f>
        <v>#DIV/0!</v>
      </c>
      <c r="S30" s="2" t="e">
        <f>(S16-Q27*Q30-R27*R30)/S27</f>
        <v>#DIV/0!</v>
      </c>
      <c r="T30" s="2" t="e">
        <f>(T16-Q28*Q30-R28*R30-S28*S30)/T28</f>
        <v>#DIV/0!</v>
      </c>
      <c r="U30" s="2" t="e">
        <f>(U16-Q29*Q30-R29*R30-S29*S30-T29*T30)/U29</f>
        <v>#DIV/0!</v>
      </c>
      <c r="V30" s="2" t="e">
        <f>SQRT(V16-Q30^2-R30^2-S30^2-T30^2-U30^2)</f>
        <v>#DIV/0!</v>
      </c>
      <c r="W30" s="8" t="e">
        <f>W16/W25</f>
        <v>#DIV/0!</v>
      </c>
      <c r="X30" s="2" t="e">
        <f>(X16-W30*W26)/X26</f>
        <v>#DIV/0!</v>
      </c>
      <c r="Y30" s="2" t="e">
        <f>(Y16-W27*W30-X27*X30)/Y27</f>
        <v>#DIV/0!</v>
      </c>
      <c r="Z30" s="2" t="e">
        <f>(Z16-W28*W30-X28*X30-Y28*Y30)/Z28</f>
        <v>#DIV/0!</v>
      </c>
      <c r="AA30" s="2" t="e">
        <f>(AA16-W29*W30-X29*X30-Y29*Y30-Z29*Z30)/AA29</f>
        <v>#DIV/0!</v>
      </c>
      <c r="AB30" s="2" t="e">
        <f>SQRT(AB16-W30^2-X30^2-Y30^2-Z30^2-AA30^2)</f>
        <v>#DIV/0!</v>
      </c>
      <c r="AC30" s="8" t="e">
        <f>AC16/AC25</f>
        <v>#DIV/0!</v>
      </c>
      <c r="AD30" s="2" t="e">
        <f>(AD16-AC30*AC26)/AD26</f>
        <v>#DIV/0!</v>
      </c>
      <c r="AE30" s="2" t="e">
        <f>(AE16-AC27*AC30-AD27*AD30)/AE27</f>
        <v>#DIV/0!</v>
      </c>
      <c r="AF30" s="2" t="e">
        <f>(AF16-AC28*AC30-AD28*AD30-AE28*AE30)/AF28</f>
        <v>#DIV/0!</v>
      </c>
      <c r="AG30" s="2" t="e">
        <f>(AG16-AC29*AC30-AD29*AD30-AE29*AE30-AF29*AF30)/AG29</f>
        <v>#DIV/0!</v>
      </c>
      <c r="AH30" s="2" t="e">
        <f>SQRT(AH16-AC30^2-AD30^2-AE30^2-AF30^2-AG30^2)</f>
        <v>#DIV/0!</v>
      </c>
      <c r="AI30" s="8" t="e">
        <f>AI16/AI25</f>
        <v>#DIV/0!</v>
      </c>
      <c r="AJ30" s="2" t="e">
        <f>(AJ16-AI30*AI26)/AJ26</f>
        <v>#DIV/0!</v>
      </c>
      <c r="AK30" s="2" t="e">
        <f>(AK16-AI27*AI30-AJ27*AJ30)/AK27</f>
        <v>#DIV/0!</v>
      </c>
      <c r="AL30" s="2" t="e">
        <f>(AL16-AI28*AI30-AJ28*AJ30-AK28*AK30)/AL28</f>
        <v>#DIV/0!</v>
      </c>
      <c r="AM30" s="2" t="e">
        <f>(AM16-AI29*AI30-AJ29*AJ30-AK29*AK30-AL29*AL30)/AM29</f>
        <v>#DIV/0!</v>
      </c>
      <c r="AN30" s="2" t="e">
        <f>SQRT(AN16-AI30^2-AJ30^2-AK30^2-AL30^2-AM30^2)</f>
        <v>#DIV/0!</v>
      </c>
      <c r="AR30" s="8" t="e">
        <f>AR16/AR25</f>
        <v>#DIV/0!</v>
      </c>
      <c r="AS30" s="2" t="e">
        <f>(AS16-AR30*AR26)/AS26</f>
        <v>#DIV/0!</v>
      </c>
      <c r="AT30" s="2" t="e">
        <f>(AT16-AR27*AR30-AS27*AS30)/AT27</f>
        <v>#DIV/0!</v>
      </c>
      <c r="AU30" s="2" t="e">
        <f>(AU16-AR28*AR30-AS28*AS30-AT28*AT30)/AU28</f>
        <v>#DIV/0!</v>
      </c>
      <c r="AV30" s="2" t="e">
        <f>(AV16-AR29*AR30-AS29*AS30-AT29*AT30-AU29*AU30)/AV29</f>
        <v>#DIV/0!</v>
      </c>
      <c r="AW30" s="2" t="e">
        <f>SQRT(AW16-AR30^2-AS30^2-AT30^2-AU30^2-AV30^2)</f>
        <v>#DIV/0!</v>
      </c>
      <c r="BA30" s="8" t="e">
        <f>BA16/BA25</f>
        <v>#DIV/0!</v>
      </c>
      <c r="BB30" s="2" t="e">
        <f>(BB16-BA30*BA26)/BB26</f>
        <v>#DIV/0!</v>
      </c>
      <c r="BC30" s="2" t="e">
        <f>(BC16-BA27*BA30-BB27*BB30)/BC27</f>
        <v>#DIV/0!</v>
      </c>
      <c r="BD30" s="2" t="e">
        <f>(BD16-BA28*BA30-BB28*BB30-BC28*BC30)/BD28</f>
        <v>#DIV/0!</v>
      </c>
      <c r="BE30" s="2" t="e">
        <f>(BE16-BA29*BA30-BB29*BB30-BC29*BC30-BD29*BD30)/BE29</f>
        <v>#DIV/0!</v>
      </c>
      <c r="BF30" s="2" t="e">
        <f>SQRT(BF16-BA30^2-BB30^2-BC30^2-BD30^2-BE30^2)</f>
        <v>#DIV/0!</v>
      </c>
      <c r="BJ30" s="8" t="e">
        <f>BJ16/BJ25</f>
        <v>#DIV/0!</v>
      </c>
      <c r="BK30" s="2" t="e">
        <f>(BK16-BJ30*BJ26)/BK26</f>
        <v>#DIV/0!</v>
      </c>
      <c r="BL30" s="2" t="e">
        <f>(BL16-BJ27*BJ30-BK27*BK30)/BL27</f>
        <v>#DIV/0!</v>
      </c>
      <c r="BM30" s="2" t="e">
        <f>(BM16-BJ28*BJ30-BK28*BK30-BL28*BL30)/BM28</f>
        <v>#DIV/0!</v>
      </c>
      <c r="BN30" s="2" t="e">
        <f>(BN16-BJ29*BJ30-BK29*BK30-BL29*BL30-BM29*BM30)/BN29</f>
        <v>#DIV/0!</v>
      </c>
      <c r="BO30" s="2" t="e">
        <f>SQRT(BO16-BJ30^2-BK30^2-BL30^2-BM30^2-BN30^2)</f>
        <v>#DIV/0!</v>
      </c>
      <c r="BS30" s="8" t="e">
        <f>BS16/BS25</f>
        <v>#DIV/0!</v>
      </c>
      <c r="BT30" s="2" t="e">
        <f>(BT16-BS30*BS26)/BT26</f>
        <v>#DIV/0!</v>
      </c>
      <c r="BU30" s="2" t="e">
        <f>(BU16-BS27*BS30-BT27*BT30)/BU27</f>
        <v>#DIV/0!</v>
      </c>
      <c r="BV30" s="2" t="e">
        <f>(BV16-BS28*BS30-BT28*BT30-BU28*BU30)/BV28</f>
        <v>#DIV/0!</v>
      </c>
      <c r="BW30" s="2" t="e">
        <f>(BW16-BS29*BS30-BT29*BT30-BU29*BU30-BV29*BV30)/BW29</f>
        <v>#DIV/0!</v>
      </c>
      <c r="BX30" s="2" t="e">
        <f>SQRT(BX16-BS30^2-BT30^2-BU30^2-BV30^2-BW30^2)</f>
        <v>#DIV/0!</v>
      </c>
      <c r="CE30" s="8" t="e">
        <f>CE16/CE25</f>
        <v>#DIV/0!</v>
      </c>
      <c r="CF30" s="2" t="e">
        <f>(CF16-CE30*CE26)/CF26</f>
        <v>#DIV/0!</v>
      </c>
      <c r="CG30" s="2" t="e">
        <f>(CG16-CE27*CE30-CF27*CF30)/CG27</f>
        <v>#DIV/0!</v>
      </c>
      <c r="CH30" s="2" t="e">
        <f>(CH16-CE28*CE30-CF28*CF30-CG28*CG30)/CH28</f>
        <v>#DIV/0!</v>
      </c>
      <c r="CI30" s="2" t="e">
        <f>(CI16-CE29*CE30-CF29*CF30-CG29*CG30-CH29*CH30)/CI29</f>
        <v>#DIV/0!</v>
      </c>
      <c r="CJ30" s="2" t="e">
        <f>SQRT(CJ16-CE30^2-CF30^2-CG30^2-CH30^2-CI30^2)</f>
        <v>#DIV/0!</v>
      </c>
      <c r="CQ30" s="8" t="e">
        <f>CQ16/CQ25</f>
        <v>#DIV/0!</v>
      </c>
      <c r="CR30" s="2" t="e">
        <f>(CR16-CQ30*CQ26)/CR26</f>
        <v>#DIV/0!</v>
      </c>
      <c r="CS30" s="2" t="e">
        <f>(CS16-CQ27*CQ30-CR27*CR30)/CS27</f>
        <v>#DIV/0!</v>
      </c>
      <c r="CT30" s="2" t="e">
        <f>(CT16-CQ28*CQ30-CR28*CR30-CS28*CS30)/CT28</f>
        <v>#DIV/0!</v>
      </c>
      <c r="CU30" s="2" t="e">
        <f>(CU16-CQ29*CQ30-CR29*CR30-CS29*CS30-CT29*CT30)/CU29</f>
        <v>#DIV/0!</v>
      </c>
      <c r="CV30" s="2" t="e">
        <f>SQRT(CV16-CQ30^2-CR30^2-CS30^2-CT30^2-CU30^2)</f>
        <v>#DIV/0!</v>
      </c>
    </row>
    <row r="31" spans="1:102" x14ac:dyDescent="0.2">
      <c r="A31" s="12">
        <v>7</v>
      </c>
      <c r="B31" s="8"/>
      <c r="AI31" s="8" t="e">
        <f>AI17/AI25</f>
        <v>#DIV/0!</v>
      </c>
      <c r="AJ31" s="2" t="e">
        <f>(AJ17-AI31*AI26)/AJ26</f>
        <v>#DIV/0!</v>
      </c>
      <c r="AK31" s="2" t="e">
        <f>(AK17-AI27*AI31-AJ27*AJ31)/AK27</f>
        <v>#DIV/0!</v>
      </c>
      <c r="AL31" s="2" t="e">
        <f>(AL17-AI28*AI31-AJ28*AJ31-AK28*AK31)/AL28</f>
        <v>#DIV/0!</v>
      </c>
      <c r="AM31" s="2" t="e">
        <f>(AM17-AI29*AI31-AJ29*AJ31-AK29*AK31-AL29*AL31)/AM29</f>
        <v>#DIV/0!</v>
      </c>
      <c r="AN31" s="2" t="e">
        <f>(AN17-AI30*AI31-AJ30*AJ31-AK30*AK31-AL30*AL31-AM30*AM31)/AN30</f>
        <v>#DIV/0!</v>
      </c>
      <c r="AO31" s="2" t="e">
        <f>SQRT(AO17-AI31^2-AJ31^2-AK31^2-AL31^2-AM31^2-AN31^2)</f>
        <v>#DIV/0!</v>
      </c>
      <c r="AR31" s="8" t="e">
        <f>AR17/AR25</f>
        <v>#DIV/0!</v>
      </c>
      <c r="AS31" s="2" t="e">
        <f>(AS17-AR31*AR26)/AS26</f>
        <v>#DIV/0!</v>
      </c>
      <c r="AT31" s="2" t="e">
        <f>(AT17-AR27*AR31-AS27*AS31)/AT27</f>
        <v>#DIV/0!</v>
      </c>
      <c r="AU31" s="2" t="e">
        <f>(AU17-AR28*AR31-AS28*AS31-AT28*AT31)/AU28</f>
        <v>#DIV/0!</v>
      </c>
      <c r="AV31" s="2" t="e">
        <f>(AV17-AR29*AR31-AS29*AS31-AT29*AT31-AU29*AU31)/AV29</f>
        <v>#DIV/0!</v>
      </c>
      <c r="AW31" s="2" t="e">
        <f>(AW17-AR30*AR31-AS30*AS31-AT30*AT31-AU30*AU31-AV30*AV31)/AW30</f>
        <v>#DIV/0!</v>
      </c>
      <c r="AX31" s="2" t="e">
        <f>SQRT(AX17-AR31^2-AS31^2-AT31^2-AU31^2-AV31^2-AW31^2)</f>
        <v>#DIV/0!</v>
      </c>
      <c r="BA31" s="8" t="e">
        <f>BA17/BA25</f>
        <v>#DIV/0!</v>
      </c>
      <c r="BB31" s="2" t="e">
        <f>(BB17-BA31*BA26)/BB26</f>
        <v>#DIV/0!</v>
      </c>
      <c r="BC31" s="2" t="e">
        <f>(BC17-BA27*BA31-BB27*BB31)/BC27</f>
        <v>#DIV/0!</v>
      </c>
      <c r="BD31" s="2" t="e">
        <f>(BD17-BA28*BA31-BB28*BB31-BC28*BC31)/BD28</f>
        <v>#DIV/0!</v>
      </c>
      <c r="BE31" s="2" t="e">
        <f>(BE17-BA29*BA31-BB29*BB31-BC29*BC31-BD29*BD31)/BE29</f>
        <v>#DIV/0!</v>
      </c>
      <c r="BF31" s="2" t="e">
        <f>(BF17-BA30*BA31-BB30*BB31-BC30*BC31-BD30*BD31-BE30*BE31)/BF30</f>
        <v>#DIV/0!</v>
      </c>
      <c r="BG31" s="2" t="e">
        <f>SQRT(BG17-BA31^2-BB31^2-BC31^2-BD31^2-BE31^2-BF31^2)</f>
        <v>#DIV/0!</v>
      </c>
      <c r="BJ31" s="8" t="e">
        <f>BJ17/BJ25</f>
        <v>#DIV/0!</v>
      </c>
      <c r="BK31" s="2" t="e">
        <f>(BK17-BJ31*BJ26)/BK26</f>
        <v>#DIV/0!</v>
      </c>
      <c r="BL31" s="2" t="e">
        <f>(BL17-BJ27*BJ31-BK27*BK31)/BL27</f>
        <v>#DIV/0!</v>
      </c>
      <c r="BM31" s="2" t="e">
        <f>(BM17-BJ28*BJ31-BK28*BK31-BL28*BL31)/BM28</f>
        <v>#DIV/0!</v>
      </c>
      <c r="BN31" s="2" t="e">
        <f>(BN17-BJ29*BJ31-BK29*BK31-BL29*BL31-BM29*BM31)/BN29</f>
        <v>#DIV/0!</v>
      </c>
      <c r="BO31" s="2" t="e">
        <f>(BO17-BJ30*BJ31-BK30*BK31-BL30*BL31-BM30*BM31-BN30*BN31)/BO30</f>
        <v>#DIV/0!</v>
      </c>
      <c r="BP31" s="2" t="e">
        <f>SQRT(BP17-BJ31^2-BK31^2-BL31^2-BM31^2-BN31^2-BO31^2)</f>
        <v>#DIV/0!</v>
      </c>
      <c r="BS31" s="8" t="e">
        <f>BS17/BS25</f>
        <v>#DIV/0!</v>
      </c>
      <c r="BT31" s="2" t="e">
        <f>(BT17-BS31*BS26)/BT26</f>
        <v>#DIV/0!</v>
      </c>
      <c r="BU31" s="2" t="e">
        <f>(BU17-BS27*BS31-BT27*BT31)/BU27</f>
        <v>#DIV/0!</v>
      </c>
      <c r="BV31" s="2" t="e">
        <f>(BV17-BS28*BS31-BT28*BT31-BU28*BU31)/BV28</f>
        <v>#DIV/0!</v>
      </c>
      <c r="BW31" s="2" t="e">
        <f>(BW17-BS29*BS31-BT29*BT31-BU29*BU31-BV29*BV31)/BW29</f>
        <v>#DIV/0!</v>
      </c>
      <c r="BX31" s="2" t="e">
        <f>(BX17-BS30*BS31-BT30*BT31-BU30*BU31-BV30*BV31-BW30*BW31)/BX30</f>
        <v>#DIV/0!</v>
      </c>
      <c r="BY31" s="2" t="e">
        <f>SQRT(BY17-BS31^2-BT31^2-BU31^2-BV31^2-BW31^2-BX31^2)</f>
        <v>#DIV/0!</v>
      </c>
      <c r="CE31" s="8" t="e">
        <f>CE17/CE25</f>
        <v>#DIV/0!</v>
      </c>
      <c r="CF31" s="2" t="e">
        <f>(CF17-CE31*CE26)/CF26</f>
        <v>#DIV/0!</v>
      </c>
      <c r="CG31" s="2" t="e">
        <f>(CG17-CE27*CE31-CF27*CF31)/CG27</f>
        <v>#DIV/0!</v>
      </c>
      <c r="CH31" s="2" t="e">
        <f>(CH17-CE28*CE31-CF28*CF31-CG28*CG31)/CH28</f>
        <v>#DIV/0!</v>
      </c>
      <c r="CI31" s="2" t="e">
        <f>(CI17-CE29*CE31-CF29*CF31-CG29*CG31-CH29*CH31)/CI29</f>
        <v>#DIV/0!</v>
      </c>
      <c r="CJ31" s="2" t="e">
        <f>(CJ17-CE30*CE31-CF30*CF31-CG30*CG31-CH30*CH31-CI30*CI31)/CJ30</f>
        <v>#DIV/0!</v>
      </c>
      <c r="CK31" s="2" t="e">
        <f>SQRT(CK17-CE31^2-CF31^2-CG31^2-CH31^2-CI31^2-CJ31^2)</f>
        <v>#DIV/0!</v>
      </c>
      <c r="CQ31" s="8" t="e">
        <f>CQ17/CQ25</f>
        <v>#DIV/0!</v>
      </c>
      <c r="CR31" s="2" t="e">
        <f>(CR17-CQ31*CQ26)/CR26</f>
        <v>#DIV/0!</v>
      </c>
      <c r="CS31" s="2" t="e">
        <f>(CS17-CQ27*CQ31-CR27*CR31)/CS27</f>
        <v>#DIV/0!</v>
      </c>
      <c r="CT31" s="2" t="e">
        <f>(CT17-CQ28*CQ31-CR28*CR31-CS28*CS31)/CT28</f>
        <v>#DIV/0!</v>
      </c>
      <c r="CU31" s="2" t="e">
        <f>(CU17-CQ29*CQ31-CR29*CR31-CS29*CS31-CT29*CT31)/CU29</f>
        <v>#DIV/0!</v>
      </c>
      <c r="CV31" s="2" t="e">
        <f>(CV17-CQ30*CQ31-CR30*CR31-CS30*CS31-CT30*CT31-CU30*CU31)/CV30</f>
        <v>#DIV/0!</v>
      </c>
      <c r="CW31" s="2" t="e">
        <f>SQRT(CW17-CQ31^2-CR31^2-CS31^2-CT31^2-CU31^2-CV31^2)</f>
        <v>#DIV/0!</v>
      </c>
    </row>
    <row r="32" spans="1:102" x14ac:dyDescent="0.2">
      <c r="A32" s="12">
        <v>8</v>
      </c>
      <c r="B32" s="8"/>
      <c r="AI32" s="8" t="e">
        <f>AI18/AI25</f>
        <v>#DIV/0!</v>
      </c>
      <c r="AJ32" s="2" t="e">
        <f>(AJ18-AI32*AI26)/AJ26</f>
        <v>#DIV/0!</v>
      </c>
      <c r="AK32" s="2" t="e">
        <f>(AK18-AI27*AI32-AJ27*AJ32)/AK27</f>
        <v>#DIV/0!</v>
      </c>
      <c r="AL32" s="2" t="e">
        <f>(AL18-AI28*AI32-AJ28*AJ32-AK28*AK32)/AL28</f>
        <v>#DIV/0!</v>
      </c>
      <c r="AM32" s="2" t="e">
        <f>(AM18-AI29*AI32-AJ29*AJ32-AK29*AK32-AL29*AL32)/AM29</f>
        <v>#DIV/0!</v>
      </c>
      <c r="AN32" s="2" t="e">
        <f>(AN18-AI30*AI32-AJ30*AJ32-AK30*AK32-AL30*AL32-AM30*AM32)/AN30</f>
        <v>#DIV/0!</v>
      </c>
      <c r="AO32" s="2" t="e">
        <f>(AO18-AI31*AI32-AJ31*AJ32-AK31*AK32-AL31*AL32-AM31*AM32-AN31*AN32)/AO31</f>
        <v>#DIV/0!</v>
      </c>
      <c r="AP32" s="2" t="e">
        <f>SQRT(AP18-AI32^2-AJ32^2-AK32^2-AL32^2-AM32^2-AN32^2-AO32^2)</f>
        <v>#DIV/0!</v>
      </c>
      <c r="AR32" s="8" t="e">
        <f>AR18/AR25</f>
        <v>#DIV/0!</v>
      </c>
      <c r="AS32" s="2" t="e">
        <f>(AS18-AR32*AR26)/AS26</f>
        <v>#DIV/0!</v>
      </c>
      <c r="AT32" s="2" t="e">
        <f>(AT18-AR27*AR32-AS27*AS32)/AT27</f>
        <v>#DIV/0!</v>
      </c>
      <c r="AU32" s="2" t="e">
        <f>(AU18-AR28*AR32-AS28*AS32-AT28*AT32)/AU28</f>
        <v>#DIV/0!</v>
      </c>
      <c r="AV32" s="2" t="e">
        <f>(AV18-AR29*AR32-AS29*AS32-AT29*AT32-AU29*AU32)/AV29</f>
        <v>#DIV/0!</v>
      </c>
      <c r="AW32" s="2" t="e">
        <f>(AW18-AR30*AR32-AS30*AS32-AT30*AT32-AU30*AU32-AV30*AV32)/AW30</f>
        <v>#DIV/0!</v>
      </c>
      <c r="AX32" s="2" t="e">
        <f>(AX18-AR31*AR32-AS31*AS32-AT31*AT32-AU31*AU32-AV31*AV32-AW31*AW32)/AX31</f>
        <v>#DIV/0!</v>
      </c>
      <c r="AY32" s="2" t="e">
        <f>SQRT(AY18-AR32^2-AS32^2-AT32^2-AU32^2-AV32^2-AW32^2-AX32^2)</f>
        <v>#DIV/0!</v>
      </c>
      <c r="BA32" s="8" t="e">
        <f>BA18/BA25</f>
        <v>#DIV/0!</v>
      </c>
      <c r="BB32" s="2" t="e">
        <f>(BB18-BA32*BA26)/BB26</f>
        <v>#DIV/0!</v>
      </c>
      <c r="BC32" s="2" t="e">
        <f>(BC18-BA27*BA32-BB27*BB32)/BC27</f>
        <v>#DIV/0!</v>
      </c>
      <c r="BD32" s="2" t="e">
        <f>(BD18-BA28*BA32-BB28*BB32-BC28*BC32)/BD28</f>
        <v>#DIV/0!</v>
      </c>
      <c r="BE32" s="2" t="e">
        <f>(BE18-BA29*BA32-BB29*BB32-BC29*BC32-BD29*BD32)/BE29</f>
        <v>#DIV/0!</v>
      </c>
      <c r="BF32" s="2" t="e">
        <f>(BF18-BA30*BA32-BB30*BB32-BC30*BC32-BD30*BD32-BE30*BE32)/BF30</f>
        <v>#DIV/0!</v>
      </c>
      <c r="BG32" s="2" t="e">
        <f>(BG18-BA31*BA32-BB31*BB32-BC31*BC32-BD31*BD32-BE31*BE32-BF31*BF32)/BG31</f>
        <v>#DIV/0!</v>
      </c>
      <c r="BH32" s="2" t="e">
        <f>SQRT(BH18-BA32^2-BB32^2-BC32^2-BD32^2-BE32^2-BF32^2-BG32^2)</f>
        <v>#DIV/0!</v>
      </c>
      <c r="BJ32" s="8" t="e">
        <f>BJ18/BJ25</f>
        <v>#DIV/0!</v>
      </c>
      <c r="BK32" s="2" t="e">
        <f>(BK18-BJ32*BJ26)/BK26</f>
        <v>#DIV/0!</v>
      </c>
      <c r="BL32" s="2" t="e">
        <f>(BL18-BJ27*BJ32-BK27*BK32)/BL27</f>
        <v>#DIV/0!</v>
      </c>
      <c r="BM32" s="2" t="e">
        <f>(BM18-BJ28*BJ32-BK28*BK32-BL28*BL32)/BM28</f>
        <v>#DIV/0!</v>
      </c>
      <c r="BN32" s="2" t="e">
        <f>(BN18-BJ29*BJ32-BK29*BK32-BL29*BL32-BM29*BM32)/BN29</f>
        <v>#DIV/0!</v>
      </c>
      <c r="BO32" s="2" t="e">
        <f>(BO18-BJ30*BJ32-BK30*BK32-BL30*BL32-BM30*BM32-BN30*BN32)/BO30</f>
        <v>#DIV/0!</v>
      </c>
      <c r="BP32" s="2" t="e">
        <f>(BP18-BJ31*BJ32-BK31*BK32-BL31*BL32-BM31*BM32-BN31*BN32-BO31*BO32)/BP31</f>
        <v>#DIV/0!</v>
      </c>
      <c r="BQ32" s="2" t="e">
        <f>SQRT(BQ18-BJ32^2-BK32^2-BL32^2-BM32^2-BN32^2-BO32^2-BP32^2)</f>
        <v>#DIV/0!</v>
      </c>
      <c r="BS32" s="8" t="e">
        <f>BS18/BS25</f>
        <v>#DIV/0!</v>
      </c>
      <c r="BT32" s="2" t="e">
        <f>(BT18-BS32*BS26)/BT26</f>
        <v>#DIV/0!</v>
      </c>
      <c r="BU32" s="2" t="e">
        <f>(BU18-BS27*BS32-BT27*BT32)/BU27</f>
        <v>#DIV/0!</v>
      </c>
      <c r="BV32" s="2" t="e">
        <f>(BV18-BS28*BS32-BT28*BT32-BU28*BU32)/BV28</f>
        <v>#DIV/0!</v>
      </c>
      <c r="BW32" s="2" t="e">
        <f>(BW18-BS29*BS32-BT29*BT32-BU29*BU32-BV29*BV32)/BW29</f>
        <v>#DIV/0!</v>
      </c>
      <c r="BX32" s="2" t="e">
        <f>(BX18-BS30*BS32-BT30*BT32-BU30*BU32-BV30*BV32-BW30*BW32)/BX30</f>
        <v>#DIV/0!</v>
      </c>
      <c r="BY32" s="2" t="e">
        <f>(BY18-BS31*BS32-BT31*BT32-BU31*BU32-BV31*BV32-BW31*BW32-BX31*BX32)/BY31</f>
        <v>#DIV/0!</v>
      </c>
      <c r="BZ32" s="2" t="e">
        <f>SQRT(BZ18-BS32^2-BT32^2-BU32^2-BV32^2-BW32^2-BX32^2-BY32^2)</f>
        <v>#DIV/0!</v>
      </c>
      <c r="CE32" s="8" t="e">
        <f>CE18/CE25</f>
        <v>#DIV/0!</v>
      </c>
      <c r="CF32" s="2" t="e">
        <f>(CF18-CE32*CE26)/CF26</f>
        <v>#DIV/0!</v>
      </c>
      <c r="CG32" s="2" t="e">
        <f>(CG18-CE27*CE32-CF27*CF32)/CG27</f>
        <v>#DIV/0!</v>
      </c>
      <c r="CH32" s="2" t="e">
        <f>(CH18-CE28*CE32-CF28*CF32-CG28*CG32)/CH28</f>
        <v>#DIV/0!</v>
      </c>
      <c r="CI32" s="2" t="e">
        <f>(CI18-CE29*CE32-CF29*CF32-CG29*CG32-CH29*CH32)/CI29</f>
        <v>#DIV/0!</v>
      </c>
      <c r="CJ32" s="2" t="e">
        <f>(CJ18-CE30*CE32-CF30*CF32-CG30*CG32-CH30*CH32-CI30*CI32)/CJ30</f>
        <v>#DIV/0!</v>
      </c>
      <c r="CK32" s="2" t="e">
        <f>(CK18-CE31*CE32-CF31*CF32-CG31*CG32-CH31*CH32-CI31*CI32-CJ31*CJ32)/CK31</f>
        <v>#DIV/0!</v>
      </c>
      <c r="CL32" s="2" t="e">
        <f>SQRT(CL18-CE32^2-CF32^2-CG32^2-CH32^2-CI32^2-CJ32^2-CK32^2)</f>
        <v>#DIV/0!</v>
      </c>
      <c r="CQ32" s="8" t="e">
        <f>CQ18/CQ25</f>
        <v>#DIV/0!</v>
      </c>
      <c r="CR32" s="2" t="e">
        <f>(CR18-CQ32*CQ26)/CR26</f>
        <v>#DIV/0!</v>
      </c>
      <c r="CS32" s="2" t="e">
        <f>(CS18-CQ27*CQ32-CR27*CR32)/CS27</f>
        <v>#DIV/0!</v>
      </c>
      <c r="CT32" s="2" t="e">
        <f>(CT18-CQ28*CQ32-CR28*CR32-CS28*CS32)/CT28</f>
        <v>#DIV/0!</v>
      </c>
      <c r="CU32" s="2" t="e">
        <f>(CU18-CQ29*CQ32-CR29*CR32-CS29*CS32-CT29*CT32)/CU29</f>
        <v>#DIV/0!</v>
      </c>
      <c r="CV32" s="2" t="e">
        <f>(CV18-CQ30*CQ32-CR30*CR32-CS30*CS32-CT30*CT32-CU30*CU32)/CV30</f>
        <v>#DIV/0!</v>
      </c>
      <c r="CW32" s="2" t="e">
        <f>(CW18-CQ31*CQ32-CR31*CR32-CS31*CS32-CT31*CT32-CU31*CU32-CV31*CV32)/CW31</f>
        <v>#DIV/0!</v>
      </c>
      <c r="CX32" s="2" t="e">
        <f>SQRT(CX18-CQ32^2-CR32^2-CS32^2-CT32^2-CU32^2-CV32^2-CW32^2)</f>
        <v>#DIV/0!</v>
      </c>
    </row>
    <row r="33" spans="1:106" x14ac:dyDescent="0.2">
      <c r="A33" s="12">
        <v>9</v>
      </c>
      <c r="B33" s="8"/>
      <c r="AI33" s="8" t="e">
        <f>AI19/AI25</f>
        <v>#DIV/0!</v>
      </c>
      <c r="AJ33" s="2" t="e">
        <f>(AJ19-AI33*AI26)/AJ26</f>
        <v>#DIV/0!</v>
      </c>
      <c r="AK33" s="2" t="e">
        <f>(AK19-AI27*AI33-AJ27*AJ33)/AK27</f>
        <v>#DIV/0!</v>
      </c>
      <c r="AL33" s="2" t="e">
        <f>(AL19-AI28*AI33-AJ28*AJ33-AK28*AK33)/AL28</f>
        <v>#DIV/0!</v>
      </c>
      <c r="AM33" s="2" t="e">
        <f>(AM19-AI29*AI33-AJ29*AJ33-AK29*AK33-AL29*AL33)/AM29</f>
        <v>#DIV/0!</v>
      </c>
      <c r="AN33" s="2" t="e">
        <f>(AN19-AI30*AI33-AJ30*AJ33-AK30*AK33-AL30*AL33-AM30*AM33)/AN30</f>
        <v>#DIV/0!</v>
      </c>
      <c r="AO33" s="2" t="e">
        <f>(AO19-AI31*AI33-AJ31*AJ33-AK31*AK33-AL31*AL33-AM31*AM33-AN31*AN33)/AO31</f>
        <v>#DIV/0!</v>
      </c>
      <c r="AP33" s="2" t="e">
        <f>(AP19-AI32*AI33-AJ32*AJ33-AK32*AK33-AL32*AL33-AM32*AM33-AN32*AN33-AO32*AO33)/AP32</f>
        <v>#DIV/0!</v>
      </c>
      <c r="AQ33" s="2" t="e">
        <f>SQRT(AQ19-AI33^2-AJ33^2-AK33^2-AL33^2-AM33^2-AN33^2-AO33^2-AP33^2)</f>
        <v>#DIV/0!</v>
      </c>
      <c r="AR33" s="8" t="e">
        <f>AR19/AR25</f>
        <v>#DIV/0!</v>
      </c>
      <c r="AS33" s="2" t="e">
        <f>(AS19-AR33*AR26)/AS26</f>
        <v>#DIV/0!</v>
      </c>
      <c r="AT33" s="2" t="e">
        <f>(AT19-AR27*AR33-AS27*AS33)/AT27</f>
        <v>#DIV/0!</v>
      </c>
      <c r="AU33" s="2" t="e">
        <f>(AU19-AR28*AR33-AS28*AS33-AT28*AT33)/AU28</f>
        <v>#DIV/0!</v>
      </c>
      <c r="AV33" s="2" t="e">
        <f>(AV19-AR29*AR33-AS29*AS33-AT29*AT33-AU29*AU33)/AV29</f>
        <v>#DIV/0!</v>
      </c>
      <c r="AW33" s="2" t="e">
        <f>(AW19-AR30*AR33-AS30*AS33-AT30*AT33-AU30*AU33-AV30*AV33)/AW30</f>
        <v>#DIV/0!</v>
      </c>
      <c r="AX33" s="2" t="e">
        <f>(AX19-AR31*AR33-AS31*AS33-AT31*AT33-AU31*AU33-AV31*AV33-AW31*AW33)/AX31</f>
        <v>#DIV/0!</v>
      </c>
      <c r="AY33" s="2" t="e">
        <f>(AY19-AR32*AR33-AS32*AS33-AT32*AT33-AU32*AU33-AV32*AV33-AW32*AW33-AX32*AX33)/AY32</f>
        <v>#DIV/0!</v>
      </c>
      <c r="AZ33" s="2" t="e">
        <f>SQRT(AZ19-AR33^2-AS33^2-AT33^2-AU33^2-AV33^2-AW33^2-AX33^2-AY33^2)</f>
        <v>#DIV/0!</v>
      </c>
      <c r="BA33" s="8" t="e">
        <f>BA19/BA25</f>
        <v>#DIV/0!</v>
      </c>
      <c r="BB33" s="2" t="e">
        <f>(BB19-BA33*BA26)/BB26</f>
        <v>#DIV/0!</v>
      </c>
      <c r="BC33" s="2" t="e">
        <f>(BC19-BA27*BA33-BB27*BB33)/BC27</f>
        <v>#DIV/0!</v>
      </c>
      <c r="BD33" s="2" t="e">
        <f>(BD19-BA28*BA33-BB28*BB33-BC28*BC33)/BD28</f>
        <v>#DIV/0!</v>
      </c>
      <c r="BE33" s="2" t="e">
        <f>(BE19-BA29*BA33-BB29*BB33-BC29*BC33-BD29*BD33)/BE29</f>
        <v>#DIV/0!</v>
      </c>
      <c r="BF33" s="2" t="e">
        <f>(BF19-BA30*BA33-BB30*BB33-BC30*BC33-BD30*BD33-BE30*BE33)/BF30</f>
        <v>#DIV/0!</v>
      </c>
      <c r="BG33" s="2" t="e">
        <f>(BG19-BA31*BA33-BB31*BB33-BC31*BC33-BD31*BD33-BE31*BE33-BF31*BF33)/BG31</f>
        <v>#DIV/0!</v>
      </c>
      <c r="BH33" s="2" t="e">
        <f>(BH19-BA32*BA33-BB32*BB33-BC32*BC33-BD32*BD33-BE32*BE33-BF32*BF33-BG32*BG33)/BH32</f>
        <v>#DIV/0!</v>
      </c>
      <c r="BI33" s="2" t="e">
        <f>SQRT(BI19-BA33^2-BB33^2-BC33^2-BD33^2-BE33^2-BF33^2-BG33^2-BH33^2)</f>
        <v>#DIV/0!</v>
      </c>
      <c r="BJ33" s="8" t="e">
        <f>BJ19/BJ25</f>
        <v>#DIV/0!</v>
      </c>
      <c r="BK33" s="2" t="e">
        <f>(BK19-BJ33*BJ26)/BK26</f>
        <v>#DIV/0!</v>
      </c>
      <c r="BL33" s="2" t="e">
        <f>(BL19-BJ27*BJ33-BK27*BK33)/BL27</f>
        <v>#DIV/0!</v>
      </c>
      <c r="BM33" s="2" t="e">
        <f>(BM19-BJ28*BJ33-BK28*BK33-BL28*BL33)/BM28</f>
        <v>#DIV/0!</v>
      </c>
      <c r="BN33" s="2" t="e">
        <f>(BN19-BJ29*BJ33-BK29*BK33-BL29*BL33-BM29*BM33)/BN29</f>
        <v>#DIV/0!</v>
      </c>
      <c r="BO33" s="2" t="e">
        <f>(BO19-BJ30*BJ33-BK30*BK33-BL30*BL33-BM30*BM33-BN30*BN33)/BO30</f>
        <v>#DIV/0!</v>
      </c>
      <c r="BP33" s="2" t="e">
        <f>(BP19-BJ31*BJ33-BK31*BK33-BL31*BL33-BM31*BM33-BN31*BN33-BO31*BO33)/BP31</f>
        <v>#DIV/0!</v>
      </c>
      <c r="BQ33" s="2" t="e">
        <f>(BQ19-BJ32*BJ33-BK32*BK33-BL32*BL33-BM32*BM33-BN32*BN33-BO32*BO33-BP32*BP33)/BQ32</f>
        <v>#DIV/0!</v>
      </c>
      <c r="BR33" s="2" t="e">
        <f>SQRT(BR19-BJ33^2-BK33^2-BL33^2-BM33^2-BN33^2-BO33^2-BP33^2-BQ33^2)</f>
        <v>#DIV/0!</v>
      </c>
      <c r="BS33" s="8" t="e">
        <f>BS19/BS25</f>
        <v>#DIV/0!</v>
      </c>
      <c r="BT33" s="2" t="e">
        <f>(BT19-BS33*BS26)/BT26</f>
        <v>#DIV/0!</v>
      </c>
      <c r="BU33" s="2" t="e">
        <f>(BU19-BS27*BS33-BT27*BT33)/BU27</f>
        <v>#DIV/0!</v>
      </c>
      <c r="BV33" s="2" t="e">
        <f>(BV19-BS28*BS33-BT28*BT33-BU28*BU33)/BV28</f>
        <v>#DIV/0!</v>
      </c>
      <c r="BW33" s="2" t="e">
        <f>(BW19-BS29*BS33-BT29*BT33-BU29*BU33-BV29*BV33)/BW29</f>
        <v>#DIV/0!</v>
      </c>
      <c r="BX33" s="2" t="e">
        <f>(BX19-BS30*BS33-BT30*BT33-BU30*BU33-BV30*BV33-BW30*BW33)/BX30</f>
        <v>#DIV/0!</v>
      </c>
      <c r="BY33" s="2" t="e">
        <f>(BY19-BS31*BS33-BT31*BT33-BU31*BU33-BV31*BV33-BW31*BW33-BX31*BX33)/BY31</f>
        <v>#DIV/0!</v>
      </c>
      <c r="BZ33" s="2" t="e">
        <f>(BZ19-BS32*BS33-BT32*BT33-BU32*BU33-BV32*BV33-BW32*BW33-BX32*BX33-BY32*BY33)/BZ32</f>
        <v>#DIV/0!</v>
      </c>
      <c r="CA33" s="2" t="e">
        <f>SQRT(CA19-BS33^2-BT33^2-BU33^2-BV33^2-BW33^2-BX33^2-BY33^2-BZ33^2)</f>
        <v>#DIV/0!</v>
      </c>
      <c r="CE33" s="8" t="e">
        <f>CE19/CE25</f>
        <v>#DIV/0!</v>
      </c>
      <c r="CF33" s="2" t="e">
        <f>(CF19-CE33*CE26)/CF26</f>
        <v>#DIV/0!</v>
      </c>
      <c r="CG33" s="2" t="e">
        <f>(CG19-CE27*CE33-CF27*CF33)/CG27</f>
        <v>#DIV/0!</v>
      </c>
      <c r="CH33" s="2" t="e">
        <f>(CH19-CE28*CE33-CF28*CF33-CG28*CG33)/CH28</f>
        <v>#DIV/0!</v>
      </c>
      <c r="CI33" s="2" t="e">
        <f>(CI19-CE29*CE33-CF29*CF33-CG29*CG33-CH29*CH33)/CI29</f>
        <v>#DIV/0!</v>
      </c>
      <c r="CJ33" s="2" t="e">
        <f>(CJ19-CE30*CE33-CF30*CF33-CG30*CG33-CH30*CH33-CI30*CI33)/CJ30</f>
        <v>#DIV/0!</v>
      </c>
      <c r="CK33" s="2" t="e">
        <f>(CK19-CE31*CE33-CF31*CF33-CG31*CG33-CH31*CH33-CI31*CI33-CJ31*CJ33)/CK31</f>
        <v>#DIV/0!</v>
      </c>
      <c r="CL33" s="2" t="e">
        <f>(CL19-CE32*CE33-CF32*CF33-CG32*CG33-CH32*CH33-CI32*CI33-CJ32*CJ33-CK32*CK33)/CL32</f>
        <v>#DIV/0!</v>
      </c>
      <c r="CM33" s="2" t="e">
        <f>SQRT(CM19-CE33^2-CF33^2-CG33^2-CH33^2-CI33^2-CJ33^2-CK33^2-CL33^2)</f>
        <v>#DIV/0!</v>
      </c>
      <c r="CQ33" s="8" t="e">
        <f>CQ19/CQ25</f>
        <v>#DIV/0!</v>
      </c>
      <c r="CR33" s="2" t="e">
        <f>(CR19-CQ33*CQ26)/CR26</f>
        <v>#DIV/0!</v>
      </c>
      <c r="CS33" s="2" t="e">
        <f>(CS19-CQ27*CQ33-CR27*CR33)/CS27</f>
        <v>#DIV/0!</v>
      </c>
      <c r="CT33" s="2" t="e">
        <f>(CT19-CQ28*CQ33-CR28*CR33-CS28*CS33)/CT28</f>
        <v>#DIV/0!</v>
      </c>
      <c r="CU33" s="2" t="e">
        <f>(CU19-CQ29*CQ33-CR29*CR33-CS29*CS33-CT29*CT33)/CU29</f>
        <v>#DIV/0!</v>
      </c>
      <c r="CV33" s="2" t="e">
        <f>(CV19-CQ30*CQ33-CR30*CR33-CS30*CS33-CT30*CT33-CU30*CU33)/CV30</f>
        <v>#DIV/0!</v>
      </c>
      <c r="CW33" s="2" t="e">
        <f>(CW19-CQ31*CQ33-CR31*CR33-CS31*CS33-CT31*CT33-CU31*CU33-CV31*CV33)/CW31</f>
        <v>#DIV/0!</v>
      </c>
      <c r="CX33" s="2" t="e">
        <f>(CX19-CQ32*CQ33-CR32*CR33-CS32*CS33-CT32*CT33-CU32*CU33-CV32*CV33-CW32*CW33)/CX32</f>
        <v>#DIV/0!</v>
      </c>
      <c r="CY33" s="2" t="e">
        <f>SQRT(CY19-CQ33^2-CR33^2-CS33^2-CT33^2-CU33^2-CV33^2-CW33^2-CX33^2)</f>
        <v>#DIV/0!</v>
      </c>
    </row>
    <row r="34" spans="1:106" x14ac:dyDescent="0.2">
      <c r="A34" s="12">
        <v>10</v>
      </c>
      <c r="B34" s="8"/>
      <c r="BS34" s="8" t="e">
        <f>BS20/BS25</f>
        <v>#DIV/0!</v>
      </c>
      <c r="BT34" s="2" t="e">
        <f>(BT20-BS34*BS26)/BT26</f>
        <v>#DIV/0!</v>
      </c>
      <c r="BU34" s="2" t="e">
        <f>(BU20-BS27*BS34-BT27*BT34)/BU27</f>
        <v>#DIV/0!</v>
      </c>
      <c r="BV34" s="2" t="e">
        <f>(BV20-BS28*BS34-BT28*BT34-BU28*BU34)/BV28</f>
        <v>#DIV/0!</v>
      </c>
      <c r="BW34" s="2" t="e">
        <f>(BW20-BS29*BS34-BT29*BT34-BU29*BU34-BV29*BV34)/BW29</f>
        <v>#DIV/0!</v>
      </c>
      <c r="BX34" s="2" t="e">
        <f>(BX20-BS30*BS34-BT30*BT34-BU30*BU34-BV30*BV34-BW30*BW34)/BX30</f>
        <v>#DIV/0!</v>
      </c>
      <c r="BY34" s="2" t="e">
        <f>(BY20-BS31*BS34-BT31*BT34-BU31*BU34-BV31*BV34-BW31*BW34-BX31*BX34)/BY31</f>
        <v>#DIV/0!</v>
      </c>
      <c r="BZ34" s="2" t="e">
        <f>(BZ20-BS32*BS34-BT32*BT34-BU32*BU34-BV32*BV34-BW32*BW34-BX32*BX34-BY32*BY34)/BZ32</f>
        <v>#DIV/0!</v>
      </c>
      <c r="CA34" s="2" t="e">
        <f>(CA20-BS33*BS34-BT33*BT34-BU33*BU34-BV33*BV34-BW33*BW34-BX33*BX34-BY33*BY34-BZ33*BZ34)/CA33</f>
        <v>#DIV/0!</v>
      </c>
      <c r="CB34" s="2" t="e">
        <f>SQRT(CB20-BS34^2-BT34^2-BU34^2-BV34^2-BW34^2-BX34^2-BY34^2-BZ34^2-CA34^2)</f>
        <v>#DIV/0!</v>
      </c>
      <c r="CE34" s="8" t="e">
        <f>CE20/CE25</f>
        <v>#DIV/0!</v>
      </c>
      <c r="CF34" s="2" t="e">
        <f>(CF20-CE34*CE26)/CF26</f>
        <v>#DIV/0!</v>
      </c>
      <c r="CG34" s="2" t="e">
        <f>(CG20-CE27*CE34-CF27*CF34)/CG27</f>
        <v>#DIV/0!</v>
      </c>
      <c r="CH34" s="2" t="e">
        <f>(CH20-CE28*CE34-CF28*CF34-CG28*CG34)/CH28</f>
        <v>#DIV/0!</v>
      </c>
      <c r="CI34" s="2" t="e">
        <f>(CI20-CE29*CE34-CF29*CF34-CG29*CG34-CH29*CH34)/CI29</f>
        <v>#DIV/0!</v>
      </c>
      <c r="CJ34" s="2" t="e">
        <f>(CJ20-CE30*CE34-CF30*CF34-CG30*CG34-CH30*CH34-CI30*CI34)/CJ30</f>
        <v>#DIV/0!</v>
      </c>
      <c r="CK34" s="2" t="e">
        <f>(CK20-CE31*CE34-CF31*CF34-CG31*CG34-CH31*CH34-CI31*CI34-CJ31*CJ34)/CK31</f>
        <v>#DIV/0!</v>
      </c>
      <c r="CL34" s="2" t="e">
        <f>(CL20-CE32*CE34-CF32*CF34-CG32*CG34-CH32*CH34-CI32*CI34-CJ32*CJ34-CK32*CK34)/CL32</f>
        <v>#DIV/0!</v>
      </c>
      <c r="CM34" s="2" t="e">
        <f>(CM20-CE33*CE34-CF33*CF34-CG33*CG34-CH33*CH34-CI33*CI34-CJ33*CJ34-CK33*CK34-CL33*CL34)/CM33</f>
        <v>#DIV/0!</v>
      </c>
      <c r="CN34" s="2" t="e">
        <f>SQRT(CN20-CE34^2-CF34^2-CG34^2-CH34^2-CI34^2-CJ34^2-CK34^2-CL34^2-CM34^2)</f>
        <v>#DIV/0!</v>
      </c>
      <c r="CQ34" s="8" t="e">
        <f>CQ20/CQ25</f>
        <v>#DIV/0!</v>
      </c>
      <c r="CR34" s="2" t="e">
        <f>(CR20-CQ34*CQ26)/CR26</f>
        <v>#DIV/0!</v>
      </c>
      <c r="CS34" s="2" t="e">
        <f>(CS20-CQ27*CQ34-CR27*CR34)/CS27</f>
        <v>#DIV/0!</v>
      </c>
      <c r="CT34" s="2" t="e">
        <f>(CT20-CQ28*CQ34-CR28*CR34-CS28*CS34)/CT28</f>
        <v>#DIV/0!</v>
      </c>
      <c r="CU34" s="2" t="e">
        <f>(CU20-CQ29*CQ34-CR29*CR34-CS29*CS34-CT29*CT34)/CU29</f>
        <v>#DIV/0!</v>
      </c>
      <c r="CV34" s="2" t="e">
        <f>(CV20-CQ30*CQ34-CR30*CR34-CS30*CS34-CT30*CT34-CU30*CU34)/CV30</f>
        <v>#DIV/0!</v>
      </c>
      <c r="CW34" s="2" t="e">
        <f>(CW20-CQ31*CQ34-CR31*CR34-CS31*CS34-CT31*CT34-CU31*CU34-CV31*CV34)/CW31</f>
        <v>#DIV/0!</v>
      </c>
      <c r="CX34" s="2" t="e">
        <f>(CX20-CQ32*CQ34-CR32*CR34-CS32*CS34-CT32*CT34-CU32*CU34-CV32*CV34-CW32*CW34)/CX32</f>
        <v>#DIV/0!</v>
      </c>
      <c r="CY34" s="2" t="e">
        <f>(CY20-CQ33*CQ34-CR33*CR34-CS33*CS34-CT33*CT34-CU33*CU34-CV33*CV34-CW33*CW34-CX33*CX34)/CY33</f>
        <v>#DIV/0!</v>
      </c>
      <c r="CZ34" s="2" t="e">
        <f>SQRT(CZ20-CQ34^2-CR34^2-CS34^2-CT34^2-CU34^2-CV34^2-CW34^2-CX34^2-CY34^2)</f>
        <v>#DIV/0!</v>
      </c>
    </row>
    <row r="35" spans="1:106" x14ac:dyDescent="0.2">
      <c r="A35" s="12">
        <v>11</v>
      </c>
      <c r="B35" s="8"/>
      <c r="BS35" s="8" t="e">
        <f>BS21/BS25</f>
        <v>#DIV/0!</v>
      </c>
      <c r="BT35" s="2" t="e">
        <f>(BT21-BS35*BS26)/BT26</f>
        <v>#DIV/0!</v>
      </c>
      <c r="BU35" s="2" t="e">
        <f>(BU21-BS27*BS35-BT27*BT35)/BU27</f>
        <v>#DIV/0!</v>
      </c>
      <c r="BV35" s="2" t="e">
        <f>(BV21-BS28*BS35-BT28*BT35-BU28*BU35)/BV28</f>
        <v>#DIV/0!</v>
      </c>
      <c r="BW35" s="2" t="e">
        <f>(BW21-BS29*BS35-BT29*BT35-BU29*BU35-BV29*BV35)/BW29</f>
        <v>#DIV/0!</v>
      </c>
      <c r="BX35" s="2" t="e">
        <f>(BX21-BS30*BS35-BT30*BT35-BU30*BU35-BV30*BV35-BW30*BW35)/BX30</f>
        <v>#DIV/0!</v>
      </c>
      <c r="BY35" s="2" t="e">
        <f>(BY21-BS31*BS35-BT31*BT35-BU31*BU35-BV31*BV35-BW31*BW35-BX31*BX35)/BY31</f>
        <v>#DIV/0!</v>
      </c>
      <c r="BZ35" s="2" t="e">
        <f>(BZ21-BS32*BS35-BT32*BT35-BU32*BU35-BV32*BV35-BW32*BW35-BX32*BX35-BY32*BY35)/BZ32</f>
        <v>#DIV/0!</v>
      </c>
      <c r="CA35" s="2" t="e">
        <f>(CA21-BS33*BS35-BT33*BT35-BU33*BU35-BV33*BV35-BW33*BW35-BX33*BX35-BY33*BY35-BZ33*BZ35)/CA33</f>
        <v>#DIV/0!</v>
      </c>
      <c r="CB35" s="2" t="e">
        <f>(CB21-BS34*BS35-BT34*BT35-BU34*BU35-BV34*BV35-BW34*BW35-BX34*BX35-BY34*BY35-BZ34*BZ35-CA34*CA35)/CB34</f>
        <v>#DIV/0!</v>
      </c>
      <c r="CC35" s="2" t="e">
        <f>SQRT(CC21-BS35^2-BT35^2-BU35^2-BV35^2-BW35^2-BX35^2-BY35^2-BZ35^2-CA35^2-CB35^2)</f>
        <v>#DIV/0!</v>
      </c>
      <c r="CE35" s="8" t="e">
        <f>CE21/CE25</f>
        <v>#DIV/0!</v>
      </c>
      <c r="CF35" s="2" t="e">
        <f>(CF21-CE35*CE26)/CF26</f>
        <v>#DIV/0!</v>
      </c>
      <c r="CG35" s="2" t="e">
        <f>(CG21-CE27*CE35-CF27*CF35)/CG27</f>
        <v>#DIV/0!</v>
      </c>
      <c r="CH35" s="2" t="e">
        <f>(CH21-CE28*CE35-CF28*CF35-CG28*CG35)/CH28</f>
        <v>#DIV/0!</v>
      </c>
      <c r="CI35" s="2" t="e">
        <f>(CI21-CE29*CE35-CF29*CF35-CG29*CG35-CH29*CH35)/CI29</f>
        <v>#DIV/0!</v>
      </c>
      <c r="CJ35" s="2" t="e">
        <f>(CJ21-CE30*CE35-CF30*CF35-CG30*CG35-CH30*CH35-CI30*CI35)/CJ30</f>
        <v>#DIV/0!</v>
      </c>
      <c r="CK35" s="2" t="e">
        <f>(CK21-CE31*CE35-CF31*CF35-CG31*CG35-CH31*CH35-CI31*CI35-CJ31*CJ35)/CK31</f>
        <v>#DIV/0!</v>
      </c>
      <c r="CL35" s="2" t="e">
        <f>(CL21-CE32*CE35-CF32*CF35-CG32*CG35-CH32*CH35-CI32*CI35-CJ32*CJ35-CK32*CK35)/CL32</f>
        <v>#DIV/0!</v>
      </c>
      <c r="CM35" s="2" t="e">
        <f>(CM21-CE33*CE35-CF33*CF35-CG33*CG35-CH33*CH35-CI33*CI35-CJ33*CJ35-CK33*CK35-CL33*CL35)/CM33</f>
        <v>#DIV/0!</v>
      </c>
      <c r="CN35" s="2" t="e">
        <f>(CN21-CE34*CE35-CF34*CF35-CG34*CG35-CH34*CH35-CI34*CI35-CJ34*CJ35-CK34*CK35-CL34*CL35-CM34*CM35)/CN34</f>
        <v>#DIV/0!</v>
      </c>
      <c r="CO35" s="2" t="e">
        <f>SQRT(CO21-CE35^2-CF35^2-CG35^2-CH35^2-CI35^2-CJ35^2-CK35^2-CL35^2-CM35^2-CN35^2)</f>
        <v>#DIV/0!</v>
      </c>
      <c r="CQ35" s="8" t="e">
        <f>CQ21/CQ25</f>
        <v>#DIV/0!</v>
      </c>
      <c r="CR35" s="2" t="e">
        <f>(CR21-CQ35*CQ26)/CR26</f>
        <v>#DIV/0!</v>
      </c>
      <c r="CS35" s="2" t="e">
        <f>(CS21-CQ27*CQ35-CR27*CR35)/CS27</f>
        <v>#DIV/0!</v>
      </c>
      <c r="CT35" s="2" t="e">
        <f>(CT21-CQ28*CQ35-CR28*CR35-CS28*CS35)/CT28</f>
        <v>#DIV/0!</v>
      </c>
      <c r="CU35" s="2" t="e">
        <f>(CU21-CQ29*CQ35-CR29*CR35-CS29*CS35-CT29*CT35)/CU29</f>
        <v>#DIV/0!</v>
      </c>
      <c r="CV35" s="2" t="e">
        <f>(CV21-CQ30*CQ35-CR30*CR35-CS30*CS35-CT30*CT35-CU30*CU35)/CV30</f>
        <v>#DIV/0!</v>
      </c>
      <c r="CW35" s="2" t="e">
        <f>(CW21-CQ31*CQ35-CR31*CR35-CS31*CS35-CT31*CT35-CU31*CU35-CV31*CV35)/CW31</f>
        <v>#DIV/0!</v>
      </c>
      <c r="CX35" s="2" t="e">
        <f>(CX21-CQ32*CQ35-CR32*CR35-CS32*CS35-CT32*CT35-CU32*CU35-CV32*CV35-CW32*CW35)/CX32</f>
        <v>#DIV/0!</v>
      </c>
      <c r="CY35" s="2" t="e">
        <f>(CY21-CQ33*CQ35-CR33*CR35-CS33*CS35-CT33*CT35-CU33*CU35-CV33*CV35-CW33*CW35-CX33*CX35)/CY33</f>
        <v>#DIV/0!</v>
      </c>
      <c r="CZ35" s="2" t="e">
        <f>(CZ21-CQ34*CQ35-CR34*CR35-CS34*CS35-CT34*CT35-CU34*CU35-CV34*CV35-CW34*CW35-CX34*CX35-CY34*CY35)/CZ34</f>
        <v>#DIV/0!</v>
      </c>
      <c r="DA35" s="2" t="e">
        <f>SQRT(DA21-CQ35^2-CR35^2-CS35^2-CT35^2-CU35^2-CV35^2-CW35^2-CX35^2-CY35^2-CZ35^2)</f>
        <v>#DIV/0!</v>
      </c>
    </row>
    <row r="36" spans="1:106" x14ac:dyDescent="0.2">
      <c r="A36" s="12">
        <v>12</v>
      </c>
      <c r="B36" s="8"/>
      <c r="BS36" s="8" t="e">
        <f>BS22/BS25</f>
        <v>#DIV/0!</v>
      </c>
      <c r="BT36" s="2" t="e">
        <f>(BT22-BS36*BS26)/BT26</f>
        <v>#DIV/0!</v>
      </c>
      <c r="BU36" s="2" t="e">
        <f>(BU22-BS27*BS36-BT27*BT36)/BU27</f>
        <v>#DIV/0!</v>
      </c>
      <c r="BV36" s="2" t="e">
        <f>(BV22-BS28*BS36-BT28*BT36-BU28*BU36)/BV28</f>
        <v>#DIV/0!</v>
      </c>
      <c r="BW36" s="2" t="e">
        <f>(BW22-BS29*BS36-BT29*BT36-BU29*BU36-BV29*BV36)/BW29</f>
        <v>#DIV/0!</v>
      </c>
      <c r="BX36" s="2" t="e">
        <f>(BX22-BS30*BS36-BT30*BT36-BU30*BU36-BV30*BV36-BW30*BW36)/BX30</f>
        <v>#DIV/0!</v>
      </c>
      <c r="BY36" s="2" t="e">
        <f>(BY22-BS31*BS36-BT31*BT36-BU31*BU36-BV31*BV36-BW31*BW36-BX31*BX36)/BY31</f>
        <v>#DIV/0!</v>
      </c>
      <c r="BZ36" s="2" t="e">
        <f>(BZ22-BS32*BS36-BT32*BT36-BU32*BU36-BV32*BV36-BW32*BW36-BX32*BX36-BY32*BY36)/BZ32</f>
        <v>#DIV/0!</v>
      </c>
      <c r="CA36" s="2" t="e">
        <f>(CA22-BS33*BS36-BT33*BT36-BU33*BU36-BV33*BV36-BW33*BW36-BX33*BX36-BY33*BY36-BZ33*BZ36)/CA33</f>
        <v>#DIV/0!</v>
      </c>
      <c r="CB36" s="2" t="e">
        <f>(CB22-BS34*BS36-BT34*BT36-BU34*BU36-BV34*BV36-BW34*BW36-BX34*BX36-BY34*BY36-BZ34*BZ36-CA34*CA36)/CB34</f>
        <v>#DIV/0!</v>
      </c>
      <c r="CC36" s="2" t="e">
        <f>(CC22-BS35*BS36-BT35*BT36-BU35*BU36-BV35*BV36-BW35*BW36-BX35*BX36-BY35*BY36-BZ35*BZ36-CA35*CA36-CB35*CB36)/CC35</f>
        <v>#DIV/0!</v>
      </c>
      <c r="CD36" s="2" t="e">
        <f>SQRT(CD22-BS36^2-BT36^2-BU36^2-BV36^2-BW36^2-BX36^2-BY36^2-BZ36^2-CA36^2-CB36^2-CC36^2)</f>
        <v>#DIV/0!</v>
      </c>
      <c r="CE36" s="8" t="e">
        <f>CE22/CE25</f>
        <v>#DIV/0!</v>
      </c>
      <c r="CF36" s="2" t="e">
        <f>(CF22-CE36*CE26)/CF26</f>
        <v>#DIV/0!</v>
      </c>
      <c r="CG36" s="2" t="e">
        <f>(CG22-CE27*CE36-CF27*CF36)/CG27</f>
        <v>#DIV/0!</v>
      </c>
      <c r="CH36" s="2" t="e">
        <f>(CH22-CE28*CE36-CF28*CF36-CG28*CG36)/CH28</f>
        <v>#DIV/0!</v>
      </c>
      <c r="CI36" s="2" t="e">
        <f>(CI22-CE29*CE36-CF29*CF36-CG29*CG36-CH29*CH36)/CI29</f>
        <v>#DIV/0!</v>
      </c>
      <c r="CJ36" s="2" t="e">
        <f>(CJ22-CE30*CE36-CF30*CF36-CG30*CG36-CH30*CH36-CI30*CI36)/CJ30</f>
        <v>#DIV/0!</v>
      </c>
      <c r="CK36" s="2" t="e">
        <f>(CK22-CE31*CE36-CF31*CF36-CG31*CG36-CH31*CH36-CI31*CI36-CJ31*CJ36)/CK31</f>
        <v>#DIV/0!</v>
      </c>
      <c r="CL36" s="2" t="e">
        <f>(CL22-CE32*CE36-CF32*CF36-CG32*CG36-CH32*CH36-CI32*CI36-CJ32*CJ36-CK32*CK36)/CL32</f>
        <v>#DIV/0!</v>
      </c>
      <c r="CM36" s="2" t="e">
        <f>(CM22-CE33*CE36-CF33*CF36-CG33*CG36-CH33*CH36-CI33*CI36-CJ33*CJ36-CK33*CK36-CL33*CL36)/CM33</f>
        <v>#DIV/0!</v>
      </c>
      <c r="CN36" s="2" t="e">
        <f>(CN22-CE34*CE36-CF34*CF36-CG34*CG36-CH34*CH36-CI34*CI36-CJ34*CJ36-CK34*CK36-CL34*CL36-CM34*CM36)/CN34</f>
        <v>#DIV/0!</v>
      </c>
      <c r="CO36" s="2" t="e">
        <f>(CO22-CE35*CE36-CF35*CF36-CG35*CG36-CH35*CH36-CI35*CI36-CJ35*CJ36-CK35*CK36-CL35*CL36-CM35*CM36-CN35*CN36)/CO35</f>
        <v>#DIV/0!</v>
      </c>
      <c r="CP36" s="2" t="e">
        <f>SQRT(CP22-CE36^2-CF36^2-CG36^2-CH36^2-CI36^2-CJ36^2-CK36^2-CL36^2-CM36^2-CN36^2-CO36^2)</f>
        <v>#DIV/0!</v>
      </c>
      <c r="CQ36" s="8" t="e">
        <f>CQ22/CQ25</f>
        <v>#DIV/0!</v>
      </c>
      <c r="CR36" s="2" t="e">
        <f>(CR22-CQ36*CQ26)/CR26</f>
        <v>#DIV/0!</v>
      </c>
      <c r="CS36" s="2" t="e">
        <f>(CS22-CQ27*CQ36-CR27*CR36)/CS27</f>
        <v>#DIV/0!</v>
      </c>
      <c r="CT36" s="2" t="e">
        <f>(CT22-CQ28*CQ36-CR28*CR36-CS28*CS36)/CT28</f>
        <v>#DIV/0!</v>
      </c>
      <c r="CU36" s="2" t="e">
        <f>(CU22-CQ29*CQ36-CR29*CR36-CS29*CS36-CT29*CT36)/CU29</f>
        <v>#DIV/0!</v>
      </c>
      <c r="CV36" s="2" t="e">
        <f>(CV22-CQ30*CQ36-CR30*CR36-CS30*CS36-CT30*CT36-CU30*CU36)/CV30</f>
        <v>#DIV/0!</v>
      </c>
      <c r="CW36" s="2" t="e">
        <f>(CW22-CQ31*CQ36-CR31*CR36-CS31*CS36-CT31*CT36-CU31*CU36-CV31*CV36)/CW31</f>
        <v>#DIV/0!</v>
      </c>
      <c r="CX36" s="2" t="e">
        <f>(CX22-CQ32*CQ36-CR32*CR36-CS32*CS36-CT32*CT36-CU32*CU36-CV32*CV36-CW32*CW36)/CX32</f>
        <v>#DIV/0!</v>
      </c>
      <c r="CY36" s="2" t="e">
        <f>(CY22-CQ33*CQ36-CR33*CR36-CS33*CS36-CT33*CT36-CU33*CU36-CV33*CV36-CW33*CW36-CX33*CX36)/CY33</f>
        <v>#DIV/0!</v>
      </c>
      <c r="CZ36" s="2" t="e">
        <f>(CZ22-CQ34*CQ36-CR34*CR36-CS34*CS36-CT34*CT36-CU34*CU36-CV34*CV36-CW34*CW36-CX34*CX36-CY34*CY36)/CZ34</f>
        <v>#DIV/0!</v>
      </c>
      <c r="DA36" s="2" t="e">
        <f>(DA22-CQ35*CQ36-CR35*CR36-CS35*CS36-CT35*CT36-CU35*CU36-CV35*CV36-CW35*CW36-CX35*CX36-CY35*CY36-CZ35*CZ36)/DA35</f>
        <v>#DIV/0!</v>
      </c>
      <c r="DB36" s="2" t="e">
        <f>SQRT(DB22-CQ36^2-CR36^2-CS36^2-CT36^2-CU36^2-CV36^2-CW36^2-CX36^2-CY36^2-CZ36^2-DA36^2)</f>
        <v>#DIV/0!</v>
      </c>
    </row>
    <row r="37" spans="1:106" x14ac:dyDescent="0.2">
      <c r="A37" s="6"/>
      <c r="B37" s="8"/>
    </row>
    <row r="38" spans="1:106" x14ac:dyDescent="0.2">
      <c r="A38" s="6" t="s">
        <v>11</v>
      </c>
      <c r="B38" s="8">
        <f ca="1">NORMINV(RAND(),0,1)</f>
        <v>0.71991345459981004</v>
      </c>
      <c r="C38" s="2">
        <f t="shared" ref="C38:D38" ca="1" si="0">NORMINV(RAND(),0,1)</f>
        <v>0.35649346727215664</v>
      </c>
      <c r="D38" s="2">
        <f t="shared" ca="1" si="0"/>
        <v>1.0743700021227554</v>
      </c>
      <c r="E38" s="8">
        <f ca="1">NORMINV(RAND(),0,1)</f>
        <v>0.30595934051949519</v>
      </c>
      <c r="F38" s="2">
        <f t="shared" ref="F38:J38" ca="1" si="1">NORMINV(RAND(),0,1)</f>
        <v>1.5747092654461317</v>
      </c>
      <c r="G38" s="2">
        <f t="shared" ca="1" si="1"/>
        <v>0.96874291885065567</v>
      </c>
      <c r="H38" s="2">
        <f t="shared" ca="1" si="1"/>
        <v>-1.2354566785347498</v>
      </c>
      <c r="I38" s="2">
        <f t="shared" ca="1" si="1"/>
        <v>-0.62841908134130031</v>
      </c>
      <c r="J38" s="2">
        <f t="shared" ca="1" si="1"/>
        <v>1.3649953195429212</v>
      </c>
      <c r="K38" s="8">
        <f ca="1">NORMINV(RAND(),0,1)</f>
        <v>-6.6063350891547121E-2</v>
      </c>
      <c r="L38" s="2">
        <f t="shared" ref="L38:P38" ca="1" si="2">NORMINV(RAND(),0,1)</f>
        <v>-0.15434418603804276</v>
      </c>
      <c r="M38" s="2">
        <f t="shared" ca="1" si="2"/>
        <v>-2.8469163225547538</v>
      </c>
      <c r="N38" s="2">
        <f t="shared" ca="1" si="2"/>
        <v>0.23325574780900638</v>
      </c>
      <c r="O38" s="2">
        <f t="shared" ca="1" si="2"/>
        <v>0.82450357773366456</v>
      </c>
      <c r="P38" s="2">
        <f t="shared" ca="1" si="2"/>
        <v>0.31609147741835381</v>
      </c>
      <c r="Q38" s="8">
        <f ca="1">NORMINV(RAND(),0,1)</f>
        <v>0.4390075562104726</v>
      </c>
      <c r="R38" s="2">
        <f t="shared" ref="R38:V38" ca="1" si="3">NORMINV(RAND(),0,1)</f>
        <v>-0.8802915976476382</v>
      </c>
      <c r="S38" s="2">
        <f t="shared" ca="1" si="3"/>
        <v>0.60837966522678766</v>
      </c>
      <c r="T38" s="2">
        <f t="shared" ca="1" si="3"/>
        <v>5.4843706232503842E-2</v>
      </c>
      <c r="U38" s="2">
        <f t="shared" ca="1" si="3"/>
        <v>-0.10323786603236529</v>
      </c>
      <c r="V38" s="2">
        <f t="shared" ca="1" si="3"/>
        <v>-0.83486109557237542</v>
      </c>
      <c r="W38" s="8">
        <f ca="1">NORMINV(RAND(),0,1)</f>
        <v>0.32766613214093282</v>
      </c>
      <c r="X38" s="2">
        <f t="shared" ref="X38:AB38" ca="1" si="4">NORMINV(RAND(),0,1)</f>
        <v>-0.96392008248265393</v>
      </c>
      <c r="Y38" s="2">
        <f t="shared" ca="1" si="4"/>
        <v>0.67623571784520253</v>
      </c>
      <c r="Z38" s="2">
        <f t="shared" ca="1" si="4"/>
        <v>-1.3819263015299743</v>
      </c>
      <c r="AA38" s="2">
        <f t="shared" ca="1" si="4"/>
        <v>-0.28392626191520048</v>
      </c>
      <c r="AB38" s="2">
        <f t="shared" ca="1" si="4"/>
        <v>0.15623505413449293</v>
      </c>
      <c r="AC38" s="8">
        <f ca="1">NORMINV(RAND(),0,1)</f>
        <v>-1.3923196699069669</v>
      </c>
      <c r="AD38" s="2">
        <f t="shared" ref="AD38:AH38" ca="1" si="5">NORMINV(RAND(),0,1)</f>
        <v>-5.7821967312977451E-2</v>
      </c>
      <c r="AE38" s="2">
        <f t="shared" ca="1" si="5"/>
        <v>2.0006208877301446</v>
      </c>
      <c r="AF38" s="2">
        <f t="shared" ca="1" si="5"/>
        <v>-1.146529779523344</v>
      </c>
      <c r="AG38" s="2">
        <f t="shared" ca="1" si="5"/>
        <v>-0.19381211513130145</v>
      </c>
      <c r="AH38" s="2">
        <f t="shared" ca="1" si="5"/>
        <v>0.40574088372049322</v>
      </c>
      <c r="AI38" s="8">
        <f ca="1">NORMINV(RAND(),0,1)</f>
        <v>2.123878976682755</v>
      </c>
      <c r="AJ38" s="2">
        <f t="shared" ref="AJ38:AQ38" ca="1" si="6">NORMINV(RAND(),0,1)</f>
        <v>-0.7832556161305545</v>
      </c>
      <c r="AK38" s="2">
        <f t="shared" ca="1" si="6"/>
        <v>1.3448745943072353</v>
      </c>
      <c r="AL38" s="2">
        <f t="shared" ca="1" si="6"/>
        <v>-0.83321964005868565</v>
      </c>
      <c r="AM38" s="2">
        <f t="shared" ca="1" si="6"/>
        <v>-0.91208399137112495</v>
      </c>
      <c r="AN38" s="2">
        <f t="shared" ca="1" si="6"/>
        <v>0.81898901373797184</v>
      </c>
      <c r="AO38" s="2">
        <f t="shared" ca="1" si="6"/>
        <v>0.73402611113146865</v>
      </c>
      <c r="AP38" s="2">
        <f t="shared" ca="1" si="6"/>
        <v>-0.46996003602456959</v>
      </c>
      <c r="AQ38" s="2">
        <f t="shared" ca="1" si="6"/>
        <v>0.84438513809066784</v>
      </c>
      <c r="AR38" s="8">
        <f ca="1">NORMINV(RAND(),0,1)</f>
        <v>-0.98176863712133144</v>
      </c>
      <c r="AS38" s="2">
        <f t="shared" ref="AS38:AZ38" ca="1" si="7">NORMINV(RAND(),0,1)</f>
        <v>-0.43856442980617333</v>
      </c>
      <c r="AT38" s="2">
        <f t="shared" ca="1" si="7"/>
        <v>0.33525911731524177</v>
      </c>
      <c r="AU38" s="2">
        <f t="shared" ca="1" si="7"/>
        <v>-1.0630454022061686</v>
      </c>
      <c r="AV38" s="2">
        <f t="shared" ca="1" si="7"/>
        <v>-0.97073328815485338</v>
      </c>
      <c r="AW38" s="2">
        <f t="shared" ca="1" si="7"/>
        <v>-0.91263656404123483</v>
      </c>
      <c r="AX38" s="2">
        <f t="shared" ca="1" si="7"/>
        <v>-3.7377759353723956E-2</v>
      </c>
      <c r="AY38" s="2">
        <f t="shared" ca="1" si="7"/>
        <v>2.5850312116951806E-2</v>
      </c>
      <c r="AZ38" s="2">
        <f t="shared" ca="1" si="7"/>
        <v>-1.4253538772458143</v>
      </c>
      <c r="BA38" s="8">
        <f ca="1">NORMINV(RAND(),0,1)</f>
        <v>-3.7883906006068634E-2</v>
      </c>
      <c r="BB38" s="2">
        <f t="shared" ref="BB38:BI38" ca="1" si="8">NORMINV(RAND(),0,1)</f>
        <v>-2.3311211741777131</v>
      </c>
      <c r="BC38" s="2">
        <f t="shared" ca="1" si="8"/>
        <v>-0.22568394646500661</v>
      </c>
      <c r="BD38" s="2">
        <f t="shared" ca="1" si="8"/>
        <v>-0.72512648484695286</v>
      </c>
      <c r="BE38" s="2">
        <f t="shared" ca="1" si="8"/>
        <v>-1.1690579754026287</v>
      </c>
      <c r="BF38" s="2">
        <f t="shared" ca="1" si="8"/>
        <v>1.3969801757108942</v>
      </c>
      <c r="BG38" s="2">
        <f t="shared" ca="1" si="8"/>
        <v>-0.43687105189824277</v>
      </c>
      <c r="BH38" s="2">
        <f t="shared" ca="1" si="8"/>
        <v>1.1125909659922038</v>
      </c>
      <c r="BI38" s="2">
        <f t="shared" ca="1" si="8"/>
        <v>0.65637118873187439</v>
      </c>
      <c r="BJ38" s="8">
        <f ca="1">NORMINV(RAND(),0,1)</f>
        <v>0.4734609143866339</v>
      </c>
      <c r="BK38" s="2">
        <f t="shared" ref="BK38:BR38" ca="1" si="9">NORMINV(RAND(),0,1)</f>
        <v>0.36053369034848426</v>
      </c>
      <c r="BL38" s="2">
        <f t="shared" ca="1" si="9"/>
        <v>1.5124027935698872</v>
      </c>
      <c r="BM38" s="2">
        <f t="shared" ca="1" si="9"/>
        <v>1.7696101198489782</v>
      </c>
      <c r="BN38" s="2">
        <f t="shared" ca="1" si="9"/>
        <v>0.96217729389976581</v>
      </c>
      <c r="BO38" s="2">
        <f t="shared" ca="1" si="9"/>
        <v>1.5877541615658362</v>
      </c>
      <c r="BP38" s="2">
        <f t="shared" ca="1" si="9"/>
        <v>-1.3003279379253947</v>
      </c>
      <c r="BQ38" s="2">
        <f t="shared" ca="1" si="9"/>
        <v>-5.3169310630320987E-2</v>
      </c>
      <c r="BR38" s="2">
        <f t="shared" ca="1" si="9"/>
        <v>-4.9832185362928147E-2</v>
      </c>
      <c r="BS38" s="8">
        <f ca="1">NORMINV(RAND(),0,1)</f>
        <v>0.4535305974540994</v>
      </c>
      <c r="BT38" s="2">
        <f t="shared" ref="BT38:CD38" ca="1" si="10">NORMINV(RAND(),0,1)</f>
        <v>4.5650847254708929E-2</v>
      </c>
      <c r="BU38" s="2">
        <f t="shared" ca="1" si="10"/>
        <v>-0.10987498844826717</v>
      </c>
      <c r="BV38" s="2">
        <f t="shared" ca="1" si="10"/>
        <v>0.77193452827530806</v>
      </c>
      <c r="BW38" s="2">
        <f t="shared" ca="1" si="10"/>
        <v>-2.4543566070484558E-3</v>
      </c>
      <c r="BX38" s="2">
        <f t="shared" ca="1" si="10"/>
        <v>-0.91492174729384823</v>
      </c>
      <c r="BY38" s="2">
        <f t="shared" ca="1" si="10"/>
        <v>1.5732073168690111</v>
      </c>
      <c r="BZ38" s="2">
        <f t="shared" ca="1" si="10"/>
        <v>0.39686136409551731</v>
      </c>
      <c r="CA38" s="2">
        <f t="shared" ca="1" si="10"/>
        <v>3.3914491735750434</v>
      </c>
      <c r="CB38" s="2">
        <f t="shared" ca="1" si="10"/>
        <v>-0.29127932860847361</v>
      </c>
      <c r="CC38" s="2">
        <f t="shared" ca="1" si="10"/>
        <v>-0.96722191723256234</v>
      </c>
      <c r="CD38" s="2">
        <f t="shared" ca="1" si="10"/>
        <v>-0.33584651024088302</v>
      </c>
      <c r="CE38" s="8">
        <f ca="1">NORMINV(RAND(),0,1)</f>
        <v>0.56013367520600044</v>
      </c>
      <c r="CF38" s="2">
        <f t="shared" ref="CF38:CP38" ca="1" si="11">NORMINV(RAND(),0,1)</f>
        <v>-0.64225328753726096</v>
      </c>
      <c r="CG38" s="2">
        <f t="shared" ca="1" si="11"/>
        <v>1.0966392077444524</v>
      </c>
      <c r="CH38" s="2">
        <f t="shared" ca="1" si="11"/>
        <v>-0.6152922794818092</v>
      </c>
      <c r="CI38" s="2">
        <f t="shared" ca="1" si="11"/>
        <v>-1.0875116246957317</v>
      </c>
      <c r="CJ38" s="2">
        <f t="shared" ca="1" si="11"/>
        <v>0.49949204476564657</v>
      </c>
      <c r="CK38" s="2">
        <f t="shared" ca="1" si="11"/>
        <v>-1.1435187579684123</v>
      </c>
      <c r="CL38" s="2">
        <f t="shared" ca="1" si="11"/>
        <v>1.0596728188885718</v>
      </c>
      <c r="CM38" s="2">
        <f t="shared" ca="1" si="11"/>
        <v>-0.92915695967653589</v>
      </c>
      <c r="CN38" s="2">
        <f t="shared" ca="1" si="11"/>
        <v>-0.94538321750916199</v>
      </c>
      <c r="CO38" s="2">
        <f t="shared" ca="1" si="11"/>
        <v>-0.17960987688770017</v>
      </c>
      <c r="CP38" s="2">
        <f t="shared" ca="1" si="11"/>
        <v>-0.32741385941287615</v>
      </c>
      <c r="CQ38" s="8">
        <f ca="1">NORMINV(RAND(),0,1)</f>
        <v>-0.76928221300526167</v>
      </c>
      <c r="CR38" s="2">
        <f t="shared" ref="CR38:DB38" ca="1" si="12">NORMINV(RAND(),0,1)</f>
        <v>1.1744239176478795</v>
      </c>
      <c r="CS38" s="2">
        <f t="shared" ca="1" si="12"/>
        <v>1.6936026424951049</v>
      </c>
      <c r="CT38" s="2">
        <f t="shared" ca="1" si="12"/>
        <v>-0.27204540921272141</v>
      </c>
      <c r="CU38" s="2">
        <f t="shared" ca="1" si="12"/>
        <v>-0.34138825239712656</v>
      </c>
      <c r="CV38" s="2">
        <f t="shared" ca="1" si="12"/>
        <v>2.3328763401284465</v>
      </c>
      <c r="CW38" s="2">
        <f t="shared" ca="1" si="12"/>
        <v>0.7567340688924169</v>
      </c>
      <c r="CX38" s="2">
        <f t="shared" ca="1" si="12"/>
        <v>-1.1709943177042645</v>
      </c>
      <c r="CY38" s="2">
        <f t="shared" ca="1" si="12"/>
        <v>0.90068315441579772</v>
      </c>
      <c r="CZ38" s="2">
        <f t="shared" ca="1" si="12"/>
        <v>0.21974728440532201</v>
      </c>
      <c r="DA38" s="2">
        <f t="shared" ca="1" si="12"/>
        <v>0.53450419089111734</v>
      </c>
      <c r="DB38" s="2">
        <f t="shared" ca="1" si="12"/>
        <v>0.3891970011848902</v>
      </c>
    </row>
    <row r="39" spans="1:106" x14ac:dyDescent="0.2">
      <c r="A39" s="6" t="s">
        <v>12</v>
      </c>
      <c r="B39" s="8">
        <f ca="1">SUMPRODUCT(B25:B25,B38:B38)</f>
        <v>0</v>
      </c>
      <c r="C39" s="2" t="e">
        <f>SUMPRODUCT(B26:C26,B38:C38)</f>
        <v>#DIV/0!</v>
      </c>
      <c r="D39" s="2" t="e">
        <f>SUMPRODUCT(B27:D27,B38:D38)</f>
        <v>#DIV/0!</v>
      </c>
      <c r="E39" s="8">
        <f ca="1">SUMPRODUCT(E25:E25,E38:E38)</f>
        <v>0</v>
      </c>
      <c r="F39" s="2" t="e">
        <f>SUMPRODUCT(E26:F26,E38:F38)</f>
        <v>#DIV/0!</v>
      </c>
      <c r="G39" s="2" t="e">
        <f>SUMPRODUCT(E27:G27,E38:G38)</f>
        <v>#DIV/0!</v>
      </c>
      <c r="H39" s="2" t="e">
        <f>SUMPRODUCT(E28:H28,E38:H38)</f>
        <v>#DIV/0!</v>
      </c>
      <c r="I39" s="2" t="e">
        <f>SUMPRODUCT(E29:I29,E38:I38)</f>
        <v>#DIV/0!</v>
      </c>
      <c r="J39" s="2" t="e">
        <f>SUMPRODUCT(E30:J30,E38:J38)</f>
        <v>#DIV/0!</v>
      </c>
      <c r="K39" s="8">
        <f ca="1">SUMPRODUCT(K25:K25,K38:K38)</f>
        <v>0</v>
      </c>
      <c r="L39" s="2" t="e">
        <f>SUMPRODUCT(K26:L26,K38:L38)</f>
        <v>#DIV/0!</v>
      </c>
      <c r="M39" s="2" t="e">
        <f>SUMPRODUCT(K27:M27,K38:M38)</f>
        <v>#DIV/0!</v>
      </c>
      <c r="N39" s="2" t="e">
        <f>SUMPRODUCT(K28:N28,K38:N38)</f>
        <v>#DIV/0!</v>
      </c>
      <c r="O39" s="2" t="e">
        <f>SUMPRODUCT(K29:O29,K38:O38)</f>
        <v>#DIV/0!</v>
      </c>
      <c r="P39" s="2" t="e">
        <f>SUMPRODUCT(K30:P30,K38:P38)</f>
        <v>#DIV/0!</v>
      </c>
      <c r="Q39" s="8">
        <f ca="1">SUMPRODUCT(Q25:Q25,Q38:Q38)</f>
        <v>0</v>
      </c>
      <c r="R39" s="2" t="e">
        <f>SUMPRODUCT(Q26:R26,Q38:R38)</f>
        <v>#DIV/0!</v>
      </c>
      <c r="S39" s="2" t="e">
        <f>SUMPRODUCT(Q27:S27,Q38:S38)</f>
        <v>#DIV/0!</v>
      </c>
      <c r="T39" s="2" t="e">
        <f>SUMPRODUCT(Q28:T28,Q38:T38)</f>
        <v>#DIV/0!</v>
      </c>
      <c r="U39" s="2" t="e">
        <f>SUMPRODUCT(Q29:U29,Q38:U38)</f>
        <v>#DIV/0!</v>
      </c>
      <c r="V39" s="2" t="e">
        <f>SUMPRODUCT(Q30:V30,Q38:V38)</f>
        <v>#DIV/0!</v>
      </c>
      <c r="W39" s="8">
        <f ca="1">SUMPRODUCT(W25:W25,W38:W38)</f>
        <v>0</v>
      </c>
      <c r="X39" s="2" t="e">
        <f>SUMPRODUCT(W26:X26,W38:X38)</f>
        <v>#DIV/0!</v>
      </c>
      <c r="Y39" s="2" t="e">
        <f>SUMPRODUCT(W27:Y27,W38:Y38)</f>
        <v>#DIV/0!</v>
      </c>
      <c r="Z39" s="2" t="e">
        <f>SUMPRODUCT(W28:Z28,W38:Z38)</f>
        <v>#DIV/0!</v>
      </c>
      <c r="AA39" s="2" t="e">
        <f>SUMPRODUCT(W29:AA29,W38:AA38)</f>
        <v>#DIV/0!</v>
      </c>
      <c r="AB39" s="2" t="e">
        <f>SUMPRODUCT(W30:AB30,W38:AB38)</f>
        <v>#DIV/0!</v>
      </c>
      <c r="AC39" s="8">
        <f ca="1">SUMPRODUCT(AC25:AC25,AC38:AC38)</f>
        <v>0</v>
      </c>
      <c r="AD39" s="2" t="e">
        <f>SUMPRODUCT(AC26:AD26,AC38:AD38)</f>
        <v>#DIV/0!</v>
      </c>
      <c r="AE39" s="2" t="e">
        <f>SUMPRODUCT(AC27:AE27,AC38:AE38)</f>
        <v>#DIV/0!</v>
      </c>
      <c r="AF39" s="2" t="e">
        <f>SUMPRODUCT(AC28:AF28,AC38:AF38)</f>
        <v>#DIV/0!</v>
      </c>
      <c r="AG39" s="2" t="e">
        <f>SUMPRODUCT(AC29:AG29,AC38:AG38)</f>
        <v>#DIV/0!</v>
      </c>
      <c r="AH39" s="2" t="e">
        <f>SUMPRODUCT(AC30:AH30,AC38:AH38)</f>
        <v>#DIV/0!</v>
      </c>
      <c r="AI39" s="8">
        <f ca="1">SUMPRODUCT(AI25:AI25,AI38:AI38)</f>
        <v>0</v>
      </c>
      <c r="AJ39" s="2" t="e">
        <f>SUMPRODUCT(AI26:AJ26,AI38:AJ38)</f>
        <v>#DIV/0!</v>
      </c>
      <c r="AK39" s="2" t="e">
        <f>SUMPRODUCT(AI27:AK27,AI38:AK38)</f>
        <v>#DIV/0!</v>
      </c>
      <c r="AL39" s="2" t="e">
        <f>SUMPRODUCT(AI28:AL28,AI38:AL38)</f>
        <v>#DIV/0!</v>
      </c>
      <c r="AM39" s="2" t="e">
        <f>SUMPRODUCT(AI29:AM29,AI38:AM38)</f>
        <v>#DIV/0!</v>
      </c>
      <c r="AN39" s="2" t="e">
        <f>SUMPRODUCT(AI30:AN30,AI38:AN38)</f>
        <v>#DIV/0!</v>
      </c>
      <c r="AO39" s="2" t="e">
        <f>SUMPRODUCT(AI31:AO31,AI38:AO38)</f>
        <v>#DIV/0!</v>
      </c>
      <c r="AP39" s="2" t="e">
        <f>SUMPRODUCT(AI32:AP32,AI38:AP38)</f>
        <v>#DIV/0!</v>
      </c>
      <c r="AQ39" s="2" t="e">
        <f>SUMPRODUCT(AI33:AQ33,AI38:AQ38)</f>
        <v>#DIV/0!</v>
      </c>
      <c r="AR39" s="8">
        <f ca="1">SUMPRODUCT(AR25:AR25,AR38:AR38)</f>
        <v>0</v>
      </c>
      <c r="AS39" s="2" t="e">
        <f>SUMPRODUCT(AR26:AS26,AR38:AS38)</f>
        <v>#DIV/0!</v>
      </c>
      <c r="AT39" s="2" t="e">
        <f>SUMPRODUCT(AR27:AT27,AR38:AT38)</f>
        <v>#DIV/0!</v>
      </c>
      <c r="AU39" s="2" t="e">
        <f>SUMPRODUCT(AR28:AU28,AR38:AU38)</f>
        <v>#DIV/0!</v>
      </c>
      <c r="AV39" s="2" t="e">
        <f>SUMPRODUCT(AR29:AV29,AR38:AV38)</f>
        <v>#DIV/0!</v>
      </c>
      <c r="AW39" s="2" t="e">
        <f>SUMPRODUCT(AR30:AW30,AR38:AW38)</f>
        <v>#DIV/0!</v>
      </c>
      <c r="AX39" s="2" t="e">
        <f>SUMPRODUCT(AR31:AX31,AR38:AX38)</f>
        <v>#DIV/0!</v>
      </c>
      <c r="AY39" s="2" t="e">
        <f>SUMPRODUCT(AR32:AY32,AR38:AY38)</f>
        <v>#DIV/0!</v>
      </c>
      <c r="AZ39" s="2" t="e">
        <f>SUMPRODUCT(AR33:AZ33,AR38:AZ38)</f>
        <v>#DIV/0!</v>
      </c>
      <c r="BA39" s="8">
        <f ca="1">SUMPRODUCT(BA25:BA25,BA38:BA38)</f>
        <v>0</v>
      </c>
      <c r="BB39" s="2" t="e">
        <f>SUMPRODUCT(BA26:BB26,BA38:BB38)</f>
        <v>#DIV/0!</v>
      </c>
      <c r="BC39" s="2" t="e">
        <f>SUMPRODUCT(BA27:BC27,BA38:BC38)</f>
        <v>#DIV/0!</v>
      </c>
      <c r="BD39" s="2" t="e">
        <f>SUMPRODUCT(BA28:BD28,BA38:BD38)</f>
        <v>#DIV/0!</v>
      </c>
      <c r="BE39" s="2" t="e">
        <f>SUMPRODUCT(BA29:BE29,BA38:BE38)</f>
        <v>#DIV/0!</v>
      </c>
      <c r="BF39" s="2" t="e">
        <f>SUMPRODUCT(BA30:BF30,BA38:BF38)</f>
        <v>#DIV/0!</v>
      </c>
      <c r="BG39" s="2" t="e">
        <f>SUMPRODUCT(BA31:BG31,BA38:BG38)</f>
        <v>#DIV/0!</v>
      </c>
      <c r="BH39" s="2" t="e">
        <f>SUMPRODUCT(BA32:BH32,BA38:BH38)</f>
        <v>#DIV/0!</v>
      </c>
      <c r="BI39" s="2" t="e">
        <f>SUMPRODUCT(BA33:BI33,BA38:BI38)</f>
        <v>#DIV/0!</v>
      </c>
      <c r="BJ39" s="8">
        <f ca="1">SUMPRODUCT(BJ25:BJ25,BJ38:BJ38)</f>
        <v>0</v>
      </c>
      <c r="BK39" s="2" t="e">
        <f>SUMPRODUCT(BJ26:BK26,BJ38:BK38)</f>
        <v>#DIV/0!</v>
      </c>
      <c r="BL39" s="2" t="e">
        <f>SUMPRODUCT(BJ27:BL27,BJ38:BL38)</f>
        <v>#DIV/0!</v>
      </c>
      <c r="BM39" s="2" t="e">
        <f>SUMPRODUCT(BJ28:BM28,BJ38:BM38)</f>
        <v>#DIV/0!</v>
      </c>
      <c r="BN39" s="2" t="e">
        <f>SUMPRODUCT(BJ29:BN29,BJ38:BN38)</f>
        <v>#DIV/0!</v>
      </c>
      <c r="BO39" s="2" t="e">
        <f>SUMPRODUCT(BJ30:BO30,BJ38:BO38)</f>
        <v>#DIV/0!</v>
      </c>
      <c r="BP39" s="2" t="e">
        <f>SUMPRODUCT(BJ31:BP31,BJ38:BP38)</f>
        <v>#DIV/0!</v>
      </c>
      <c r="BQ39" s="2" t="e">
        <f>SUMPRODUCT(BJ32:BQ32,BJ38:BQ38)</f>
        <v>#DIV/0!</v>
      </c>
      <c r="BR39" s="2" t="e">
        <f>SUMPRODUCT(BJ33:BR33,BJ38:BR38)</f>
        <v>#DIV/0!</v>
      </c>
      <c r="BS39" s="8">
        <f ca="1">SUMPRODUCT(BS25:BS25,BS38:BS38)</f>
        <v>0</v>
      </c>
      <c r="BT39" s="2" t="e">
        <f>SUMPRODUCT(BS26:BT26,BS38:BT38)</f>
        <v>#DIV/0!</v>
      </c>
      <c r="BU39" s="2" t="e">
        <f>SUMPRODUCT(BS27:BU27,BS38:BU38)</f>
        <v>#DIV/0!</v>
      </c>
      <c r="BV39" s="2" t="e">
        <f>SUMPRODUCT(BS28:BV28,BS38:BV38)</f>
        <v>#DIV/0!</v>
      </c>
      <c r="BW39" s="2" t="e">
        <f>SUMPRODUCT(BS29:BW29,BS38:BW38)</f>
        <v>#DIV/0!</v>
      </c>
      <c r="BX39" s="2" t="e">
        <f>SUMPRODUCT(BS30:BX30,BS38:BX38)</f>
        <v>#DIV/0!</v>
      </c>
      <c r="BY39" s="2" t="e">
        <f>SUMPRODUCT(BS31:BY31,BS38:BY38)</f>
        <v>#DIV/0!</v>
      </c>
      <c r="BZ39" s="2" t="e">
        <f>SUMPRODUCT(BS32:BZ32,BS38:BZ38)</f>
        <v>#DIV/0!</v>
      </c>
      <c r="CA39" s="2" t="e">
        <f>SUMPRODUCT(BS33:CA33,BS38:CA38)</f>
        <v>#DIV/0!</v>
      </c>
      <c r="CB39" s="2" t="e">
        <f>SUMPRODUCT(BS34:CB34,BS38:CB38)</f>
        <v>#DIV/0!</v>
      </c>
      <c r="CC39" s="2" t="e">
        <f>SUMPRODUCT(BS35:CC35,BS38:CC38)</f>
        <v>#DIV/0!</v>
      </c>
      <c r="CD39" s="2" t="e">
        <f>SUMPRODUCT(BS36:CD36,BS38:CD38)</f>
        <v>#DIV/0!</v>
      </c>
      <c r="CE39" s="8">
        <f ca="1">SUMPRODUCT(CE25:CE25,CE38:CE38)</f>
        <v>0</v>
      </c>
      <c r="CF39" s="2" t="e">
        <f>SUMPRODUCT(CE26:CF26,CE38:CF38)</f>
        <v>#DIV/0!</v>
      </c>
      <c r="CG39" s="2" t="e">
        <f>SUMPRODUCT(CE27:CG27,CE38:CG38)</f>
        <v>#DIV/0!</v>
      </c>
      <c r="CH39" s="2" t="e">
        <f>SUMPRODUCT(CE28:CH28,CE38:CH38)</f>
        <v>#DIV/0!</v>
      </c>
      <c r="CI39" s="2" t="e">
        <f>SUMPRODUCT(CE29:CI29,CE38:CI38)</f>
        <v>#DIV/0!</v>
      </c>
      <c r="CJ39" s="2" t="e">
        <f>SUMPRODUCT(CE30:CJ30,CE38:CJ38)</f>
        <v>#DIV/0!</v>
      </c>
      <c r="CK39" s="2" t="e">
        <f>SUMPRODUCT(CE31:CK31,CE38:CK38)</f>
        <v>#DIV/0!</v>
      </c>
      <c r="CL39" s="2" t="e">
        <f>SUMPRODUCT(CE32:CL32,CE38:CL38)</f>
        <v>#DIV/0!</v>
      </c>
      <c r="CM39" s="2" t="e">
        <f>SUMPRODUCT(CE33:CM33,CE38:CM38)</f>
        <v>#DIV/0!</v>
      </c>
      <c r="CN39" s="2" t="e">
        <f>SUMPRODUCT(CE34:CN34,CE38:CN38)</f>
        <v>#DIV/0!</v>
      </c>
      <c r="CO39" s="2" t="e">
        <f>SUMPRODUCT(CE35:CO35,CE38:CO38)</f>
        <v>#DIV/0!</v>
      </c>
      <c r="CP39" s="2" t="e">
        <f>SUMPRODUCT(CE36:CP36,CE38:CP38)</f>
        <v>#DIV/0!</v>
      </c>
      <c r="CQ39" s="8">
        <f ca="1">SUMPRODUCT(CQ25:CQ25,CQ38:CQ38)</f>
        <v>0</v>
      </c>
      <c r="CR39" s="2" t="e">
        <f>SUMPRODUCT(CQ26:CR26,CQ38:CR38)</f>
        <v>#DIV/0!</v>
      </c>
      <c r="CS39" s="2" t="e">
        <f>SUMPRODUCT(CQ27:CS27,CQ38:CS38)</f>
        <v>#DIV/0!</v>
      </c>
      <c r="CT39" s="2" t="e">
        <f>SUMPRODUCT(CQ28:CT28,CQ38:CT38)</f>
        <v>#DIV/0!</v>
      </c>
      <c r="CU39" s="2" t="e">
        <f>SUMPRODUCT(CQ29:CU29,CQ38:CU38)</f>
        <v>#DIV/0!</v>
      </c>
      <c r="CV39" s="2" t="e">
        <f>SUMPRODUCT(CQ30:CV30,CQ38:CV38)</f>
        <v>#DIV/0!</v>
      </c>
      <c r="CW39" s="2" t="e">
        <f>SUMPRODUCT(CQ31:CW31,CQ38:CW38)</f>
        <v>#DIV/0!</v>
      </c>
      <c r="CX39" s="2" t="e">
        <f>SUMPRODUCT(CQ32:CX32,CQ38:CX38)</f>
        <v>#DIV/0!</v>
      </c>
      <c r="CY39" s="2" t="e">
        <f>SUMPRODUCT(CQ33:CY33,CQ38:CY38)</f>
        <v>#DIV/0!</v>
      </c>
      <c r="CZ39" s="2" t="e">
        <f>SUMPRODUCT(CQ34:CZ34,CQ38:CZ38)</f>
        <v>#DIV/0!</v>
      </c>
      <c r="DA39" s="2" t="e">
        <f>SUMPRODUCT(CQ35:DA35,CQ38:DA38)</f>
        <v>#DIV/0!</v>
      </c>
      <c r="DB39" s="2" t="e">
        <f>SUMPRODUCT(CQ36:DB36,CQ38:DB38)</f>
        <v>#DIV/0!</v>
      </c>
    </row>
    <row r="40" spans="1:106" x14ac:dyDescent="0.2">
      <c r="A40" s="6"/>
      <c r="B40" s="8"/>
    </row>
    <row r="41" spans="1:106" x14ac:dyDescent="0.2">
      <c r="A41" s="1" t="s">
        <v>7</v>
      </c>
      <c r="B41" s="8">
        <f t="shared" ref="B41:AQ41" ca="1" si="13">B39+B4</f>
        <v>0</v>
      </c>
      <c r="C41" s="2" t="e">
        <f t="shared" si="13"/>
        <v>#DIV/0!</v>
      </c>
      <c r="D41" s="2" t="e">
        <f t="shared" si="13"/>
        <v>#DIV/0!</v>
      </c>
      <c r="E41" s="8">
        <f t="shared" ca="1" si="13"/>
        <v>0</v>
      </c>
      <c r="F41" s="2" t="e">
        <f t="shared" si="13"/>
        <v>#DIV/0!</v>
      </c>
      <c r="G41" s="2" t="e">
        <f t="shared" si="13"/>
        <v>#DIV/0!</v>
      </c>
      <c r="H41" s="2" t="e">
        <f t="shared" si="13"/>
        <v>#DIV/0!</v>
      </c>
      <c r="I41" s="2" t="e">
        <f t="shared" si="13"/>
        <v>#DIV/0!</v>
      </c>
      <c r="J41" s="2" t="e">
        <f t="shared" si="13"/>
        <v>#DIV/0!</v>
      </c>
      <c r="K41" s="8">
        <f t="shared" ca="1" si="13"/>
        <v>0</v>
      </c>
      <c r="L41" s="2" t="e">
        <f t="shared" si="13"/>
        <v>#DIV/0!</v>
      </c>
      <c r="M41" s="2" t="e">
        <f t="shared" si="13"/>
        <v>#DIV/0!</v>
      </c>
      <c r="N41" s="2" t="e">
        <f t="shared" si="13"/>
        <v>#DIV/0!</v>
      </c>
      <c r="O41" s="2" t="e">
        <f t="shared" si="13"/>
        <v>#DIV/0!</v>
      </c>
      <c r="P41" s="2" t="e">
        <f t="shared" si="13"/>
        <v>#DIV/0!</v>
      </c>
      <c r="Q41" s="8">
        <f t="shared" ca="1" si="13"/>
        <v>0</v>
      </c>
      <c r="R41" s="2" t="e">
        <f t="shared" si="13"/>
        <v>#DIV/0!</v>
      </c>
      <c r="S41" s="2" t="e">
        <f t="shared" si="13"/>
        <v>#DIV/0!</v>
      </c>
      <c r="T41" s="2" t="e">
        <f t="shared" si="13"/>
        <v>#DIV/0!</v>
      </c>
      <c r="U41" s="2" t="e">
        <f t="shared" si="13"/>
        <v>#DIV/0!</v>
      </c>
      <c r="V41" s="2" t="e">
        <f t="shared" si="13"/>
        <v>#DIV/0!</v>
      </c>
      <c r="W41" s="8">
        <f t="shared" ca="1" si="13"/>
        <v>0</v>
      </c>
      <c r="X41" s="2" t="e">
        <f t="shared" si="13"/>
        <v>#DIV/0!</v>
      </c>
      <c r="Y41" s="2" t="e">
        <f t="shared" si="13"/>
        <v>#DIV/0!</v>
      </c>
      <c r="Z41" s="2" t="e">
        <f t="shared" si="13"/>
        <v>#DIV/0!</v>
      </c>
      <c r="AA41" s="2" t="e">
        <f t="shared" si="13"/>
        <v>#DIV/0!</v>
      </c>
      <c r="AB41" s="2" t="e">
        <f t="shared" si="13"/>
        <v>#DIV/0!</v>
      </c>
      <c r="AC41" s="8">
        <f t="shared" ca="1" si="13"/>
        <v>0</v>
      </c>
      <c r="AD41" s="2" t="e">
        <f t="shared" si="13"/>
        <v>#DIV/0!</v>
      </c>
      <c r="AE41" s="2" t="e">
        <f t="shared" si="13"/>
        <v>#DIV/0!</v>
      </c>
      <c r="AF41" s="2" t="e">
        <f t="shared" si="13"/>
        <v>#DIV/0!</v>
      </c>
      <c r="AG41" s="2" t="e">
        <f t="shared" si="13"/>
        <v>#DIV/0!</v>
      </c>
      <c r="AH41" s="2" t="e">
        <f t="shared" si="13"/>
        <v>#DIV/0!</v>
      </c>
      <c r="AI41" s="8">
        <f t="shared" ca="1" si="13"/>
        <v>0</v>
      </c>
      <c r="AJ41" s="2" t="e">
        <f t="shared" si="13"/>
        <v>#DIV/0!</v>
      </c>
      <c r="AK41" s="2" t="e">
        <f t="shared" si="13"/>
        <v>#DIV/0!</v>
      </c>
      <c r="AL41" s="2" t="e">
        <f t="shared" si="13"/>
        <v>#DIV/0!</v>
      </c>
      <c r="AM41" s="2" t="e">
        <f t="shared" si="13"/>
        <v>#DIV/0!</v>
      </c>
      <c r="AN41" s="2" t="e">
        <f t="shared" si="13"/>
        <v>#DIV/0!</v>
      </c>
      <c r="AO41" s="2" t="e">
        <f t="shared" si="13"/>
        <v>#DIV/0!</v>
      </c>
      <c r="AP41" s="2" t="e">
        <f t="shared" si="13"/>
        <v>#DIV/0!</v>
      </c>
      <c r="AQ41" s="2" t="e">
        <f t="shared" si="13"/>
        <v>#DIV/0!</v>
      </c>
      <c r="AR41" s="8">
        <f ca="1">AR39+AR4</f>
        <v>0</v>
      </c>
      <c r="AS41" s="2" t="e">
        <f>AS39+AS4</f>
        <v>#DIV/0!</v>
      </c>
      <c r="AT41" s="2" t="e">
        <f>AT39+AT4</f>
        <v>#DIV/0!</v>
      </c>
      <c r="AU41" s="2" t="e">
        <f>AU39+AU4</f>
        <v>#DIV/0!</v>
      </c>
      <c r="AV41" s="2" t="e">
        <f>AV39+AV4</f>
        <v>#DIV/0!</v>
      </c>
      <c r="AW41" s="2" t="e">
        <f t="shared" ref="AW41:AZ41" si="14">AW39+AW4</f>
        <v>#DIV/0!</v>
      </c>
      <c r="AX41" s="2" t="e">
        <f t="shared" si="14"/>
        <v>#DIV/0!</v>
      </c>
      <c r="AY41" s="2" t="e">
        <f t="shared" si="14"/>
        <v>#DIV/0!</v>
      </c>
      <c r="AZ41" s="2" t="e">
        <f t="shared" si="14"/>
        <v>#DIV/0!</v>
      </c>
      <c r="BA41" s="8">
        <f ca="1">BA39+BA4</f>
        <v>0</v>
      </c>
      <c r="BB41" s="2" t="e">
        <f>BB39+BB4</f>
        <v>#DIV/0!</v>
      </c>
      <c r="BC41" s="2" t="e">
        <f>BC39+BC4</f>
        <v>#DIV/0!</v>
      </c>
      <c r="BD41" s="2" t="e">
        <f>BD39+BD4</f>
        <v>#DIV/0!</v>
      </c>
      <c r="BE41" s="2" t="e">
        <f>BE39+BE4</f>
        <v>#DIV/0!</v>
      </c>
      <c r="BF41" s="2" t="e">
        <f t="shared" ref="BF41:BI41" si="15">BF39+BF4</f>
        <v>#DIV/0!</v>
      </c>
      <c r="BG41" s="2" t="e">
        <f t="shared" si="15"/>
        <v>#DIV/0!</v>
      </c>
      <c r="BH41" s="2" t="e">
        <f t="shared" si="15"/>
        <v>#DIV/0!</v>
      </c>
      <c r="BI41" s="2" t="e">
        <f t="shared" si="15"/>
        <v>#DIV/0!</v>
      </c>
      <c r="BJ41" s="8">
        <f ca="1">BJ39+BJ4</f>
        <v>0</v>
      </c>
      <c r="BK41" s="2" t="e">
        <f>BK39+BK4</f>
        <v>#DIV/0!</v>
      </c>
      <c r="BL41" s="2" t="e">
        <f>BL39+BL4</f>
        <v>#DIV/0!</v>
      </c>
      <c r="BM41" s="2" t="e">
        <f>BM39+BM4</f>
        <v>#DIV/0!</v>
      </c>
      <c r="BN41" s="2" t="e">
        <f>BN39+BN4</f>
        <v>#DIV/0!</v>
      </c>
      <c r="BO41" s="2" t="e">
        <f t="shared" ref="BO41:BR41" si="16">BO39+BO4</f>
        <v>#DIV/0!</v>
      </c>
      <c r="BP41" s="2" t="e">
        <f t="shared" si="16"/>
        <v>#DIV/0!</v>
      </c>
      <c r="BQ41" s="2" t="e">
        <f t="shared" si="16"/>
        <v>#DIV/0!</v>
      </c>
      <c r="BR41" s="2" t="e">
        <f t="shared" si="16"/>
        <v>#DIV/0!</v>
      </c>
      <c r="BS41" s="8">
        <f t="shared" ref="BS41:CD41" ca="1" si="17">BS39+BS4</f>
        <v>0</v>
      </c>
      <c r="BT41" s="2" t="e">
        <f t="shared" si="17"/>
        <v>#DIV/0!</v>
      </c>
      <c r="BU41" s="2" t="e">
        <f t="shared" si="17"/>
        <v>#DIV/0!</v>
      </c>
      <c r="BV41" s="2" t="e">
        <f t="shared" si="17"/>
        <v>#DIV/0!</v>
      </c>
      <c r="BW41" s="2" t="e">
        <f t="shared" si="17"/>
        <v>#DIV/0!</v>
      </c>
      <c r="BX41" s="2" t="e">
        <f t="shared" si="17"/>
        <v>#DIV/0!</v>
      </c>
      <c r="BY41" s="2" t="e">
        <f t="shared" si="17"/>
        <v>#DIV/0!</v>
      </c>
      <c r="BZ41" s="2" t="e">
        <f t="shared" si="17"/>
        <v>#DIV/0!</v>
      </c>
      <c r="CA41" s="2" t="e">
        <f t="shared" si="17"/>
        <v>#DIV/0!</v>
      </c>
      <c r="CB41" s="2" t="e">
        <f t="shared" si="17"/>
        <v>#DIV/0!</v>
      </c>
      <c r="CC41" s="2" t="e">
        <f t="shared" si="17"/>
        <v>#DIV/0!</v>
      </c>
      <c r="CD41" s="2" t="e">
        <f t="shared" si="17"/>
        <v>#DIV/0!</v>
      </c>
      <c r="CE41" s="8">
        <f t="shared" ref="CE41:CP41" ca="1" si="18">CE39+CE4</f>
        <v>0</v>
      </c>
      <c r="CF41" s="2" t="e">
        <f t="shared" si="18"/>
        <v>#DIV/0!</v>
      </c>
      <c r="CG41" s="2" t="e">
        <f t="shared" si="18"/>
        <v>#DIV/0!</v>
      </c>
      <c r="CH41" s="2" t="e">
        <f t="shared" si="18"/>
        <v>#DIV/0!</v>
      </c>
      <c r="CI41" s="2" t="e">
        <f t="shared" si="18"/>
        <v>#DIV/0!</v>
      </c>
      <c r="CJ41" s="2" t="e">
        <f t="shared" si="18"/>
        <v>#DIV/0!</v>
      </c>
      <c r="CK41" s="2" t="e">
        <f t="shared" si="18"/>
        <v>#DIV/0!</v>
      </c>
      <c r="CL41" s="2" t="e">
        <f t="shared" si="18"/>
        <v>#DIV/0!</v>
      </c>
      <c r="CM41" s="2" t="e">
        <f t="shared" si="18"/>
        <v>#DIV/0!</v>
      </c>
      <c r="CN41" s="2" t="e">
        <f t="shared" si="18"/>
        <v>#DIV/0!</v>
      </c>
      <c r="CO41" s="2" t="e">
        <f t="shared" si="18"/>
        <v>#DIV/0!</v>
      </c>
      <c r="CP41" s="2" t="e">
        <f t="shared" si="18"/>
        <v>#DIV/0!</v>
      </c>
      <c r="CQ41" s="8">
        <f t="shared" ref="CQ41:DB41" ca="1" si="19">CQ39+CQ4</f>
        <v>0</v>
      </c>
      <c r="CR41" s="2" t="e">
        <f t="shared" si="19"/>
        <v>#DIV/0!</v>
      </c>
      <c r="CS41" s="2" t="e">
        <f t="shared" si="19"/>
        <v>#DIV/0!</v>
      </c>
      <c r="CT41" s="2" t="e">
        <f t="shared" si="19"/>
        <v>#DIV/0!</v>
      </c>
      <c r="CU41" s="2" t="e">
        <f t="shared" si="19"/>
        <v>#DIV/0!</v>
      </c>
      <c r="CV41" s="2" t="e">
        <f t="shared" si="19"/>
        <v>#DIV/0!</v>
      </c>
      <c r="CW41" s="2" t="e">
        <f t="shared" si="19"/>
        <v>#DIV/0!</v>
      </c>
      <c r="CX41" s="2" t="e">
        <f t="shared" si="19"/>
        <v>#DIV/0!</v>
      </c>
      <c r="CY41" s="2" t="e">
        <f t="shared" si="19"/>
        <v>#DIV/0!</v>
      </c>
      <c r="CZ41" s="2" t="e">
        <f t="shared" si="19"/>
        <v>#DIV/0!</v>
      </c>
      <c r="DA41" s="2" t="e">
        <f t="shared" si="19"/>
        <v>#DIV/0!</v>
      </c>
      <c r="DB41" s="2" t="e">
        <f t="shared" si="19"/>
        <v>#DIV/0!</v>
      </c>
    </row>
    <row r="42" spans="1:106" s="1" customFormat="1" x14ac:dyDescent="0.2">
      <c r="A42" s="1" t="s">
        <v>5</v>
      </c>
      <c r="B42" s="3">
        <f t="shared" ref="B42:J42" si="20">B4</f>
        <v>0</v>
      </c>
      <c r="C42" s="3">
        <f t="shared" si="20"/>
        <v>0</v>
      </c>
      <c r="D42" s="3">
        <f t="shared" si="20"/>
        <v>0</v>
      </c>
      <c r="E42" s="10">
        <f t="shared" si="20"/>
        <v>0</v>
      </c>
      <c r="F42" s="3">
        <f t="shared" si="20"/>
        <v>0</v>
      </c>
      <c r="G42" s="3">
        <f t="shared" si="20"/>
        <v>0</v>
      </c>
      <c r="H42" s="3">
        <f t="shared" si="20"/>
        <v>0</v>
      </c>
      <c r="I42" s="3">
        <f t="shared" si="20"/>
        <v>0</v>
      </c>
      <c r="J42" s="3">
        <f t="shared" si="20"/>
        <v>0</v>
      </c>
      <c r="K42" s="10">
        <f>K4</f>
        <v>0</v>
      </c>
      <c r="L42" s="3">
        <f>L4</f>
        <v>0</v>
      </c>
      <c r="M42" s="3">
        <f>M4</f>
        <v>0</v>
      </c>
      <c r="N42" s="3">
        <f>N4</f>
        <v>0</v>
      </c>
      <c r="O42" s="3">
        <f t="shared" ref="O42:P42" si="21">O4</f>
        <v>0</v>
      </c>
      <c r="P42" s="3">
        <f t="shared" si="21"/>
        <v>0</v>
      </c>
      <c r="Q42" s="10">
        <f>Q4</f>
        <v>0</v>
      </c>
      <c r="R42" s="3">
        <f>R4</f>
        <v>0</v>
      </c>
      <c r="S42" s="3">
        <f>S4</f>
        <v>0</v>
      </c>
      <c r="T42" s="3">
        <f>T4</f>
        <v>0</v>
      </c>
      <c r="U42" s="3">
        <f t="shared" ref="U42:V42" si="22">U4</f>
        <v>0</v>
      </c>
      <c r="V42" s="3">
        <f t="shared" si="22"/>
        <v>0</v>
      </c>
      <c r="W42" s="10">
        <f>W4</f>
        <v>0</v>
      </c>
      <c r="X42" s="3">
        <f>X4</f>
        <v>0</v>
      </c>
      <c r="Y42" s="3">
        <f>Y4</f>
        <v>0</v>
      </c>
      <c r="Z42" s="3">
        <f>Z4</f>
        <v>0</v>
      </c>
      <c r="AA42" s="3">
        <f t="shared" ref="AA42:AB42" si="23">AA4</f>
        <v>0</v>
      </c>
      <c r="AB42" s="3">
        <f t="shared" si="23"/>
        <v>0</v>
      </c>
      <c r="AC42" s="10">
        <f>AC4</f>
        <v>0</v>
      </c>
      <c r="AD42" s="3">
        <f>AD4</f>
        <v>0</v>
      </c>
      <c r="AE42" s="3">
        <f>AE4</f>
        <v>0</v>
      </c>
      <c r="AF42" s="3">
        <f>AF4</f>
        <v>0</v>
      </c>
      <c r="AG42" s="3">
        <f t="shared" ref="AG42:AH42" si="24">AG4</f>
        <v>0</v>
      </c>
      <c r="AH42" s="3">
        <f t="shared" si="24"/>
        <v>0</v>
      </c>
      <c r="AI42" s="10">
        <f>AI4</f>
        <v>0</v>
      </c>
      <c r="AJ42" s="3">
        <f>AJ4</f>
        <v>0</v>
      </c>
      <c r="AK42" s="3">
        <f>AK4</f>
        <v>0</v>
      </c>
      <c r="AL42" s="3">
        <f>AL4</f>
        <v>0</v>
      </c>
      <c r="AM42" s="3">
        <f>AM4</f>
        <v>0</v>
      </c>
      <c r="AN42" s="3">
        <f t="shared" ref="AN42:AQ42" si="25">AN4</f>
        <v>0</v>
      </c>
      <c r="AO42" s="3">
        <f t="shared" si="25"/>
        <v>0</v>
      </c>
      <c r="AP42" s="3">
        <f t="shared" si="25"/>
        <v>0</v>
      </c>
      <c r="AQ42" s="3">
        <f t="shared" si="25"/>
        <v>0</v>
      </c>
      <c r="AR42" s="10">
        <f>AR4</f>
        <v>0</v>
      </c>
      <c r="AS42" s="3">
        <f>AS4</f>
        <v>0</v>
      </c>
      <c r="AT42" s="3">
        <f>AT4</f>
        <v>0</v>
      </c>
      <c r="AU42" s="3">
        <f>AU4</f>
        <v>0</v>
      </c>
      <c r="AV42" s="3">
        <f>AV4</f>
        <v>0</v>
      </c>
      <c r="AW42" s="3">
        <f t="shared" ref="AW42:AZ42" si="26">AW4</f>
        <v>0</v>
      </c>
      <c r="AX42" s="3">
        <f t="shared" si="26"/>
        <v>0</v>
      </c>
      <c r="AY42" s="3">
        <f t="shared" si="26"/>
        <v>0</v>
      </c>
      <c r="AZ42" s="3">
        <f t="shared" si="26"/>
        <v>0</v>
      </c>
      <c r="BA42" s="10">
        <f>BA4</f>
        <v>0</v>
      </c>
      <c r="BB42" s="3">
        <f>BB4</f>
        <v>0</v>
      </c>
      <c r="BC42" s="3">
        <f>BC4</f>
        <v>0</v>
      </c>
      <c r="BD42" s="3">
        <f>BD4</f>
        <v>0</v>
      </c>
      <c r="BE42" s="3">
        <f>BE4</f>
        <v>0</v>
      </c>
      <c r="BF42" s="3">
        <f t="shared" ref="BF42:BI42" si="27">BF4</f>
        <v>0</v>
      </c>
      <c r="BG42" s="3">
        <f t="shared" si="27"/>
        <v>0</v>
      </c>
      <c r="BH42" s="3">
        <f t="shared" si="27"/>
        <v>0</v>
      </c>
      <c r="BI42" s="3">
        <f t="shared" si="27"/>
        <v>0</v>
      </c>
      <c r="BJ42" s="10">
        <f>BJ4</f>
        <v>0</v>
      </c>
      <c r="BK42" s="3">
        <f>BK4</f>
        <v>0</v>
      </c>
      <c r="BL42" s="3">
        <f>BL4</f>
        <v>0</v>
      </c>
      <c r="BM42" s="3">
        <f>BM4</f>
        <v>0</v>
      </c>
      <c r="BN42" s="3">
        <f>BN4</f>
        <v>0</v>
      </c>
      <c r="BO42" s="3">
        <f t="shared" ref="BO42:BR42" si="28">BO4</f>
        <v>0</v>
      </c>
      <c r="BP42" s="3">
        <f t="shared" si="28"/>
        <v>0</v>
      </c>
      <c r="BQ42" s="3">
        <f t="shared" si="28"/>
        <v>0</v>
      </c>
      <c r="BR42" s="3">
        <f t="shared" si="28"/>
        <v>0</v>
      </c>
      <c r="BS42" s="10">
        <f t="shared" ref="BS42:CD42" si="29">BS4</f>
        <v>0</v>
      </c>
      <c r="BT42" s="3">
        <f t="shared" si="29"/>
        <v>0</v>
      </c>
      <c r="BU42" s="3">
        <f t="shared" si="29"/>
        <v>0</v>
      </c>
      <c r="BV42" s="3">
        <f t="shared" si="29"/>
        <v>0</v>
      </c>
      <c r="BW42" s="3">
        <f t="shared" si="29"/>
        <v>0</v>
      </c>
      <c r="BX42" s="3">
        <f t="shared" si="29"/>
        <v>0</v>
      </c>
      <c r="BY42" s="3">
        <f t="shared" si="29"/>
        <v>0</v>
      </c>
      <c r="BZ42" s="3">
        <f t="shared" si="29"/>
        <v>0</v>
      </c>
      <c r="CA42" s="3">
        <f t="shared" si="29"/>
        <v>0</v>
      </c>
      <c r="CB42" s="3">
        <f t="shared" si="29"/>
        <v>0</v>
      </c>
      <c r="CC42" s="3">
        <f t="shared" si="29"/>
        <v>0</v>
      </c>
      <c r="CD42" s="3">
        <f t="shared" si="29"/>
        <v>0</v>
      </c>
      <c r="CE42" s="10">
        <f t="shared" ref="CE42:CP42" si="30">CE4</f>
        <v>0</v>
      </c>
      <c r="CF42" s="3">
        <f t="shared" si="30"/>
        <v>0</v>
      </c>
      <c r="CG42" s="3">
        <f t="shared" si="30"/>
        <v>0</v>
      </c>
      <c r="CH42" s="3">
        <f t="shared" si="30"/>
        <v>0</v>
      </c>
      <c r="CI42" s="3">
        <f t="shared" si="30"/>
        <v>0</v>
      </c>
      <c r="CJ42" s="3">
        <f t="shared" si="30"/>
        <v>0</v>
      </c>
      <c r="CK42" s="3">
        <f t="shared" si="30"/>
        <v>0</v>
      </c>
      <c r="CL42" s="3">
        <f t="shared" si="30"/>
        <v>0</v>
      </c>
      <c r="CM42" s="3">
        <f t="shared" si="30"/>
        <v>0</v>
      </c>
      <c r="CN42" s="3">
        <f t="shared" si="30"/>
        <v>0</v>
      </c>
      <c r="CO42" s="3">
        <f t="shared" si="30"/>
        <v>0</v>
      </c>
      <c r="CP42" s="3">
        <f t="shared" si="30"/>
        <v>0</v>
      </c>
      <c r="CQ42" s="10">
        <f t="shared" ref="CQ42:DB42" si="31">CQ4</f>
        <v>0</v>
      </c>
      <c r="CR42" s="3">
        <f t="shared" si="31"/>
        <v>0</v>
      </c>
      <c r="CS42" s="3">
        <f t="shared" si="31"/>
        <v>0</v>
      </c>
      <c r="CT42" s="3">
        <f t="shared" si="31"/>
        <v>0</v>
      </c>
      <c r="CU42" s="3">
        <f t="shared" si="31"/>
        <v>0</v>
      </c>
      <c r="CV42" s="3">
        <f t="shared" si="31"/>
        <v>0</v>
      </c>
      <c r="CW42" s="3">
        <f t="shared" si="31"/>
        <v>0</v>
      </c>
      <c r="CX42" s="3">
        <f t="shared" si="31"/>
        <v>0</v>
      </c>
      <c r="CY42" s="3">
        <f t="shared" si="31"/>
        <v>0</v>
      </c>
      <c r="CZ42" s="3">
        <f t="shared" si="31"/>
        <v>0</v>
      </c>
      <c r="DA42" s="3">
        <f t="shared" si="31"/>
        <v>0</v>
      </c>
      <c r="DB42" s="3">
        <f t="shared" si="31"/>
        <v>0</v>
      </c>
    </row>
    <row r="43" spans="1:106" s="1" customFormat="1" x14ac:dyDescent="0.2">
      <c r="A43" s="1" t="s">
        <v>16</v>
      </c>
      <c r="B43" s="1">
        <f>EXP(B42)</f>
        <v>1</v>
      </c>
      <c r="C43" s="1">
        <f>EXP(C42)</f>
        <v>1</v>
      </c>
      <c r="D43" s="1">
        <f>EXP(D42)</f>
        <v>1</v>
      </c>
      <c r="E43" s="11">
        <f>EXP(E42)</f>
        <v>1</v>
      </c>
      <c r="F43" s="1">
        <f>1/EXP(F42)</f>
        <v>1</v>
      </c>
      <c r="G43" s="1">
        <f t="shared" ref="G43:H43" si="32">1/EXP(G42)</f>
        <v>1</v>
      </c>
      <c r="H43" s="1">
        <f t="shared" si="32"/>
        <v>1</v>
      </c>
      <c r="I43" s="1">
        <f>EXP(I42+E42)</f>
        <v>1</v>
      </c>
      <c r="J43" s="1">
        <f>EXP(J42+E42)</f>
        <v>1</v>
      </c>
      <c r="K43" s="11">
        <f>K42</f>
        <v>0</v>
      </c>
      <c r="L43" s="1">
        <f t="shared" ref="L43:R43" si="33">EXP(L42)</f>
        <v>1</v>
      </c>
      <c r="M43" s="1">
        <f t="shared" si="33"/>
        <v>1</v>
      </c>
      <c r="N43" s="1">
        <f t="shared" si="33"/>
        <v>1</v>
      </c>
      <c r="O43" s="1">
        <f>O42+K42</f>
        <v>0</v>
      </c>
      <c r="P43" s="1">
        <f>P42+K42</f>
        <v>0</v>
      </c>
      <c r="Q43" s="11">
        <f>Q42</f>
        <v>0</v>
      </c>
      <c r="R43" s="1">
        <f t="shared" si="33"/>
        <v>1</v>
      </c>
      <c r="S43" s="1">
        <f t="shared" ref="S43:T43" si="34">S42</f>
        <v>0</v>
      </c>
      <c r="T43" s="1">
        <f t="shared" si="34"/>
        <v>0</v>
      </c>
      <c r="U43" s="1">
        <f>EXP(U42+R42)</f>
        <v>1</v>
      </c>
      <c r="V43" s="1">
        <f>EXP(V42+R42)</f>
        <v>1</v>
      </c>
      <c r="W43" s="11">
        <f t="shared" ref="W43:AF43" si="35">EXP(W42)</f>
        <v>1</v>
      </c>
      <c r="X43" s="1">
        <f t="shared" si="35"/>
        <v>1</v>
      </c>
      <c r="Y43" s="1">
        <f t="shared" si="35"/>
        <v>1</v>
      </c>
      <c r="Z43" s="1">
        <f t="shared" si="35"/>
        <v>1</v>
      </c>
      <c r="AA43" s="1">
        <f>EXP(AA42+W42)</f>
        <v>1</v>
      </c>
      <c r="AB43" s="1">
        <f>EXP(AB42+W42)</f>
        <v>1</v>
      </c>
      <c r="AC43" s="11">
        <f t="shared" si="35"/>
        <v>1</v>
      </c>
      <c r="AD43" s="1">
        <f t="shared" si="35"/>
        <v>1</v>
      </c>
      <c r="AE43" s="1">
        <f t="shared" si="35"/>
        <v>1</v>
      </c>
      <c r="AF43" s="1">
        <f t="shared" si="35"/>
        <v>1</v>
      </c>
      <c r="AG43" s="1">
        <f>EXP(AG42+AC42)</f>
        <v>1</v>
      </c>
      <c r="AH43" s="1">
        <f>EXP(AH42+AC42)</f>
        <v>1</v>
      </c>
      <c r="AI43" s="11">
        <f>AI42</f>
        <v>0</v>
      </c>
      <c r="AJ43" s="1">
        <f t="shared" ref="AJ43" si="36">EXP(AJ42)</f>
        <v>1</v>
      </c>
      <c r="AK43" s="1">
        <f t="shared" ref="AK43:AM43" si="37">AK42</f>
        <v>0</v>
      </c>
      <c r="AL43" s="1">
        <f t="shared" si="37"/>
        <v>0</v>
      </c>
      <c r="AM43" s="1">
        <f t="shared" si="37"/>
        <v>0</v>
      </c>
      <c r="AN43" s="1">
        <f>EXP(AN42+AJ42)</f>
        <v>1</v>
      </c>
      <c r="AO43" s="1">
        <f>EXP(AO42+AJ42)</f>
        <v>1</v>
      </c>
      <c r="AP43" s="1">
        <f>AP42+AK42</f>
        <v>0</v>
      </c>
      <c r="AQ43" s="1">
        <f>AQ42+AK42</f>
        <v>0</v>
      </c>
      <c r="AR43" s="11">
        <f>AR42</f>
        <v>0</v>
      </c>
      <c r="AS43" s="1">
        <f t="shared" ref="AS43:CV43" si="38">AS42</f>
        <v>0</v>
      </c>
      <c r="AT43" s="1">
        <f t="shared" si="38"/>
        <v>0</v>
      </c>
      <c r="AU43" s="1">
        <f t="shared" si="38"/>
        <v>0</v>
      </c>
      <c r="AV43" s="1">
        <f t="shared" si="38"/>
        <v>0</v>
      </c>
      <c r="AW43" s="1">
        <f>AW42+AS43</f>
        <v>0</v>
      </c>
      <c r="AX43" s="1">
        <f>AX42+AS43</f>
        <v>0</v>
      </c>
      <c r="AY43" s="1">
        <f>AY42+AT43</f>
        <v>0</v>
      </c>
      <c r="AZ43" s="1">
        <f>AZ42+AT43</f>
        <v>0</v>
      </c>
      <c r="BA43" s="11">
        <f t="shared" si="38"/>
        <v>0</v>
      </c>
      <c r="BB43" s="1">
        <f t="shared" si="38"/>
        <v>0</v>
      </c>
      <c r="BC43" s="1">
        <f t="shared" si="38"/>
        <v>0</v>
      </c>
      <c r="BD43" s="1">
        <f t="shared" si="38"/>
        <v>0</v>
      </c>
      <c r="BE43" s="1">
        <f t="shared" si="38"/>
        <v>0</v>
      </c>
      <c r="BF43" s="1">
        <f>BF42+BB43</f>
        <v>0</v>
      </c>
      <c r="BG43" s="1">
        <f>BG42+BB43</f>
        <v>0</v>
      </c>
      <c r="BH43" s="1">
        <f>BH42+BC43</f>
        <v>0</v>
      </c>
      <c r="BI43" s="1">
        <f>BI42+BC43</f>
        <v>0</v>
      </c>
      <c r="BJ43" s="11">
        <f t="shared" si="38"/>
        <v>0</v>
      </c>
      <c r="BK43" s="1">
        <f t="shared" si="38"/>
        <v>0</v>
      </c>
      <c r="BL43" s="1">
        <f t="shared" si="38"/>
        <v>0</v>
      </c>
      <c r="BM43" s="1">
        <f t="shared" si="38"/>
        <v>0</v>
      </c>
      <c r="BN43" s="1">
        <f t="shared" si="38"/>
        <v>0</v>
      </c>
      <c r="BO43" s="1">
        <f>BO42+BK43</f>
        <v>0</v>
      </c>
      <c r="BP43" s="1">
        <f>BP42+BK43</f>
        <v>0</v>
      </c>
      <c r="BQ43" s="1">
        <f>BQ42+BL43</f>
        <v>0</v>
      </c>
      <c r="BR43" s="1">
        <f>BR42+BL43</f>
        <v>0</v>
      </c>
      <c r="BS43" s="11">
        <f t="shared" si="38"/>
        <v>0</v>
      </c>
      <c r="BT43" s="1">
        <f t="shared" si="38"/>
        <v>0</v>
      </c>
      <c r="BU43" s="1">
        <f t="shared" si="38"/>
        <v>0</v>
      </c>
      <c r="BV43" s="1">
        <f t="shared" si="38"/>
        <v>0</v>
      </c>
      <c r="BW43" s="1">
        <f t="shared" si="38"/>
        <v>0</v>
      </c>
      <c r="BX43" s="1">
        <f t="shared" si="38"/>
        <v>0</v>
      </c>
      <c r="BY43" s="1">
        <f>BY42+BT43</f>
        <v>0</v>
      </c>
      <c r="BZ43" s="1">
        <f>BZ42+BT43</f>
        <v>0</v>
      </c>
      <c r="CA43" s="1">
        <f>CA42+BU43</f>
        <v>0</v>
      </c>
      <c r="CB43" s="1">
        <f>CB42+BU43</f>
        <v>0</v>
      </c>
      <c r="CC43" s="1">
        <f>CC42+BV43</f>
        <v>0</v>
      </c>
      <c r="CD43" s="1">
        <f>CD42+BV43</f>
        <v>0</v>
      </c>
      <c r="CE43" s="11">
        <f t="shared" si="38"/>
        <v>0</v>
      </c>
      <c r="CF43" s="1">
        <f t="shared" si="38"/>
        <v>0</v>
      </c>
      <c r="CG43" s="1">
        <f t="shared" si="38"/>
        <v>0</v>
      </c>
      <c r="CH43" s="1">
        <f t="shared" si="38"/>
        <v>0</v>
      </c>
      <c r="CI43" s="1">
        <f t="shared" si="38"/>
        <v>0</v>
      </c>
      <c r="CJ43" s="1">
        <f t="shared" si="38"/>
        <v>0</v>
      </c>
      <c r="CK43" s="1">
        <f>CK42+CF43</f>
        <v>0</v>
      </c>
      <c r="CL43" s="1">
        <f>CL42+CF43</f>
        <v>0</v>
      </c>
      <c r="CM43" s="1">
        <f>CM42+CG43</f>
        <v>0</v>
      </c>
      <c r="CN43" s="1">
        <f>CN42+CG43</f>
        <v>0</v>
      </c>
      <c r="CO43" s="1">
        <f>CO42+CH43</f>
        <v>0</v>
      </c>
      <c r="CP43" s="1">
        <f>CP42+CH43</f>
        <v>0</v>
      </c>
      <c r="CQ43" s="11">
        <f t="shared" si="38"/>
        <v>0</v>
      </c>
      <c r="CR43" s="1">
        <f t="shared" si="38"/>
        <v>0</v>
      </c>
      <c r="CS43" s="1">
        <f t="shared" si="38"/>
        <v>0</v>
      </c>
      <c r="CT43" s="1">
        <f t="shared" si="38"/>
        <v>0</v>
      </c>
      <c r="CU43" s="1">
        <f t="shared" si="38"/>
        <v>0</v>
      </c>
      <c r="CV43" s="1">
        <f t="shared" si="38"/>
        <v>0</v>
      </c>
      <c r="CW43" s="1">
        <f>CW42+CR43</f>
        <v>0</v>
      </c>
      <c r="CX43" s="1">
        <f>CX42+CR43</f>
        <v>0</v>
      </c>
      <c r="CY43" s="1">
        <f>CY42+CS43</f>
        <v>0</v>
      </c>
      <c r="CZ43" s="1">
        <f>CZ42+CS43</f>
        <v>0</v>
      </c>
      <c r="DA43" s="1">
        <f>DA42+CT43</f>
        <v>0</v>
      </c>
      <c r="DB43" s="1">
        <f>DB42+CT43</f>
        <v>0</v>
      </c>
    </row>
    <row r="44" spans="1:106" s="1" customFormat="1" x14ac:dyDescent="0.2">
      <c r="E44" s="11"/>
      <c r="K44" s="11"/>
      <c r="Q44" s="11"/>
      <c r="W44" s="11"/>
      <c r="AC44" s="11"/>
      <c r="AI44" s="11"/>
      <c r="AR44" s="11"/>
      <c r="BA44" s="11"/>
      <c r="BJ44" s="11"/>
      <c r="BS44" s="11"/>
      <c r="CE44" s="11"/>
      <c r="CQ44" s="11"/>
    </row>
    <row r="45" spans="1:106" s="4" customFormat="1" x14ac:dyDescent="0.2">
      <c r="A45" s="4" t="s">
        <v>0</v>
      </c>
      <c r="B45" s="4" t="s">
        <v>1</v>
      </c>
      <c r="E45" s="7" t="s">
        <v>1</v>
      </c>
      <c r="K45" s="7" t="s">
        <v>1</v>
      </c>
      <c r="Q45" s="7" t="s">
        <v>1</v>
      </c>
      <c r="W45" s="7" t="s">
        <v>1</v>
      </c>
      <c r="AC45" s="7" t="s">
        <v>1</v>
      </c>
      <c r="AI45" s="7" t="s">
        <v>1</v>
      </c>
      <c r="AR45" s="7" t="s">
        <v>1</v>
      </c>
      <c r="AS45" s="4" t="s">
        <v>9</v>
      </c>
      <c r="AT45" s="4" t="e">
        <f>(MAX(AR9:AT9)-AS9)/(MAX(AR9:AT9)-MIN(AR9:AT9))</f>
        <v>#DIV/0!</v>
      </c>
      <c r="BA45" s="7" t="s">
        <v>1</v>
      </c>
      <c r="BB45" s="4" t="s">
        <v>9</v>
      </c>
      <c r="BC45" s="4" t="e">
        <f>(MAX(BA9:BC9)-BB9)/(MAX(BA9:BC9)-MIN(BA9:BC9))</f>
        <v>#DIV/0!</v>
      </c>
      <c r="BJ45" s="7" t="s">
        <v>1</v>
      </c>
      <c r="BK45" s="4" t="s">
        <v>9</v>
      </c>
      <c r="BL45" s="4" t="e">
        <f>(MAX(BJ9:BL9)-BK9)/(MAX(BJ9:BL9)-MIN(BJ9:BL9))</f>
        <v>#DIV/0!</v>
      </c>
      <c r="BS45" s="7" t="s">
        <v>1</v>
      </c>
      <c r="BT45" s="4" t="s">
        <v>9</v>
      </c>
      <c r="BU45" s="4" t="e">
        <f>(MAX(BS9:BV9)-BT9)/(MAX(BS9:BV9)-MIN(BS9:BV9))</f>
        <v>#DIV/0!</v>
      </c>
      <c r="BV45" s="4" t="e">
        <f>(MAX(BS9:BV9)-BU9)/(MAX(BS9:BV9)-MIN(BS9:BV9))</f>
        <v>#DIV/0!</v>
      </c>
      <c r="CE45" s="7" t="s">
        <v>1</v>
      </c>
      <c r="CF45" s="4" t="s">
        <v>9</v>
      </c>
      <c r="CG45" s="4" t="e">
        <f>(MAX(CE9:CH9)-CF9)/(MAX(CE9:CH9)-MIN(CE9:CH9))</f>
        <v>#DIV/0!</v>
      </c>
      <c r="CH45" s="4" t="e">
        <f>(MAX(CE9:CH9)-CG9)/(MAX(CE9:CH9)-MIN(CE9:CH9))</f>
        <v>#DIV/0!</v>
      </c>
      <c r="CQ45" s="7" t="s">
        <v>1</v>
      </c>
      <c r="CR45" s="4" t="s">
        <v>9</v>
      </c>
      <c r="CS45" s="4" t="e">
        <f>(MAX(CQ9:CT9)-CR9)/(MAX(CQ9:CT9)-MIN(CQ9:CT9))</f>
        <v>#DIV/0!</v>
      </c>
      <c r="CT45" s="4" t="e">
        <f>(MAX(CQ9:CT9)-CS9)/(MAX(CQ9:CT9)-MIN(CQ9:CT9))</f>
        <v>#DIV/0!</v>
      </c>
    </row>
    <row r="46" spans="1:106" s="4" customFormat="1" x14ac:dyDescent="0.2">
      <c r="A46" s="4" t="s">
        <v>6</v>
      </c>
      <c r="B46" s="4">
        <f>B2</f>
        <v>0</v>
      </c>
      <c r="E46" s="7">
        <f>E2</f>
        <v>0</v>
      </c>
      <c r="K46" s="7">
        <f>K2</f>
        <v>0</v>
      </c>
      <c r="Q46" s="7">
        <f>Q2</f>
        <v>0</v>
      </c>
      <c r="W46" s="7">
        <f>W2</f>
        <v>0</v>
      </c>
      <c r="AC46" s="7">
        <f>AC2</f>
        <v>0</v>
      </c>
      <c r="AI46" s="7">
        <f>AI2</f>
        <v>0</v>
      </c>
      <c r="AR46" s="7">
        <f>AR2</f>
        <v>0</v>
      </c>
      <c r="BA46" s="7">
        <f>BA2</f>
        <v>0</v>
      </c>
      <c r="BJ46" s="7">
        <f>BJ2</f>
        <v>0</v>
      </c>
      <c r="BS46" s="7">
        <f>BS2</f>
        <v>0</v>
      </c>
      <c r="CE46" s="7">
        <f>CE2</f>
        <v>0</v>
      </c>
      <c r="CQ46" s="7">
        <f>CQ2</f>
        <v>0</v>
      </c>
    </row>
    <row r="47" spans="1:106" s="1" customFormat="1" x14ac:dyDescent="0.2">
      <c r="A47" s="3">
        <f>1/12</f>
        <v>8.3333333333333329E-2</v>
      </c>
      <c r="B47" s="1" t="s">
        <v>2</v>
      </c>
      <c r="C47" s="1" t="s">
        <v>3</v>
      </c>
      <c r="D47" s="1" t="s">
        <v>4</v>
      </c>
      <c r="E47" s="11" t="s">
        <v>2</v>
      </c>
      <c r="F47" s="1" t="s">
        <v>3</v>
      </c>
      <c r="G47" s="1" t="s">
        <v>4</v>
      </c>
      <c r="K47" s="11" t="s">
        <v>2</v>
      </c>
      <c r="L47" s="1" t="s">
        <v>3</v>
      </c>
      <c r="M47" s="1" t="s">
        <v>4</v>
      </c>
      <c r="Q47" s="11" t="s">
        <v>2</v>
      </c>
      <c r="R47" s="1" t="s">
        <v>3</v>
      </c>
      <c r="S47" s="1" t="s">
        <v>4</v>
      </c>
      <c r="W47" s="11" t="s">
        <v>2</v>
      </c>
      <c r="X47" s="1" t="s">
        <v>3</v>
      </c>
      <c r="Y47" s="1" t="s">
        <v>4</v>
      </c>
      <c r="AC47" s="11" t="s">
        <v>2</v>
      </c>
      <c r="AD47" s="1" t="s">
        <v>3</v>
      </c>
      <c r="AE47" s="1" t="s">
        <v>4</v>
      </c>
      <c r="AI47" s="11" t="s">
        <v>2</v>
      </c>
      <c r="AJ47" s="1" t="s">
        <v>3</v>
      </c>
      <c r="AK47" s="1" t="s">
        <v>4</v>
      </c>
      <c r="AR47" s="11" t="s">
        <v>13</v>
      </c>
      <c r="AS47" s="1" t="s">
        <v>14</v>
      </c>
      <c r="AT47" s="1" t="s">
        <v>15</v>
      </c>
      <c r="AU47" s="1" t="s">
        <v>2</v>
      </c>
      <c r="AV47" s="1" t="s">
        <v>3</v>
      </c>
      <c r="AW47" s="1" t="s">
        <v>4</v>
      </c>
      <c r="BA47" s="11" t="s">
        <v>13</v>
      </c>
      <c r="BB47" s="1" t="s">
        <v>14</v>
      </c>
      <c r="BC47" s="1" t="s">
        <v>15</v>
      </c>
      <c r="BD47" s="1" t="s">
        <v>2</v>
      </c>
      <c r="BE47" s="1" t="s">
        <v>3</v>
      </c>
      <c r="BF47" s="1" t="s">
        <v>4</v>
      </c>
      <c r="BJ47" s="11" t="s">
        <v>13</v>
      </c>
      <c r="BK47" s="1" t="s">
        <v>14</v>
      </c>
      <c r="BL47" s="1" t="s">
        <v>15</v>
      </c>
      <c r="BM47" s="1" t="s">
        <v>2</v>
      </c>
      <c r="BN47" s="1" t="s">
        <v>3</v>
      </c>
      <c r="BO47" s="1" t="s">
        <v>4</v>
      </c>
      <c r="BS47" s="11" t="s">
        <v>13</v>
      </c>
      <c r="BT47" s="1" t="s">
        <v>14</v>
      </c>
      <c r="BU47" s="1" t="s">
        <v>15</v>
      </c>
      <c r="BV47" s="1" t="s">
        <v>2</v>
      </c>
      <c r="BW47" s="1" t="s">
        <v>3</v>
      </c>
      <c r="BX47" s="1" t="s">
        <v>4</v>
      </c>
      <c r="CE47" s="11" t="s">
        <v>13</v>
      </c>
      <c r="CF47" s="1" t="s">
        <v>14</v>
      </c>
      <c r="CG47" s="1" t="s">
        <v>15</v>
      </c>
      <c r="CH47" s="1" t="s">
        <v>2</v>
      </c>
      <c r="CI47" s="1" t="s">
        <v>3</v>
      </c>
      <c r="CJ47" s="1" t="s">
        <v>4</v>
      </c>
      <c r="CQ47" s="11" t="s">
        <v>13</v>
      </c>
      <c r="CR47" s="1" t="s">
        <v>14</v>
      </c>
      <c r="CS47" s="1" t="s">
        <v>15</v>
      </c>
      <c r="CT47" s="1" t="s">
        <v>2</v>
      </c>
      <c r="CU47" s="1" t="s">
        <v>3</v>
      </c>
      <c r="CV47" s="1" t="s">
        <v>4</v>
      </c>
    </row>
    <row r="48" spans="1:106" x14ac:dyDescent="0.2">
      <c r="A48" s="2">
        <v>0</v>
      </c>
      <c r="B48" s="2">
        <v>1</v>
      </c>
      <c r="C48" s="2">
        <v>1</v>
      </c>
      <c r="D48" s="2">
        <v>1</v>
      </c>
      <c r="E48" s="8">
        <v>1</v>
      </c>
      <c r="F48" s="2">
        <v>1</v>
      </c>
      <c r="G48" s="2">
        <v>1</v>
      </c>
      <c r="K48" s="8">
        <v>1</v>
      </c>
      <c r="L48" s="2">
        <v>1</v>
      </c>
      <c r="M48" s="2">
        <v>1</v>
      </c>
      <c r="Q48" s="8">
        <v>1</v>
      </c>
      <c r="R48" s="2">
        <v>1</v>
      </c>
      <c r="S48" s="2">
        <v>1</v>
      </c>
      <c r="W48" s="8">
        <v>1</v>
      </c>
      <c r="X48" s="2">
        <v>1</v>
      </c>
      <c r="Y48" s="2">
        <v>1</v>
      </c>
      <c r="AC48" s="8">
        <v>1</v>
      </c>
      <c r="AD48" s="2">
        <v>1</v>
      </c>
      <c r="AE48" s="2">
        <v>1</v>
      </c>
      <c r="AI48" s="8">
        <v>1</v>
      </c>
      <c r="AJ48" s="2">
        <v>1</v>
      </c>
      <c r="AK48" s="2">
        <v>1</v>
      </c>
      <c r="AU48" s="2">
        <v>1</v>
      </c>
      <c r="AV48" s="2">
        <v>1</v>
      </c>
      <c r="AW48" s="2">
        <v>1</v>
      </c>
      <c r="BD48" s="2">
        <v>1</v>
      </c>
      <c r="BE48" s="2">
        <v>1</v>
      </c>
      <c r="BF48" s="2">
        <v>1</v>
      </c>
      <c r="BM48" s="2">
        <v>1</v>
      </c>
      <c r="BN48" s="2">
        <v>1</v>
      </c>
      <c r="BO48" s="2">
        <v>1</v>
      </c>
      <c r="BV48" s="2">
        <v>1</v>
      </c>
      <c r="BW48" s="2">
        <v>1</v>
      </c>
      <c r="BX48" s="2">
        <v>1</v>
      </c>
      <c r="CH48" s="2">
        <v>1</v>
      </c>
      <c r="CI48" s="2">
        <v>1</v>
      </c>
      <c r="CJ48" s="2">
        <v>1</v>
      </c>
      <c r="CT48" s="2">
        <v>1</v>
      </c>
      <c r="CU48" s="2">
        <v>1</v>
      </c>
      <c r="CV48" s="2">
        <v>1</v>
      </c>
    </row>
    <row r="49" spans="1:100" x14ac:dyDescent="0.2">
      <c r="A49" s="2">
        <f>A48+$A$47</f>
        <v>8.3333333333333329E-2</v>
      </c>
      <c r="B49" s="2">
        <f>EXP(-$A49*$B$43)</f>
        <v>0.92004441462932329</v>
      </c>
      <c r="C49" s="2">
        <f>EXP(-$A49*$B$43*C$43)</f>
        <v>0.92004441462932329</v>
      </c>
      <c r="D49" s="2">
        <f>EXP(-$A49*$B$43*D$43)</f>
        <v>0.92004441462932329</v>
      </c>
      <c r="E49" s="8">
        <f>EXP(-(($A49*$F$43)^$E$43))</f>
        <v>0.92004441462932329</v>
      </c>
      <c r="F49" s="2">
        <f>EXP(-(($A49*$F$43*G$43)^$I$43))</f>
        <v>0.92004441462932329</v>
      </c>
      <c r="G49" s="2">
        <f>EXP(-(($A49*$F$43*H$43)^$J$43))</f>
        <v>0.92004441462932329</v>
      </c>
      <c r="K49" s="8" t="e">
        <f>EXP(-(($L$43)/$K$43)*(EXP($K$43*$A49)-1))</f>
        <v>#DIV/0!</v>
      </c>
      <c r="L49" s="2" t="e">
        <f>EXP(-(($L$43*M$43)/$O$43)*(EXP($O$43*$A49)-1))</f>
        <v>#DIV/0!</v>
      </c>
      <c r="M49" s="2" t="e">
        <f>EXP(-(($L$43*N$43)/$P$43)*(EXP($P$43*$A49)-1))</f>
        <v>#DIV/0!</v>
      </c>
      <c r="Q49" s="8">
        <f>1-_xlfn.NORM.S.DIST((LN($A49)-$Q$43)/$R$43,TRUE)</f>
        <v>0.99352072946647285</v>
      </c>
      <c r="R49" s="2">
        <f>1-_xlfn.NORM.S.DIST((LN($A49)-$Q$43-S$43)/$U$43,TRUE)</f>
        <v>0.99352072946647285</v>
      </c>
      <c r="S49" s="2">
        <f>1-_xlfn.NORM.S.DIST((LN($A49)-$Q$43-T$43)/$V$43,TRUE)</f>
        <v>0.99352072946647285</v>
      </c>
      <c r="W49" s="8">
        <f>1-(1/(1+($A49/($X$43))^(-$W$43)))</f>
        <v>0.92307692307692313</v>
      </c>
      <c r="X49" s="2">
        <f>1-(1/(1+($A49/($X$43*Y$43))^(-$AA$43)))</f>
        <v>0.92307692307692313</v>
      </c>
      <c r="Y49" s="2">
        <f>1-(1/(1+($A49/($X$43*Z$43))^(-$AB$43)))</f>
        <v>0.92307692307692313</v>
      </c>
      <c r="AC49" s="8">
        <f>1-(_xlfn.GAMMA.DIST($AD$43*$A49,$AC$43,1,TRUE)*EXP(GAMMALN($AC$43)))/EXP(GAMMALN($AC$43))</f>
        <v>0.92004441462932329</v>
      </c>
      <c r="AD49" s="2">
        <f>1-(_xlfn.GAMMA.DIST($AD$43*AE$43*$A49,$AG$43,1,TRUE)*EXP(GAMMALN($AG$43)))/EXP(GAMMALN($AG$43))</f>
        <v>0.92004441462932329</v>
      </c>
      <c r="AE49" s="2">
        <f>1-(_xlfn.GAMMA.DIST($AD$43*AF$43*$A49,$AH$43,1,TRUE)*EXP(GAMMALN($AH$43)))/EXP(GAMMALN($AH$43))</f>
        <v>0.92004441462932329</v>
      </c>
      <c r="AI49" s="8">
        <f>IF(ABS($AK$43)&lt;0.05,
        1-_xlfn.NORM.S.DIST((LN($A49)-$AI$43)/$AJ$43,TRUE),
        IF(0=1-
            IF($AK$43&gt;0,
                    _xlfn.GAMMA.DIST(EXP($AK$43*((LN($A49)-$AI$43)/$AJ$43))*($AK$43^(-2)),($AK$43^(-2)),1, TRUE),
                    1-_xlfn.GAMMA.DIST(EXP($AK$43*((LN($A49)-$AI$43)/$AJ$43))*($AK$43^(-2)),($AK$43^(-2)),1, TRUE)),
            0,
            EXP(LN(1-
                IF($AK$43&gt;0,
                    _xlfn.GAMMA.DIST(EXP($AK$43*((LN($A49)-$AI$43)/$AJ$43))*($AK$43^(-2)),($AK$43^(-2)),1, TRUE),
                    1-_xlfn.GAMMA.DIST(EXP($AK$43*((LN($A49)-$AI$43)/$AJ$43))*($AK$43^(-2)),($AK$43^(-2)),1, TRUE))))))</f>
        <v>0.99352072946647285</v>
      </c>
      <c r="AJ49" s="2">
        <f>IF(ABS($AP$43)&lt;0.05,
        1-_xlfn.NORM.S.DIST((LN($A49)-($AI$43+AL$43))/$AN$43,TRUE),
        IF(0=1-
            IF($AP$43&gt;0,
                    _xlfn.GAMMA.DIST(EXP($AP$43*((LN($A49)-($AI$43+AL$43))/$AN$43))*($AP$43^(-2)),($AP$43^(-2)),1, TRUE),
                    1-_xlfn.GAMMA.DIST(EXP($AP$43*((LN($A49)-($AI$43+AL$43))/$AN$43))*($AP$43^(-2)),($AP$43^(-2)),1, TRUE)),
            0,
            EXP(LN(1-
                IF($AP$43&gt;0,
                    _xlfn.GAMMA.DIST(EXP($AP$43*((LN($A49)-($AI$43+AL$43))/$AN$43))*($AP$43^(-2)),($AP$43^(-2)),1, TRUE),
                    1-_xlfn.GAMMA.DIST(EXP($AP$43*((LN($A49)-($AI$43+AL$43))/$AN$43))*($AP$43^(-2)),($AP$43^(-2)),1, TRUE))))))</f>
        <v>0.99352072946647285</v>
      </c>
      <c r="AK49" s="2">
        <f>IF(ABS($AQ$43)&lt;0.05,
        1-_xlfn.NORM.S.DIST((LN($A49)-($AI$43+AM$43))/$AO$43,TRUE),
        IF(0=1-
            IF($AQ$43&gt;0,
                    _xlfn.GAMMA.DIST(EXP($AQ$43*((LN($A49)-($AI$43+AM$43))/$AO$43))*($AQ$43^(-2)),($AQ$43^(-2)),1, TRUE),
                    1-_xlfn.GAMMA.DIST(EXP($AQ$43*((LN($A49)-($AI$43+AM$43))/$AO$43))*($AQ$43^(-2)),($AQ$43^(-2)),1, TRUE)),
            0,
            EXP(LN(1-
                IF($AQ$43&gt;0,
                    _xlfn.GAMMA.DIST(EXP($AQ$43*((LN($A49)-($AI$43+AM$43))/$AO$43))*($AQ$43^(-2)),($AQ$43^(-2)),1, TRUE),
                    1-_xlfn.GAMMA.DIST(EXP($AQ$43*((LN($A49)-($AI$43+AM$43))/$AO$43))*($AQ$43^(-2)),($AQ$43^(-2)),1, TRUE))))))</f>
        <v>0.99352072946647285</v>
      </c>
      <c r="AR49" s="8" t="e">
        <f t="shared" ref="AR49:AR80" si="39">AR$43+
AS$43*LN($A49)+
AT$43*(MAX(LN($A49)-AS$9,0)^3-AT$45*MAX(LN($A49)-AR$9,0)^3-(1-AT$45)*MAX(LN($A49)-AT$9,0)^3)</f>
        <v>#DIV/0!</v>
      </c>
      <c r="AS49" s="2" t="e">
        <f t="shared" ref="AS49:AS80" si="40">AR$43+
AW$43*LN($A49)+
AY$43*(MAX(LN($A49)-AS$9,0)^3-AT$45*MAX(LN($A49)-AR$9,0)^3-(1-AT$45)*MAX(LN($A49)-AT$9,0)^3)</f>
        <v>#DIV/0!</v>
      </c>
      <c r="AT49" s="2" t="e">
        <f t="shared" ref="AT49:AT80" si="41">AR$43+
AX$43*LN($A49)+
AZ$43*(MAX(LN($A49)-AS$9,0)^3-AT$45*MAX(LN($A49)-AR$9,0)^3-(1-AT$45)*MAX(LN($A49)-AT$9,0)^3)</f>
        <v>#DIV/0!</v>
      </c>
      <c r="AU49" s="2" t="e">
        <f>EXP(-EXP($AR49))</f>
        <v>#DIV/0!</v>
      </c>
      <c r="AV49" s="2" t="e">
        <f>EXP(-EXP($AS49+AU$43))</f>
        <v>#DIV/0!</v>
      </c>
      <c r="AW49" s="2" t="e">
        <f>EXP(-EXP($AT49+AV$43))</f>
        <v>#DIV/0!</v>
      </c>
      <c r="BA49" s="8" t="e">
        <f t="shared" ref="BA49:BA80" si="42">BA$43+
BB$43*LN($A49)+
BC$43*(MAX(LN($A49)-BB$9,0)^3-BC$45*MAX(LN($A49)-BA$9,0)^3-(1-BC$45)*MAX(LN($A49)-BC$9,0)^3)</f>
        <v>#DIV/0!</v>
      </c>
      <c r="BB49" s="2" t="e">
        <f t="shared" ref="BB49:BB80" si="43">BA$43+
BF$43*LN($A49)+
BH$43*(MAX(LN($A49)-BB$9,0)^3-BC$45*MAX(LN($A49)-BA$9,0)^3-(1-BC$45)*MAX(LN($A49)-BC$9,0)^3)</f>
        <v>#DIV/0!</v>
      </c>
      <c r="BC49" s="2" t="e">
        <f t="shared" ref="BC49:BC80" si="44">BA$43+
BG$43*LN($A49)+
BI$43*(MAX(LN($A49)-BB$9,0)^3-BC$45*MAX(LN($A49)-BA$9,0)^3-(1-BC$45)*MAX(LN($A49)-BC$9,0)^3)</f>
        <v>#DIV/0!</v>
      </c>
      <c r="BD49" s="2" t="e">
        <f>1-(EXP($BA49)/(1 + EXP($BA49)))</f>
        <v>#DIV/0!</v>
      </c>
      <c r="BE49" s="2" t="e">
        <f>1-(EXP($BB49+BD$43)/(1 + EXP($BB49+BD$43)))</f>
        <v>#DIV/0!</v>
      </c>
      <c r="BF49" s="2" t="e">
        <f>1-(EXP($BC49+BE$43)/(1 + EXP($BC49+BE$43)))</f>
        <v>#DIV/0!</v>
      </c>
      <c r="BJ49" s="8" t="e">
        <f t="shared" ref="BJ49:BJ80" si="45">BJ$43+
BK$43*LN($A49)+
BL$43*(MAX(LN($A49)-BK$9,0)^3-BL$45*MAX(LN($A49)-BJ$9,0)^3-(1-BL$45)*MAX(LN($A49)-BL$9,0)^3)</f>
        <v>#DIV/0!</v>
      </c>
      <c r="BK49" s="2" t="e">
        <f t="shared" ref="BK49:BK80" si="46">BJ$43+
BO$43*LN($A49)+
BQ$43*(MAX(LN($A49)-BK$9,0)^3-BL$45*MAX(LN($A49)-BJ$9,0)^3-(1-BL$45)*MAX(LN($A49)-BL$9,0)^3)</f>
        <v>#DIV/0!</v>
      </c>
      <c r="BL49" s="2" t="e">
        <f t="shared" ref="BL49:BL80" si="47">BJ$43+
BP$43*LN($A49)+
BR$43*(MAX(LN($A49)-BK$9,0)^3-BL$45*MAX(LN($A49)-BJ$9,0)^3-(1-BL$45)*MAX(LN($A49)-BL$9,0)^3)</f>
        <v>#DIV/0!</v>
      </c>
      <c r="BM49" s="2" t="e">
        <f>1-NORMSDIST($BJ49)</f>
        <v>#DIV/0!</v>
      </c>
      <c r="BN49" s="2" t="e">
        <f>1-NORMSDIST($BK49+BM$43)</f>
        <v>#DIV/0!</v>
      </c>
      <c r="BO49" s="2" t="e">
        <f>1-NORMSDIST($BL49+BN$43)</f>
        <v>#DIV/0!</v>
      </c>
      <c r="BS49" s="8" t="e">
        <f t="shared" ref="BS49:BS80" si="48">BS$43+
BT$43*LN($A49)+
BU$43*(MAX(LN($A49)-BT$9,0)^3-BU$45*MAX(LN($A49)-BS$9,0)^3-(1-BU$45)*MAX(LN($A49)-BV$9,0)^3)+
BV$43*(MAX(LN($A49)-BU$9,0)^3-BV$45*MAX(LN($A49)-BS$9,0)^3-(1-BV$45)*MAX(LN($A49)-BV$9,0)^3)</f>
        <v>#DIV/0!</v>
      </c>
      <c r="BT49" s="2" t="e">
        <f t="shared" ref="BT49:BT80" si="49">BS$43+
BY$43*LN($A49)+
CA$43*(MAX(LN($A49)-BT$9,0)^3-BU$45*MAX(LN($A49)-BS$9,0)^3-(1-BU$45)*MAX(LN($A49)-BV$9,0)^3)+
CC$43*(MAX(LN($A49)-BU$9,0)^3-BV$45*MAX(LN($A49)-BS$9,0)^3-(1-BV$45)*MAX(LN($A49)-BV$9,0)^3)</f>
        <v>#DIV/0!</v>
      </c>
      <c r="BU49" s="2" t="e">
        <f t="shared" ref="BU49:BU80" si="50">BS$43+
BZ$43*LN($A49)+
CB$43*(MAX(LN($A49)-BT$9,0)^3-BU$45*MAX(LN($A49)-BS$9,0)^3-(1-BU$45)*MAX(LN($A49)-BV$9,0)^3)+
CD$43*(MAX(LN($A49)-BU$9,0)^3-BV$45*MAX(LN($A49)-BS$9,0)^3-(1-BV$45)*MAX(LN($A49)-BV$9,0)^3)</f>
        <v>#DIV/0!</v>
      </c>
      <c r="BV49" s="2" t="e">
        <f>EXP(-EXP($BS49))</f>
        <v>#DIV/0!</v>
      </c>
      <c r="BW49" s="2" t="e">
        <f>EXP(-EXP($BT49+BW$43))</f>
        <v>#DIV/0!</v>
      </c>
      <c r="BX49" s="2" t="e">
        <f>EXP(-EXP($BU49+BX$43))</f>
        <v>#DIV/0!</v>
      </c>
      <c r="CE49" s="8" t="e">
        <f t="shared" ref="CE49:CE80" si="51">CE$43+
CF$43*LN($A49)+
CG$43*(MAX(LN($A49)-CF$9,0)^3-CG$45*MAX(LN($A49)-CE$9,0)^3-(1-CG$45)*MAX(LN($A49)-CH$9,0)^3)+
CH$43*(MAX(LN($A49)-CG$9,0)^3-CH$45*MAX(LN($A49)-CE$9,0)^3-(1-CH$45)*MAX(LN($A49)-CH$9,0)^3)</f>
        <v>#DIV/0!</v>
      </c>
      <c r="CF49" s="2" t="e">
        <f t="shared" ref="CF49:CF80" si="52">CE$43+
CK$43*LN($A49)+
CM$43*(MAX(LN($A49)-CF$9,0)^3-CG$45*MAX(LN($A49)-CE$9,0)^3-(1-CG$45)*MAX(LN($A49)-CH$9,0)^3)+
CO$43*(MAX(LN($A49)-CG$9,0)^3-CH$45*MAX(LN($A49)-CE$9,0)^3-(1-CH$45)*MAX(LN($A49)-CH$9,0)^3)</f>
        <v>#DIV/0!</v>
      </c>
      <c r="CG49" s="2" t="e">
        <f t="shared" ref="CG49:CG80" si="53">CE$43+
CL$43*LN($A49)+
CN$43*(MAX(LN($A49)-CF$9,0)^3-CG$45*MAX(LN($A49)-CE$9,0)^3-(1-CG$45)*MAX(LN($A49)-CH$9,0)^3)+
CP$43*(MAX(LN($A49)-CG$9,0)^3-CH$45*MAX(LN($A49)-CE$9,0)^3-(1-CH$45)*MAX(LN($A49)-CH$9,0)^3)</f>
        <v>#DIV/0!</v>
      </c>
      <c r="CH49" s="2" t="e">
        <f>1-(EXP($CE49)/(1 + EXP($CE49)))</f>
        <v>#DIV/0!</v>
      </c>
      <c r="CI49" s="2" t="e">
        <f>1-(EXP($CF49+CI$43)/(1 + EXP($CF49+CI$43)))</f>
        <v>#DIV/0!</v>
      </c>
      <c r="CJ49" s="2" t="e">
        <f>1-(EXP($CG49+CJ$43)/(1 + EXP($CG49+CJ$43)))</f>
        <v>#DIV/0!</v>
      </c>
      <c r="CQ49" s="8" t="e">
        <f t="shared" ref="CQ49:CQ80" si="54">CQ$43+
CR$43*LN($A49)+
CS$43*(MAX(LN($A49)-CR$9,0)^3-CS$45*MAX(LN($A49)-CQ$9,0)^3-(1-CS$45)*MAX(LN($A49)-CT$9,0)^3)+
CT$43*(MAX(LN($A49)-CS$9,0)^3-CT$45*MAX(LN($A49)-CQ$9,0)^3-(1-CT$45)*MAX(LN($A49)-CT$9,0)^3)</f>
        <v>#DIV/0!</v>
      </c>
      <c r="CR49" s="2" t="e">
        <f t="shared" ref="CR49:CR80" si="55">CQ$43+
CW$43*LN($A49)+
CY$43*(MAX(LN($A49)-CR$9,0)^3-CS$45*MAX(LN($A49)-CQ$9,0)^3-(1-CS$45)*MAX(LN($A49)-CT$9,0)^3)+
DA$43*(MAX(LN($A49)-CS$9,0)^3-CT$45*MAX(LN($A49)-CQ$9,0)^3-(1-CT$45)*MAX(LN($A49)-CT$9,0)^3)</f>
        <v>#DIV/0!</v>
      </c>
      <c r="CS49" s="2" t="e">
        <f t="shared" ref="CS49:CS80" si="56">CQ$43+
CX$43*LN($A49)+
CZ$43*(MAX(LN($A49)-CR$9,0)^3-CS$45*MAX(LN($A49)-CQ$9,0)^3-(1-CS$45)*MAX(LN($A49)-CT$9,0)^3)+
DB$43*(MAX(LN($A49)-CS$9,0)^3-CT$45*MAX(LN($A49)-CQ$9,0)^3-(1-CT$45)*MAX(LN($A49)-CT$9,0)^3)</f>
        <v>#DIV/0!</v>
      </c>
      <c r="CT49" s="2" t="e">
        <f>1-NORMSDIST($CQ49)</f>
        <v>#DIV/0!</v>
      </c>
      <c r="CU49" s="2" t="e">
        <f>1-NORMSDIST($CR49+CU$43)</f>
        <v>#DIV/0!</v>
      </c>
      <c r="CV49" s="2" t="e">
        <f>1-NORMSDIST($CS49+CV$43)</f>
        <v>#DIV/0!</v>
      </c>
    </row>
    <row r="50" spans="1:100" x14ac:dyDescent="0.2">
      <c r="A50" s="2">
        <f t="shared" ref="A50:A113" si="57">A49+$A$47</f>
        <v>0.16666666666666666</v>
      </c>
      <c r="B50" s="2">
        <f t="shared" ref="B50:B113" si="58">EXP(-$A50*$B$43)</f>
        <v>0.84648172489061413</v>
      </c>
      <c r="C50" s="2">
        <f t="shared" ref="C50:D65" si="59">EXP(-$A50*$B$43*C$43)</f>
        <v>0.84648172489061413</v>
      </c>
      <c r="D50" s="2">
        <f t="shared" si="59"/>
        <v>0.84648172489061413</v>
      </c>
      <c r="E50" s="8">
        <f t="shared" ref="E50:E113" si="60">EXP(-(($A50*$F$43)^$E$43))</f>
        <v>0.84648172489061413</v>
      </c>
      <c r="F50" s="2">
        <f t="shared" ref="F50:F113" si="61">EXP(-(($A50*$F$43*G$43)^$I$43))</f>
        <v>0.84648172489061413</v>
      </c>
      <c r="G50" s="2">
        <f t="shared" ref="G50:G113" si="62">EXP(-(($A50*$F$43*H$43)^$J$43))</f>
        <v>0.84648172489061413</v>
      </c>
      <c r="K50" s="8" t="e">
        <f t="shared" ref="K50:K113" si="63">EXP(-(($L$43)/$K$43)*(EXP($K$43*$A50)-1))</f>
        <v>#DIV/0!</v>
      </c>
      <c r="L50" s="2" t="e">
        <f t="shared" ref="L50:L113" si="64">EXP(-(($L$43*M$43)/$O$43)*(EXP($O$43*$A50)-1))</f>
        <v>#DIV/0!</v>
      </c>
      <c r="M50" s="2" t="e">
        <f t="shared" ref="M50:M113" si="65">EXP(-(($L$43*N$43)/$P$43)*(EXP($P$43*$A50)-1))</f>
        <v>#DIV/0!</v>
      </c>
      <c r="Q50" s="8">
        <f t="shared" ref="Q50:Q113" si="66">1-_xlfn.NORM.S.DIST((LN($A50)-$Q$43)/$R$43,TRUE)</f>
        <v>0.96341424808295706</v>
      </c>
      <c r="R50" s="2">
        <f t="shared" ref="R50:R113" si="67">1-_xlfn.NORM.S.DIST((LN($A50)-$Q$43-S$43)/$U$43,TRUE)</f>
        <v>0.96341424808295706</v>
      </c>
      <c r="S50" s="2">
        <f t="shared" ref="S50:S113" si="68">1-_xlfn.NORM.S.DIST((LN($A50)-$Q$43-T$43)/$V$43,TRUE)</f>
        <v>0.96341424808295706</v>
      </c>
      <c r="W50" s="8">
        <f t="shared" ref="W50:W113" si="69">1-(1/(1+($A50/($X$43))^(-$W$43)))</f>
        <v>0.85714285714285721</v>
      </c>
      <c r="X50" s="2">
        <f t="shared" ref="X50:X113" si="70">1-(1/(1+($A50/($X$43*Y$43))^(-$AA$43)))</f>
        <v>0.85714285714285721</v>
      </c>
      <c r="Y50" s="2">
        <f t="shared" ref="Y50:Y113" si="71">1-(1/(1+($A50/($X$43*Z$43))^(-$AB$43)))</f>
        <v>0.85714285714285721</v>
      </c>
      <c r="AC50" s="8">
        <f t="shared" ref="AC50:AC113" si="72">1-(_xlfn.GAMMA.DIST($AD$43*$A50,$AC$43,1,TRUE)*EXP(GAMMALN($AC$43)))/EXP(GAMMALN($AC$43))</f>
        <v>0.84648172489061402</v>
      </c>
      <c r="AD50" s="2">
        <f t="shared" ref="AD50:AD113" si="73">1-(_xlfn.GAMMA.DIST($AD$43*AE$43*$A50,$AG$43,1,TRUE)*EXP(GAMMALN($AG$43)))/EXP(GAMMALN($AG$43))</f>
        <v>0.84648172489061402</v>
      </c>
      <c r="AE50" s="2">
        <f t="shared" ref="AE50:AE113" si="74">1-(_xlfn.GAMMA.DIST($AD$43*AF$43*$A50,$AH$43,1,TRUE)*EXP(GAMMALN($AH$43)))/EXP(GAMMALN($AH$43))</f>
        <v>0.84648172489061402</v>
      </c>
      <c r="AI50" s="8">
        <f t="shared" ref="AI50:AI113" si="75">IF(ABS($AK$43)&lt;0.05,
        1-_xlfn.NORM.S.DIST((LN($A50)-$AI$43)/$AJ$43,TRUE),
        IF(0=1-
            IF($AK$43&gt;0,
                    _xlfn.GAMMA.DIST(EXP($AK$43*((LN($A50)-$AI$43)/$AJ$43))*($AK$43^(-2)),($AK$43^(-2)),1, TRUE),
                    1-_xlfn.GAMMA.DIST(EXP($AK$43*((LN($A50)-$AI$43)/$AJ$43))*($AK$43^(-2)),($AK$43^(-2)),1, TRUE)),
            0,
            EXP(LN(1-
                IF($AK$43&gt;0,
                    _xlfn.GAMMA.DIST(EXP($AK$43*((LN($A50)-$AI$43)/$AJ$43))*($AK$43^(-2)),($AK$43^(-2)),1, TRUE),
                    1-_xlfn.GAMMA.DIST(EXP($AK$43*((LN($A50)-$AI$43)/$AJ$43))*($AK$43^(-2)),($AK$43^(-2)),1, TRUE))))))</f>
        <v>0.96341424808295706</v>
      </c>
      <c r="AJ50" s="2">
        <f t="shared" ref="AJ50:AJ113" si="76">IF(ABS($AP$43)&lt;0.05,
        1-_xlfn.NORM.S.DIST((LN($A50)-($AI$43+AL$43))/$AN$43,TRUE),
        IF(0=1-
            IF($AP$43&gt;0,
                    _xlfn.GAMMA.DIST(EXP($AP$43*((LN($A50)-($AI$43+AL$43))/$AN$43))*($AP$43^(-2)),($AP$43^(-2)),1, TRUE),
                    1-_xlfn.GAMMA.DIST(EXP($AP$43*((LN($A50)-($AI$43+AL$43))/$AN$43))*($AP$43^(-2)),($AP$43^(-2)),1, TRUE)),
            0,
            EXP(LN(1-
                IF($AP$43&gt;0,
                    _xlfn.GAMMA.DIST(EXP($AP$43*((LN($A50)-($AI$43+AL$43))/$AN$43))*($AP$43^(-2)),($AP$43^(-2)),1, TRUE),
                    1-_xlfn.GAMMA.DIST(EXP($AP$43*((LN($A50)-($AI$43+AL$43))/$AN$43))*($AP$43^(-2)),($AP$43^(-2)),1, TRUE))))))</f>
        <v>0.96341424808295706</v>
      </c>
      <c r="AK50" s="2">
        <f t="shared" ref="AK50:AK113" si="77">IF(ABS($AQ$43)&lt;0.05,
        1-_xlfn.NORM.S.DIST((LN($A50)-($AI$43+AM$43))/$AO$43,TRUE),
        IF(0=1-
            IF($AQ$43&gt;0,
                    _xlfn.GAMMA.DIST(EXP($AQ$43*((LN($A50)-($AI$43+AM$43))/$AO$43))*($AQ$43^(-2)),($AQ$43^(-2)),1, TRUE),
                    1-_xlfn.GAMMA.DIST(EXP($AQ$43*((LN($A50)-($AI$43+AM$43))/$AO$43))*($AQ$43^(-2)),($AQ$43^(-2)),1, TRUE)),
            0,
            EXP(LN(1-
                IF($AQ$43&gt;0,
                    _xlfn.GAMMA.DIST(EXP($AQ$43*((LN($A50)-($AI$43+AM$43))/$AO$43))*($AQ$43^(-2)),($AQ$43^(-2)),1, TRUE),
                    1-_xlfn.GAMMA.DIST(EXP($AQ$43*((LN($A50)-($AI$43+AM$43))/$AO$43))*($AQ$43^(-2)),($AQ$43^(-2)),1, TRUE))))))</f>
        <v>0.96341424808295706</v>
      </c>
      <c r="AR50" s="8" t="e">
        <f t="shared" si="39"/>
        <v>#DIV/0!</v>
      </c>
      <c r="AS50" s="2" t="e">
        <f t="shared" si="40"/>
        <v>#DIV/0!</v>
      </c>
      <c r="AT50" s="2" t="e">
        <f t="shared" si="41"/>
        <v>#DIV/0!</v>
      </c>
      <c r="AU50" s="2" t="e">
        <f t="shared" ref="AU50:AU113" si="78">EXP(-EXP($AR50))</f>
        <v>#DIV/0!</v>
      </c>
      <c r="AV50" s="2" t="e">
        <f t="shared" ref="AV50:AV113" si="79">EXP(-EXP($AS50+AU$43))</f>
        <v>#DIV/0!</v>
      </c>
      <c r="AW50" s="2" t="e">
        <f t="shared" ref="AW50:AW113" si="80">EXP(-EXP($AT50+AV$43))</f>
        <v>#DIV/0!</v>
      </c>
      <c r="BA50" s="8" t="e">
        <f t="shared" si="42"/>
        <v>#DIV/0!</v>
      </c>
      <c r="BB50" s="2" t="e">
        <f t="shared" si="43"/>
        <v>#DIV/0!</v>
      </c>
      <c r="BC50" s="2" t="e">
        <f t="shared" si="44"/>
        <v>#DIV/0!</v>
      </c>
      <c r="BD50" s="2" t="e">
        <f t="shared" ref="BD50:BD113" si="81">1-(EXP($BA50)/(1 + EXP($BA50)))</f>
        <v>#DIV/0!</v>
      </c>
      <c r="BE50" s="2" t="e">
        <f t="shared" ref="BE50:BE113" si="82">1-(EXP($BB50+BD$43)/(1 + EXP($BB50+BD$43)))</f>
        <v>#DIV/0!</v>
      </c>
      <c r="BF50" s="2" t="e">
        <f t="shared" ref="BF50:BF113" si="83">1-(EXP($BC50+BE$43)/(1 + EXP($BC50+BE$43)))</f>
        <v>#DIV/0!</v>
      </c>
      <c r="BJ50" s="8" t="e">
        <f t="shared" si="45"/>
        <v>#DIV/0!</v>
      </c>
      <c r="BK50" s="2" t="e">
        <f t="shared" si="46"/>
        <v>#DIV/0!</v>
      </c>
      <c r="BL50" s="2" t="e">
        <f t="shared" si="47"/>
        <v>#DIV/0!</v>
      </c>
      <c r="BM50" s="2" t="e">
        <f t="shared" ref="BM50:BM113" si="84">1-NORMSDIST($BJ50)</f>
        <v>#DIV/0!</v>
      </c>
      <c r="BN50" s="2" t="e">
        <f t="shared" ref="BN50:BN113" si="85">1-NORMSDIST($BK50+BM$43)</f>
        <v>#DIV/0!</v>
      </c>
      <c r="BO50" s="2" t="e">
        <f t="shared" ref="BO50:BO113" si="86">1-NORMSDIST($BL50+BN$43)</f>
        <v>#DIV/0!</v>
      </c>
      <c r="BS50" s="8" t="e">
        <f t="shared" si="48"/>
        <v>#DIV/0!</v>
      </c>
      <c r="BT50" s="2" t="e">
        <f t="shared" si="49"/>
        <v>#DIV/0!</v>
      </c>
      <c r="BU50" s="2" t="e">
        <f t="shared" si="50"/>
        <v>#DIV/0!</v>
      </c>
      <c r="BV50" s="2" t="e">
        <f t="shared" ref="BV50:BV113" si="87">EXP(-EXP($BS50))</f>
        <v>#DIV/0!</v>
      </c>
      <c r="BW50" s="2" t="e">
        <f t="shared" ref="BW50:BW113" si="88">EXP(-EXP($BT50+BW$43))</f>
        <v>#DIV/0!</v>
      </c>
      <c r="BX50" s="2" t="e">
        <f t="shared" ref="BX50:BX113" si="89">EXP(-EXP($BU50+BX$43))</f>
        <v>#DIV/0!</v>
      </c>
      <c r="CE50" s="8" t="e">
        <f t="shared" si="51"/>
        <v>#DIV/0!</v>
      </c>
      <c r="CF50" s="2" t="e">
        <f t="shared" si="52"/>
        <v>#DIV/0!</v>
      </c>
      <c r="CG50" s="2" t="e">
        <f t="shared" si="53"/>
        <v>#DIV/0!</v>
      </c>
      <c r="CH50" s="2" t="e">
        <f t="shared" ref="CH50:CH113" si="90">1-(EXP($CE50)/(1 + EXP($CE50)))</f>
        <v>#DIV/0!</v>
      </c>
      <c r="CI50" s="2" t="e">
        <f t="shared" ref="CI50:CI113" si="91">1-(EXP($CF50+CI$43)/(1 + EXP($CF50+CI$43)))</f>
        <v>#DIV/0!</v>
      </c>
      <c r="CJ50" s="2" t="e">
        <f t="shared" ref="CJ50:CJ113" si="92">1-(EXP($CG50+CJ$43)/(1 + EXP($CG50+CJ$43)))</f>
        <v>#DIV/0!</v>
      </c>
      <c r="CQ50" s="8" t="e">
        <f t="shared" si="54"/>
        <v>#DIV/0!</v>
      </c>
      <c r="CR50" s="2" t="e">
        <f t="shared" si="55"/>
        <v>#DIV/0!</v>
      </c>
      <c r="CS50" s="2" t="e">
        <f t="shared" si="56"/>
        <v>#DIV/0!</v>
      </c>
      <c r="CT50" s="2" t="e">
        <f t="shared" ref="CT50:CT113" si="93">1-NORMSDIST($CQ50)</f>
        <v>#DIV/0!</v>
      </c>
      <c r="CU50" s="2" t="e">
        <f t="shared" ref="CU50:CU113" si="94">1-NORMSDIST($CR50+CU$43)</f>
        <v>#DIV/0!</v>
      </c>
      <c r="CV50" s="2" t="e">
        <f t="shared" ref="CV50:CV113" si="95">1-NORMSDIST($CS50+CV$43)</f>
        <v>#DIV/0!</v>
      </c>
    </row>
    <row r="51" spans="1:100" x14ac:dyDescent="0.2">
      <c r="A51" s="2">
        <f t="shared" si="57"/>
        <v>0.25</v>
      </c>
      <c r="B51" s="2">
        <f t="shared" si="58"/>
        <v>0.77880078307140488</v>
      </c>
      <c r="C51" s="2">
        <f t="shared" si="59"/>
        <v>0.77880078307140488</v>
      </c>
      <c r="D51" s="2">
        <f t="shared" si="59"/>
        <v>0.77880078307140488</v>
      </c>
      <c r="E51" s="8">
        <f t="shared" si="60"/>
        <v>0.77880078307140488</v>
      </c>
      <c r="F51" s="2">
        <f t="shared" si="61"/>
        <v>0.77880078307140488</v>
      </c>
      <c r="G51" s="2">
        <f t="shared" si="62"/>
        <v>0.77880078307140488</v>
      </c>
      <c r="K51" s="8" t="e">
        <f t="shared" si="63"/>
        <v>#DIV/0!</v>
      </c>
      <c r="L51" s="2" t="e">
        <f t="shared" si="64"/>
        <v>#DIV/0!</v>
      </c>
      <c r="M51" s="2" t="e">
        <f t="shared" si="65"/>
        <v>#DIV/0!</v>
      </c>
      <c r="Q51" s="8">
        <f t="shared" si="66"/>
        <v>0.91717148099830148</v>
      </c>
      <c r="R51" s="2">
        <f t="shared" si="67"/>
        <v>0.91717148099830148</v>
      </c>
      <c r="S51" s="2">
        <f t="shared" si="68"/>
        <v>0.91717148099830148</v>
      </c>
      <c r="W51" s="8">
        <f t="shared" si="69"/>
        <v>0.8</v>
      </c>
      <c r="X51" s="2">
        <f t="shared" si="70"/>
        <v>0.8</v>
      </c>
      <c r="Y51" s="2">
        <f t="shared" si="71"/>
        <v>0.8</v>
      </c>
      <c r="AC51" s="8">
        <f t="shared" si="72"/>
        <v>0.77880078307140488</v>
      </c>
      <c r="AD51" s="2">
        <f t="shared" si="73"/>
        <v>0.77880078307140488</v>
      </c>
      <c r="AE51" s="2">
        <f t="shared" si="74"/>
        <v>0.77880078307140488</v>
      </c>
      <c r="AI51" s="8">
        <f t="shared" si="75"/>
        <v>0.91717148099830148</v>
      </c>
      <c r="AJ51" s="2">
        <f t="shared" si="76"/>
        <v>0.91717148099830148</v>
      </c>
      <c r="AK51" s="2">
        <f t="shared" si="77"/>
        <v>0.91717148099830148</v>
      </c>
      <c r="AR51" s="8" t="e">
        <f t="shared" si="39"/>
        <v>#DIV/0!</v>
      </c>
      <c r="AS51" s="2" t="e">
        <f t="shared" si="40"/>
        <v>#DIV/0!</v>
      </c>
      <c r="AT51" s="2" t="e">
        <f t="shared" si="41"/>
        <v>#DIV/0!</v>
      </c>
      <c r="AU51" s="2" t="e">
        <f t="shared" si="78"/>
        <v>#DIV/0!</v>
      </c>
      <c r="AV51" s="2" t="e">
        <f t="shared" si="79"/>
        <v>#DIV/0!</v>
      </c>
      <c r="AW51" s="2" t="e">
        <f t="shared" si="80"/>
        <v>#DIV/0!</v>
      </c>
      <c r="BA51" s="8" t="e">
        <f t="shared" si="42"/>
        <v>#DIV/0!</v>
      </c>
      <c r="BB51" s="2" t="e">
        <f t="shared" si="43"/>
        <v>#DIV/0!</v>
      </c>
      <c r="BC51" s="2" t="e">
        <f t="shared" si="44"/>
        <v>#DIV/0!</v>
      </c>
      <c r="BD51" s="2" t="e">
        <f t="shared" si="81"/>
        <v>#DIV/0!</v>
      </c>
      <c r="BE51" s="2" t="e">
        <f t="shared" si="82"/>
        <v>#DIV/0!</v>
      </c>
      <c r="BF51" s="2" t="e">
        <f t="shared" si="83"/>
        <v>#DIV/0!</v>
      </c>
      <c r="BJ51" s="8" t="e">
        <f t="shared" si="45"/>
        <v>#DIV/0!</v>
      </c>
      <c r="BK51" s="2" t="e">
        <f t="shared" si="46"/>
        <v>#DIV/0!</v>
      </c>
      <c r="BL51" s="2" t="e">
        <f t="shared" si="47"/>
        <v>#DIV/0!</v>
      </c>
      <c r="BM51" s="2" t="e">
        <f t="shared" si="84"/>
        <v>#DIV/0!</v>
      </c>
      <c r="BN51" s="2" t="e">
        <f t="shared" si="85"/>
        <v>#DIV/0!</v>
      </c>
      <c r="BO51" s="2" t="e">
        <f t="shared" si="86"/>
        <v>#DIV/0!</v>
      </c>
      <c r="BS51" s="8" t="e">
        <f t="shared" si="48"/>
        <v>#DIV/0!</v>
      </c>
      <c r="BT51" s="2" t="e">
        <f t="shared" si="49"/>
        <v>#DIV/0!</v>
      </c>
      <c r="BU51" s="2" t="e">
        <f t="shared" si="50"/>
        <v>#DIV/0!</v>
      </c>
      <c r="BV51" s="2" t="e">
        <f t="shared" si="87"/>
        <v>#DIV/0!</v>
      </c>
      <c r="BW51" s="2" t="e">
        <f t="shared" si="88"/>
        <v>#DIV/0!</v>
      </c>
      <c r="BX51" s="2" t="e">
        <f t="shared" si="89"/>
        <v>#DIV/0!</v>
      </c>
      <c r="CE51" s="8" t="e">
        <f t="shared" si="51"/>
        <v>#DIV/0!</v>
      </c>
      <c r="CF51" s="2" t="e">
        <f t="shared" si="52"/>
        <v>#DIV/0!</v>
      </c>
      <c r="CG51" s="2" t="e">
        <f t="shared" si="53"/>
        <v>#DIV/0!</v>
      </c>
      <c r="CH51" s="2" t="e">
        <f t="shared" si="90"/>
        <v>#DIV/0!</v>
      </c>
      <c r="CI51" s="2" t="e">
        <f t="shared" si="91"/>
        <v>#DIV/0!</v>
      </c>
      <c r="CJ51" s="2" t="e">
        <f t="shared" si="92"/>
        <v>#DIV/0!</v>
      </c>
      <c r="CQ51" s="8" t="e">
        <f t="shared" si="54"/>
        <v>#DIV/0!</v>
      </c>
      <c r="CR51" s="2" t="e">
        <f t="shared" si="55"/>
        <v>#DIV/0!</v>
      </c>
      <c r="CS51" s="2" t="e">
        <f t="shared" si="56"/>
        <v>#DIV/0!</v>
      </c>
      <c r="CT51" s="2" t="e">
        <f t="shared" si="93"/>
        <v>#DIV/0!</v>
      </c>
      <c r="CU51" s="2" t="e">
        <f t="shared" si="94"/>
        <v>#DIV/0!</v>
      </c>
      <c r="CV51" s="2" t="e">
        <f t="shared" si="95"/>
        <v>#DIV/0!</v>
      </c>
    </row>
    <row r="52" spans="1:100" x14ac:dyDescent="0.2">
      <c r="A52" s="2">
        <f t="shared" si="57"/>
        <v>0.33333333333333331</v>
      </c>
      <c r="B52" s="2">
        <f t="shared" si="58"/>
        <v>0.71653131057378927</v>
      </c>
      <c r="C52" s="2">
        <f t="shared" si="59"/>
        <v>0.71653131057378927</v>
      </c>
      <c r="D52" s="2">
        <f t="shared" si="59"/>
        <v>0.71653131057378927</v>
      </c>
      <c r="E52" s="8">
        <f t="shared" si="60"/>
        <v>0.71653131057378927</v>
      </c>
      <c r="F52" s="2">
        <f t="shared" si="61"/>
        <v>0.71653131057378927</v>
      </c>
      <c r="G52" s="2">
        <f t="shared" si="62"/>
        <v>0.71653131057378927</v>
      </c>
      <c r="K52" s="8" t="e">
        <f t="shared" si="63"/>
        <v>#DIV/0!</v>
      </c>
      <c r="L52" s="2" t="e">
        <f t="shared" si="64"/>
        <v>#DIV/0!</v>
      </c>
      <c r="M52" s="2" t="e">
        <f t="shared" si="65"/>
        <v>#DIV/0!</v>
      </c>
      <c r="Q52" s="8">
        <f t="shared" si="66"/>
        <v>0.86403139235857551</v>
      </c>
      <c r="R52" s="2">
        <f t="shared" si="67"/>
        <v>0.86403139235857551</v>
      </c>
      <c r="S52" s="2">
        <f t="shared" si="68"/>
        <v>0.86403139235857551</v>
      </c>
      <c r="W52" s="8">
        <f t="shared" si="69"/>
        <v>0.75</v>
      </c>
      <c r="X52" s="2">
        <f t="shared" si="70"/>
        <v>0.75</v>
      </c>
      <c r="Y52" s="2">
        <f t="shared" si="71"/>
        <v>0.75</v>
      </c>
      <c r="AC52" s="8">
        <f t="shared" si="72"/>
        <v>0.71653131057378927</v>
      </c>
      <c r="AD52" s="2">
        <f t="shared" si="73"/>
        <v>0.71653131057378927</v>
      </c>
      <c r="AE52" s="2">
        <f t="shared" si="74"/>
        <v>0.71653131057378927</v>
      </c>
      <c r="AI52" s="8">
        <f t="shared" si="75"/>
        <v>0.86403139235857551</v>
      </c>
      <c r="AJ52" s="2">
        <f t="shared" si="76"/>
        <v>0.86403139235857551</v>
      </c>
      <c r="AK52" s="2">
        <f t="shared" si="77"/>
        <v>0.86403139235857551</v>
      </c>
      <c r="AR52" s="8" t="e">
        <f t="shared" si="39"/>
        <v>#DIV/0!</v>
      </c>
      <c r="AS52" s="2" t="e">
        <f t="shared" si="40"/>
        <v>#DIV/0!</v>
      </c>
      <c r="AT52" s="2" t="e">
        <f t="shared" si="41"/>
        <v>#DIV/0!</v>
      </c>
      <c r="AU52" s="2" t="e">
        <f t="shared" si="78"/>
        <v>#DIV/0!</v>
      </c>
      <c r="AV52" s="2" t="e">
        <f t="shared" si="79"/>
        <v>#DIV/0!</v>
      </c>
      <c r="AW52" s="2" t="e">
        <f t="shared" si="80"/>
        <v>#DIV/0!</v>
      </c>
      <c r="BA52" s="8" t="e">
        <f t="shared" si="42"/>
        <v>#DIV/0!</v>
      </c>
      <c r="BB52" s="2" t="e">
        <f t="shared" si="43"/>
        <v>#DIV/0!</v>
      </c>
      <c r="BC52" s="2" t="e">
        <f t="shared" si="44"/>
        <v>#DIV/0!</v>
      </c>
      <c r="BD52" s="2" t="e">
        <f t="shared" si="81"/>
        <v>#DIV/0!</v>
      </c>
      <c r="BE52" s="2" t="e">
        <f t="shared" si="82"/>
        <v>#DIV/0!</v>
      </c>
      <c r="BF52" s="2" t="e">
        <f t="shared" si="83"/>
        <v>#DIV/0!</v>
      </c>
      <c r="BJ52" s="8" t="e">
        <f t="shared" si="45"/>
        <v>#DIV/0!</v>
      </c>
      <c r="BK52" s="2" t="e">
        <f t="shared" si="46"/>
        <v>#DIV/0!</v>
      </c>
      <c r="BL52" s="2" t="e">
        <f t="shared" si="47"/>
        <v>#DIV/0!</v>
      </c>
      <c r="BM52" s="2" t="e">
        <f t="shared" si="84"/>
        <v>#DIV/0!</v>
      </c>
      <c r="BN52" s="2" t="e">
        <f t="shared" si="85"/>
        <v>#DIV/0!</v>
      </c>
      <c r="BO52" s="2" t="e">
        <f t="shared" si="86"/>
        <v>#DIV/0!</v>
      </c>
      <c r="BS52" s="8" t="e">
        <f t="shared" si="48"/>
        <v>#DIV/0!</v>
      </c>
      <c r="BT52" s="2" t="e">
        <f t="shared" si="49"/>
        <v>#DIV/0!</v>
      </c>
      <c r="BU52" s="2" t="e">
        <f t="shared" si="50"/>
        <v>#DIV/0!</v>
      </c>
      <c r="BV52" s="2" t="e">
        <f t="shared" si="87"/>
        <v>#DIV/0!</v>
      </c>
      <c r="BW52" s="2" t="e">
        <f t="shared" si="88"/>
        <v>#DIV/0!</v>
      </c>
      <c r="BX52" s="2" t="e">
        <f t="shared" si="89"/>
        <v>#DIV/0!</v>
      </c>
      <c r="CE52" s="8" t="e">
        <f t="shared" si="51"/>
        <v>#DIV/0!</v>
      </c>
      <c r="CF52" s="2" t="e">
        <f t="shared" si="52"/>
        <v>#DIV/0!</v>
      </c>
      <c r="CG52" s="2" t="e">
        <f t="shared" si="53"/>
        <v>#DIV/0!</v>
      </c>
      <c r="CH52" s="2" t="e">
        <f t="shared" si="90"/>
        <v>#DIV/0!</v>
      </c>
      <c r="CI52" s="2" t="e">
        <f t="shared" si="91"/>
        <v>#DIV/0!</v>
      </c>
      <c r="CJ52" s="2" t="e">
        <f t="shared" si="92"/>
        <v>#DIV/0!</v>
      </c>
      <c r="CQ52" s="8" t="e">
        <f t="shared" si="54"/>
        <v>#DIV/0!</v>
      </c>
      <c r="CR52" s="2" t="e">
        <f t="shared" si="55"/>
        <v>#DIV/0!</v>
      </c>
      <c r="CS52" s="2" t="e">
        <f t="shared" si="56"/>
        <v>#DIV/0!</v>
      </c>
      <c r="CT52" s="2" t="e">
        <f t="shared" si="93"/>
        <v>#DIV/0!</v>
      </c>
      <c r="CU52" s="2" t="e">
        <f t="shared" si="94"/>
        <v>#DIV/0!</v>
      </c>
      <c r="CV52" s="2" t="e">
        <f t="shared" si="95"/>
        <v>#DIV/0!</v>
      </c>
    </row>
    <row r="53" spans="1:100" x14ac:dyDescent="0.2">
      <c r="A53" s="2">
        <f t="shared" si="57"/>
        <v>0.41666666666666663</v>
      </c>
      <c r="B53" s="2">
        <f t="shared" si="58"/>
        <v>0.65924063020044377</v>
      </c>
      <c r="C53" s="2">
        <f t="shared" si="59"/>
        <v>0.65924063020044377</v>
      </c>
      <c r="D53" s="2">
        <f t="shared" si="59"/>
        <v>0.65924063020044377</v>
      </c>
      <c r="E53" s="8">
        <f t="shared" si="60"/>
        <v>0.65924063020044377</v>
      </c>
      <c r="F53" s="2">
        <f t="shared" si="61"/>
        <v>0.65924063020044377</v>
      </c>
      <c r="G53" s="2">
        <f t="shared" si="62"/>
        <v>0.65924063020044377</v>
      </c>
      <c r="K53" s="8" t="e">
        <f t="shared" si="63"/>
        <v>#DIV/0!</v>
      </c>
      <c r="L53" s="2" t="e">
        <f t="shared" si="64"/>
        <v>#DIV/0!</v>
      </c>
      <c r="M53" s="2" t="e">
        <f t="shared" si="65"/>
        <v>#DIV/0!</v>
      </c>
      <c r="Q53" s="8">
        <f t="shared" si="66"/>
        <v>0.8093405433351144</v>
      </c>
      <c r="R53" s="2">
        <f t="shared" si="67"/>
        <v>0.8093405433351144</v>
      </c>
      <c r="S53" s="2">
        <f t="shared" si="68"/>
        <v>0.8093405433351144</v>
      </c>
      <c r="W53" s="8">
        <f t="shared" si="69"/>
        <v>0.70588235294117652</v>
      </c>
      <c r="X53" s="2">
        <f t="shared" si="70"/>
        <v>0.70588235294117652</v>
      </c>
      <c r="Y53" s="2">
        <f t="shared" si="71"/>
        <v>0.70588235294117652</v>
      </c>
      <c r="AC53" s="8">
        <f t="shared" si="72"/>
        <v>0.65924063020044377</v>
      </c>
      <c r="AD53" s="2">
        <f t="shared" si="73"/>
        <v>0.65924063020044377</v>
      </c>
      <c r="AE53" s="2">
        <f t="shared" si="74"/>
        <v>0.65924063020044377</v>
      </c>
      <c r="AI53" s="8">
        <f t="shared" si="75"/>
        <v>0.8093405433351144</v>
      </c>
      <c r="AJ53" s="2">
        <f t="shared" si="76"/>
        <v>0.8093405433351144</v>
      </c>
      <c r="AK53" s="2">
        <f t="shared" si="77"/>
        <v>0.8093405433351144</v>
      </c>
      <c r="AR53" s="8" t="e">
        <f t="shared" si="39"/>
        <v>#DIV/0!</v>
      </c>
      <c r="AS53" s="2" t="e">
        <f t="shared" si="40"/>
        <v>#DIV/0!</v>
      </c>
      <c r="AT53" s="2" t="e">
        <f t="shared" si="41"/>
        <v>#DIV/0!</v>
      </c>
      <c r="AU53" s="2" t="e">
        <f t="shared" si="78"/>
        <v>#DIV/0!</v>
      </c>
      <c r="AV53" s="2" t="e">
        <f t="shared" si="79"/>
        <v>#DIV/0!</v>
      </c>
      <c r="AW53" s="2" t="e">
        <f t="shared" si="80"/>
        <v>#DIV/0!</v>
      </c>
      <c r="BA53" s="8" t="e">
        <f t="shared" si="42"/>
        <v>#DIV/0!</v>
      </c>
      <c r="BB53" s="2" t="e">
        <f t="shared" si="43"/>
        <v>#DIV/0!</v>
      </c>
      <c r="BC53" s="2" t="e">
        <f t="shared" si="44"/>
        <v>#DIV/0!</v>
      </c>
      <c r="BD53" s="2" t="e">
        <f t="shared" si="81"/>
        <v>#DIV/0!</v>
      </c>
      <c r="BE53" s="2" t="e">
        <f t="shared" si="82"/>
        <v>#DIV/0!</v>
      </c>
      <c r="BF53" s="2" t="e">
        <f t="shared" si="83"/>
        <v>#DIV/0!</v>
      </c>
      <c r="BJ53" s="8" t="e">
        <f t="shared" si="45"/>
        <v>#DIV/0!</v>
      </c>
      <c r="BK53" s="2" t="e">
        <f t="shared" si="46"/>
        <v>#DIV/0!</v>
      </c>
      <c r="BL53" s="2" t="e">
        <f t="shared" si="47"/>
        <v>#DIV/0!</v>
      </c>
      <c r="BM53" s="2" t="e">
        <f t="shared" si="84"/>
        <v>#DIV/0!</v>
      </c>
      <c r="BN53" s="2" t="e">
        <f t="shared" si="85"/>
        <v>#DIV/0!</v>
      </c>
      <c r="BO53" s="2" t="e">
        <f t="shared" si="86"/>
        <v>#DIV/0!</v>
      </c>
      <c r="BS53" s="8" t="e">
        <f t="shared" si="48"/>
        <v>#DIV/0!</v>
      </c>
      <c r="BT53" s="2" t="e">
        <f t="shared" si="49"/>
        <v>#DIV/0!</v>
      </c>
      <c r="BU53" s="2" t="e">
        <f t="shared" si="50"/>
        <v>#DIV/0!</v>
      </c>
      <c r="BV53" s="2" t="e">
        <f t="shared" si="87"/>
        <v>#DIV/0!</v>
      </c>
      <c r="BW53" s="2" t="e">
        <f t="shared" si="88"/>
        <v>#DIV/0!</v>
      </c>
      <c r="BX53" s="2" t="e">
        <f t="shared" si="89"/>
        <v>#DIV/0!</v>
      </c>
      <c r="CE53" s="8" t="e">
        <f t="shared" si="51"/>
        <v>#DIV/0!</v>
      </c>
      <c r="CF53" s="2" t="e">
        <f t="shared" si="52"/>
        <v>#DIV/0!</v>
      </c>
      <c r="CG53" s="2" t="e">
        <f t="shared" si="53"/>
        <v>#DIV/0!</v>
      </c>
      <c r="CH53" s="2" t="e">
        <f t="shared" si="90"/>
        <v>#DIV/0!</v>
      </c>
      <c r="CI53" s="2" t="e">
        <f t="shared" si="91"/>
        <v>#DIV/0!</v>
      </c>
      <c r="CJ53" s="2" t="e">
        <f t="shared" si="92"/>
        <v>#DIV/0!</v>
      </c>
      <c r="CQ53" s="8" t="e">
        <f t="shared" si="54"/>
        <v>#DIV/0!</v>
      </c>
      <c r="CR53" s="2" t="e">
        <f t="shared" si="55"/>
        <v>#DIV/0!</v>
      </c>
      <c r="CS53" s="2" t="e">
        <f t="shared" si="56"/>
        <v>#DIV/0!</v>
      </c>
      <c r="CT53" s="2" t="e">
        <f t="shared" si="93"/>
        <v>#DIV/0!</v>
      </c>
      <c r="CU53" s="2" t="e">
        <f t="shared" si="94"/>
        <v>#DIV/0!</v>
      </c>
      <c r="CV53" s="2" t="e">
        <f t="shared" si="95"/>
        <v>#DIV/0!</v>
      </c>
    </row>
    <row r="54" spans="1:100" x14ac:dyDescent="0.2">
      <c r="A54" s="2">
        <f t="shared" si="57"/>
        <v>0.49999999999999994</v>
      </c>
      <c r="B54" s="2">
        <f t="shared" si="58"/>
        <v>0.60653065971263342</v>
      </c>
      <c r="C54" s="2">
        <f t="shared" si="59"/>
        <v>0.60653065971263342</v>
      </c>
      <c r="D54" s="2">
        <f t="shared" si="59"/>
        <v>0.60653065971263342</v>
      </c>
      <c r="E54" s="8">
        <f t="shared" si="60"/>
        <v>0.60653065971263342</v>
      </c>
      <c r="F54" s="2">
        <f t="shared" si="61"/>
        <v>0.60653065971263342</v>
      </c>
      <c r="G54" s="2">
        <f t="shared" si="62"/>
        <v>0.60653065971263342</v>
      </c>
      <c r="K54" s="8" t="e">
        <f t="shared" si="63"/>
        <v>#DIV/0!</v>
      </c>
      <c r="L54" s="2" t="e">
        <f t="shared" si="64"/>
        <v>#DIV/0!</v>
      </c>
      <c r="M54" s="2" t="e">
        <f t="shared" si="65"/>
        <v>#DIV/0!</v>
      </c>
      <c r="Q54" s="8">
        <f t="shared" si="66"/>
        <v>0.75589140421441736</v>
      </c>
      <c r="R54" s="2">
        <f t="shared" si="67"/>
        <v>0.75589140421441736</v>
      </c>
      <c r="S54" s="2">
        <f t="shared" si="68"/>
        <v>0.75589140421441736</v>
      </c>
      <c r="W54" s="8">
        <f t="shared" si="69"/>
        <v>0.66666666666666674</v>
      </c>
      <c r="X54" s="2">
        <f t="shared" si="70"/>
        <v>0.66666666666666674</v>
      </c>
      <c r="Y54" s="2">
        <f t="shared" si="71"/>
        <v>0.66666666666666674</v>
      </c>
      <c r="AC54" s="8">
        <f t="shared" si="72"/>
        <v>0.60653065971263342</v>
      </c>
      <c r="AD54" s="2">
        <f t="shared" si="73"/>
        <v>0.60653065971263342</v>
      </c>
      <c r="AE54" s="2">
        <f t="shared" si="74"/>
        <v>0.60653065971263342</v>
      </c>
      <c r="AI54" s="8">
        <f t="shared" si="75"/>
        <v>0.75589140421441736</v>
      </c>
      <c r="AJ54" s="2">
        <f t="shared" si="76"/>
        <v>0.75589140421441736</v>
      </c>
      <c r="AK54" s="2">
        <f t="shared" si="77"/>
        <v>0.75589140421441736</v>
      </c>
      <c r="AR54" s="8" t="e">
        <f t="shared" si="39"/>
        <v>#DIV/0!</v>
      </c>
      <c r="AS54" s="2" t="e">
        <f t="shared" si="40"/>
        <v>#DIV/0!</v>
      </c>
      <c r="AT54" s="2" t="e">
        <f t="shared" si="41"/>
        <v>#DIV/0!</v>
      </c>
      <c r="AU54" s="2" t="e">
        <f t="shared" si="78"/>
        <v>#DIV/0!</v>
      </c>
      <c r="AV54" s="2" t="e">
        <f t="shared" si="79"/>
        <v>#DIV/0!</v>
      </c>
      <c r="AW54" s="2" t="e">
        <f t="shared" si="80"/>
        <v>#DIV/0!</v>
      </c>
      <c r="BA54" s="8" t="e">
        <f t="shared" si="42"/>
        <v>#DIV/0!</v>
      </c>
      <c r="BB54" s="2" t="e">
        <f t="shared" si="43"/>
        <v>#DIV/0!</v>
      </c>
      <c r="BC54" s="2" t="e">
        <f t="shared" si="44"/>
        <v>#DIV/0!</v>
      </c>
      <c r="BD54" s="2" t="e">
        <f t="shared" si="81"/>
        <v>#DIV/0!</v>
      </c>
      <c r="BE54" s="2" t="e">
        <f t="shared" si="82"/>
        <v>#DIV/0!</v>
      </c>
      <c r="BF54" s="2" t="e">
        <f t="shared" si="83"/>
        <v>#DIV/0!</v>
      </c>
      <c r="BJ54" s="8" t="e">
        <f t="shared" si="45"/>
        <v>#DIV/0!</v>
      </c>
      <c r="BK54" s="2" t="e">
        <f t="shared" si="46"/>
        <v>#DIV/0!</v>
      </c>
      <c r="BL54" s="2" t="e">
        <f t="shared" si="47"/>
        <v>#DIV/0!</v>
      </c>
      <c r="BM54" s="2" t="e">
        <f t="shared" si="84"/>
        <v>#DIV/0!</v>
      </c>
      <c r="BN54" s="2" t="e">
        <f t="shared" si="85"/>
        <v>#DIV/0!</v>
      </c>
      <c r="BO54" s="2" t="e">
        <f t="shared" si="86"/>
        <v>#DIV/0!</v>
      </c>
      <c r="BS54" s="8" t="e">
        <f t="shared" si="48"/>
        <v>#DIV/0!</v>
      </c>
      <c r="BT54" s="2" t="e">
        <f t="shared" si="49"/>
        <v>#DIV/0!</v>
      </c>
      <c r="BU54" s="2" t="e">
        <f t="shared" si="50"/>
        <v>#DIV/0!</v>
      </c>
      <c r="BV54" s="2" t="e">
        <f t="shared" si="87"/>
        <v>#DIV/0!</v>
      </c>
      <c r="BW54" s="2" t="e">
        <f t="shared" si="88"/>
        <v>#DIV/0!</v>
      </c>
      <c r="BX54" s="2" t="e">
        <f t="shared" si="89"/>
        <v>#DIV/0!</v>
      </c>
      <c r="CE54" s="8" t="e">
        <f t="shared" si="51"/>
        <v>#DIV/0!</v>
      </c>
      <c r="CF54" s="2" t="e">
        <f t="shared" si="52"/>
        <v>#DIV/0!</v>
      </c>
      <c r="CG54" s="2" t="e">
        <f t="shared" si="53"/>
        <v>#DIV/0!</v>
      </c>
      <c r="CH54" s="2" t="e">
        <f t="shared" si="90"/>
        <v>#DIV/0!</v>
      </c>
      <c r="CI54" s="2" t="e">
        <f t="shared" si="91"/>
        <v>#DIV/0!</v>
      </c>
      <c r="CJ54" s="2" t="e">
        <f t="shared" si="92"/>
        <v>#DIV/0!</v>
      </c>
      <c r="CQ54" s="8" t="e">
        <f t="shared" si="54"/>
        <v>#DIV/0!</v>
      </c>
      <c r="CR54" s="2" t="e">
        <f t="shared" si="55"/>
        <v>#DIV/0!</v>
      </c>
      <c r="CS54" s="2" t="e">
        <f t="shared" si="56"/>
        <v>#DIV/0!</v>
      </c>
      <c r="CT54" s="2" t="e">
        <f t="shared" si="93"/>
        <v>#DIV/0!</v>
      </c>
      <c r="CU54" s="2" t="e">
        <f t="shared" si="94"/>
        <v>#DIV/0!</v>
      </c>
      <c r="CV54" s="2" t="e">
        <f t="shared" si="95"/>
        <v>#DIV/0!</v>
      </c>
    </row>
    <row r="55" spans="1:100" x14ac:dyDescent="0.2">
      <c r="A55" s="2">
        <f t="shared" si="57"/>
        <v>0.58333333333333326</v>
      </c>
      <c r="B55" s="2">
        <f t="shared" si="58"/>
        <v>0.55803514577004709</v>
      </c>
      <c r="C55" s="2">
        <f t="shared" si="59"/>
        <v>0.55803514577004709</v>
      </c>
      <c r="D55" s="2">
        <f t="shared" si="59"/>
        <v>0.55803514577004709</v>
      </c>
      <c r="E55" s="8">
        <f t="shared" si="60"/>
        <v>0.55803514577004709</v>
      </c>
      <c r="F55" s="2">
        <f t="shared" si="61"/>
        <v>0.55803514577004709</v>
      </c>
      <c r="G55" s="2">
        <f t="shared" si="62"/>
        <v>0.55803514577004709</v>
      </c>
      <c r="K55" s="8" t="e">
        <f t="shared" si="63"/>
        <v>#DIV/0!</v>
      </c>
      <c r="L55" s="2" t="e">
        <f t="shared" si="64"/>
        <v>#DIV/0!</v>
      </c>
      <c r="M55" s="2" t="e">
        <f t="shared" si="65"/>
        <v>#DIV/0!</v>
      </c>
      <c r="Q55" s="8">
        <f t="shared" si="66"/>
        <v>0.70505536546009306</v>
      </c>
      <c r="R55" s="2">
        <f t="shared" si="67"/>
        <v>0.70505536546009306</v>
      </c>
      <c r="S55" s="2">
        <f t="shared" si="68"/>
        <v>0.70505536546009306</v>
      </c>
      <c r="W55" s="8">
        <f t="shared" si="69"/>
        <v>0.63157894736842102</v>
      </c>
      <c r="X55" s="2">
        <f t="shared" si="70"/>
        <v>0.63157894736842102</v>
      </c>
      <c r="Y55" s="2">
        <f t="shared" si="71"/>
        <v>0.63157894736842102</v>
      </c>
      <c r="AC55" s="8">
        <f t="shared" si="72"/>
        <v>0.55803514577004709</v>
      </c>
      <c r="AD55" s="2">
        <f t="shared" si="73"/>
        <v>0.55803514577004709</v>
      </c>
      <c r="AE55" s="2">
        <f t="shared" si="74"/>
        <v>0.55803514577004709</v>
      </c>
      <c r="AI55" s="8">
        <f t="shared" si="75"/>
        <v>0.70505536546009306</v>
      </c>
      <c r="AJ55" s="2">
        <f t="shared" si="76"/>
        <v>0.70505536546009306</v>
      </c>
      <c r="AK55" s="2">
        <f t="shared" si="77"/>
        <v>0.70505536546009306</v>
      </c>
      <c r="AR55" s="8" t="e">
        <f t="shared" si="39"/>
        <v>#DIV/0!</v>
      </c>
      <c r="AS55" s="2" t="e">
        <f t="shared" si="40"/>
        <v>#DIV/0!</v>
      </c>
      <c r="AT55" s="2" t="e">
        <f t="shared" si="41"/>
        <v>#DIV/0!</v>
      </c>
      <c r="AU55" s="2" t="e">
        <f t="shared" si="78"/>
        <v>#DIV/0!</v>
      </c>
      <c r="AV55" s="2" t="e">
        <f t="shared" si="79"/>
        <v>#DIV/0!</v>
      </c>
      <c r="AW55" s="2" t="e">
        <f t="shared" si="80"/>
        <v>#DIV/0!</v>
      </c>
      <c r="BA55" s="8" t="e">
        <f t="shared" si="42"/>
        <v>#DIV/0!</v>
      </c>
      <c r="BB55" s="2" t="e">
        <f t="shared" si="43"/>
        <v>#DIV/0!</v>
      </c>
      <c r="BC55" s="2" t="e">
        <f t="shared" si="44"/>
        <v>#DIV/0!</v>
      </c>
      <c r="BD55" s="2" t="e">
        <f t="shared" si="81"/>
        <v>#DIV/0!</v>
      </c>
      <c r="BE55" s="2" t="e">
        <f t="shared" si="82"/>
        <v>#DIV/0!</v>
      </c>
      <c r="BF55" s="2" t="e">
        <f t="shared" si="83"/>
        <v>#DIV/0!</v>
      </c>
      <c r="BJ55" s="8" t="e">
        <f t="shared" si="45"/>
        <v>#DIV/0!</v>
      </c>
      <c r="BK55" s="2" t="e">
        <f t="shared" si="46"/>
        <v>#DIV/0!</v>
      </c>
      <c r="BL55" s="2" t="e">
        <f t="shared" si="47"/>
        <v>#DIV/0!</v>
      </c>
      <c r="BM55" s="2" t="e">
        <f t="shared" si="84"/>
        <v>#DIV/0!</v>
      </c>
      <c r="BN55" s="2" t="e">
        <f t="shared" si="85"/>
        <v>#DIV/0!</v>
      </c>
      <c r="BO55" s="2" t="e">
        <f t="shared" si="86"/>
        <v>#DIV/0!</v>
      </c>
      <c r="BS55" s="8" t="e">
        <f t="shared" si="48"/>
        <v>#DIV/0!</v>
      </c>
      <c r="BT55" s="2" t="e">
        <f t="shared" si="49"/>
        <v>#DIV/0!</v>
      </c>
      <c r="BU55" s="2" t="e">
        <f t="shared" si="50"/>
        <v>#DIV/0!</v>
      </c>
      <c r="BV55" s="2" t="e">
        <f t="shared" si="87"/>
        <v>#DIV/0!</v>
      </c>
      <c r="BW55" s="2" t="e">
        <f t="shared" si="88"/>
        <v>#DIV/0!</v>
      </c>
      <c r="BX55" s="2" t="e">
        <f t="shared" si="89"/>
        <v>#DIV/0!</v>
      </c>
      <c r="CE55" s="8" t="e">
        <f t="shared" si="51"/>
        <v>#DIV/0!</v>
      </c>
      <c r="CF55" s="2" t="e">
        <f t="shared" si="52"/>
        <v>#DIV/0!</v>
      </c>
      <c r="CG55" s="2" t="e">
        <f t="shared" si="53"/>
        <v>#DIV/0!</v>
      </c>
      <c r="CH55" s="2" t="e">
        <f t="shared" si="90"/>
        <v>#DIV/0!</v>
      </c>
      <c r="CI55" s="2" t="e">
        <f t="shared" si="91"/>
        <v>#DIV/0!</v>
      </c>
      <c r="CJ55" s="2" t="e">
        <f t="shared" si="92"/>
        <v>#DIV/0!</v>
      </c>
      <c r="CQ55" s="8" t="e">
        <f t="shared" si="54"/>
        <v>#DIV/0!</v>
      </c>
      <c r="CR55" s="2" t="e">
        <f t="shared" si="55"/>
        <v>#DIV/0!</v>
      </c>
      <c r="CS55" s="2" t="e">
        <f t="shared" si="56"/>
        <v>#DIV/0!</v>
      </c>
      <c r="CT55" s="2" t="e">
        <f t="shared" si="93"/>
        <v>#DIV/0!</v>
      </c>
      <c r="CU55" s="2" t="e">
        <f t="shared" si="94"/>
        <v>#DIV/0!</v>
      </c>
      <c r="CV55" s="2" t="e">
        <f t="shared" si="95"/>
        <v>#DIV/0!</v>
      </c>
    </row>
    <row r="56" spans="1:100" x14ac:dyDescent="0.2">
      <c r="A56" s="2">
        <f t="shared" si="57"/>
        <v>0.66666666666666663</v>
      </c>
      <c r="B56" s="2">
        <f t="shared" si="58"/>
        <v>0.51341711903259202</v>
      </c>
      <c r="C56" s="2">
        <f t="shared" si="59"/>
        <v>0.51341711903259202</v>
      </c>
      <c r="D56" s="2">
        <f t="shared" si="59"/>
        <v>0.51341711903259202</v>
      </c>
      <c r="E56" s="8">
        <f t="shared" si="60"/>
        <v>0.51341711903259202</v>
      </c>
      <c r="F56" s="2">
        <f t="shared" si="61"/>
        <v>0.51341711903259202</v>
      </c>
      <c r="G56" s="2">
        <f t="shared" si="62"/>
        <v>0.51341711903259202</v>
      </c>
      <c r="K56" s="8" t="e">
        <f t="shared" si="63"/>
        <v>#DIV/0!</v>
      </c>
      <c r="L56" s="2" t="e">
        <f t="shared" si="64"/>
        <v>#DIV/0!</v>
      </c>
      <c r="M56" s="2" t="e">
        <f t="shared" si="65"/>
        <v>#DIV/0!</v>
      </c>
      <c r="Q56" s="8">
        <f t="shared" si="66"/>
        <v>0.65743216948515415</v>
      </c>
      <c r="R56" s="2">
        <f t="shared" si="67"/>
        <v>0.65743216948515415</v>
      </c>
      <c r="S56" s="2">
        <f t="shared" si="68"/>
        <v>0.65743216948515415</v>
      </c>
      <c r="W56" s="8">
        <f t="shared" si="69"/>
        <v>0.6</v>
      </c>
      <c r="X56" s="2">
        <f t="shared" si="70"/>
        <v>0.6</v>
      </c>
      <c r="Y56" s="2">
        <f t="shared" si="71"/>
        <v>0.6</v>
      </c>
      <c r="AC56" s="8">
        <f t="shared" si="72"/>
        <v>0.51341711903259202</v>
      </c>
      <c r="AD56" s="2">
        <f t="shared" si="73"/>
        <v>0.51341711903259202</v>
      </c>
      <c r="AE56" s="2">
        <f t="shared" si="74"/>
        <v>0.51341711903259202</v>
      </c>
      <c r="AI56" s="8">
        <f t="shared" si="75"/>
        <v>0.65743216948515415</v>
      </c>
      <c r="AJ56" s="2">
        <f t="shared" si="76"/>
        <v>0.65743216948515415</v>
      </c>
      <c r="AK56" s="2">
        <f t="shared" si="77"/>
        <v>0.65743216948515415</v>
      </c>
      <c r="AR56" s="8" t="e">
        <f t="shared" si="39"/>
        <v>#DIV/0!</v>
      </c>
      <c r="AS56" s="2" t="e">
        <f t="shared" si="40"/>
        <v>#DIV/0!</v>
      </c>
      <c r="AT56" s="2" t="e">
        <f t="shared" si="41"/>
        <v>#DIV/0!</v>
      </c>
      <c r="AU56" s="2" t="e">
        <f t="shared" si="78"/>
        <v>#DIV/0!</v>
      </c>
      <c r="AV56" s="2" t="e">
        <f t="shared" si="79"/>
        <v>#DIV/0!</v>
      </c>
      <c r="AW56" s="2" t="e">
        <f t="shared" si="80"/>
        <v>#DIV/0!</v>
      </c>
      <c r="BA56" s="8" t="e">
        <f t="shared" si="42"/>
        <v>#DIV/0!</v>
      </c>
      <c r="BB56" s="2" t="e">
        <f t="shared" si="43"/>
        <v>#DIV/0!</v>
      </c>
      <c r="BC56" s="2" t="e">
        <f t="shared" si="44"/>
        <v>#DIV/0!</v>
      </c>
      <c r="BD56" s="2" t="e">
        <f t="shared" si="81"/>
        <v>#DIV/0!</v>
      </c>
      <c r="BE56" s="2" t="e">
        <f t="shared" si="82"/>
        <v>#DIV/0!</v>
      </c>
      <c r="BF56" s="2" t="e">
        <f t="shared" si="83"/>
        <v>#DIV/0!</v>
      </c>
      <c r="BJ56" s="8" t="e">
        <f t="shared" si="45"/>
        <v>#DIV/0!</v>
      </c>
      <c r="BK56" s="2" t="e">
        <f t="shared" si="46"/>
        <v>#DIV/0!</v>
      </c>
      <c r="BL56" s="2" t="e">
        <f t="shared" si="47"/>
        <v>#DIV/0!</v>
      </c>
      <c r="BM56" s="2" t="e">
        <f t="shared" si="84"/>
        <v>#DIV/0!</v>
      </c>
      <c r="BN56" s="2" t="e">
        <f t="shared" si="85"/>
        <v>#DIV/0!</v>
      </c>
      <c r="BO56" s="2" t="e">
        <f t="shared" si="86"/>
        <v>#DIV/0!</v>
      </c>
      <c r="BS56" s="8" t="e">
        <f t="shared" si="48"/>
        <v>#DIV/0!</v>
      </c>
      <c r="BT56" s="2" t="e">
        <f t="shared" si="49"/>
        <v>#DIV/0!</v>
      </c>
      <c r="BU56" s="2" t="e">
        <f t="shared" si="50"/>
        <v>#DIV/0!</v>
      </c>
      <c r="BV56" s="2" t="e">
        <f t="shared" si="87"/>
        <v>#DIV/0!</v>
      </c>
      <c r="BW56" s="2" t="e">
        <f t="shared" si="88"/>
        <v>#DIV/0!</v>
      </c>
      <c r="BX56" s="2" t="e">
        <f t="shared" si="89"/>
        <v>#DIV/0!</v>
      </c>
      <c r="CE56" s="8" t="e">
        <f t="shared" si="51"/>
        <v>#DIV/0!</v>
      </c>
      <c r="CF56" s="2" t="e">
        <f t="shared" si="52"/>
        <v>#DIV/0!</v>
      </c>
      <c r="CG56" s="2" t="e">
        <f t="shared" si="53"/>
        <v>#DIV/0!</v>
      </c>
      <c r="CH56" s="2" t="e">
        <f t="shared" si="90"/>
        <v>#DIV/0!</v>
      </c>
      <c r="CI56" s="2" t="e">
        <f t="shared" si="91"/>
        <v>#DIV/0!</v>
      </c>
      <c r="CJ56" s="2" t="e">
        <f t="shared" si="92"/>
        <v>#DIV/0!</v>
      </c>
      <c r="CQ56" s="8" t="e">
        <f t="shared" si="54"/>
        <v>#DIV/0!</v>
      </c>
      <c r="CR56" s="2" t="e">
        <f t="shared" si="55"/>
        <v>#DIV/0!</v>
      </c>
      <c r="CS56" s="2" t="e">
        <f t="shared" si="56"/>
        <v>#DIV/0!</v>
      </c>
      <c r="CT56" s="2" t="e">
        <f t="shared" si="93"/>
        <v>#DIV/0!</v>
      </c>
      <c r="CU56" s="2" t="e">
        <f t="shared" si="94"/>
        <v>#DIV/0!</v>
      </c>
      <c r="CV56" s="2" t="e">
        <f t="shared" si="95"/>
        <v>#DIV/0!</v>
      </c>
    </row>
    <row r="57" spans="1:100" x14ac:dyDescent="0.2">
      <c r="A57" s="2">
        <f t="shared" si="57"/>
        <v>0.75</v>
      </c>
      <c r="B57" s="2">
        <f t="shared" si="58"/>
        <v>0.47236655274101469</v>
      </c>
      <c r="C57" s="2">
        <f t="shared" si="59"/>
        <v>0.47236655274101469</v>
      </c>
      <c r="D57" s="2">
        <f t="shared" si="59"/>
        <v>0.47236655274101469</v>
      </c>
      <c r="E57" s="8">
        <f t="shared" si="60"/>
        <v>0.47236655274101469</v>
      </c>
      <c r="F57" s="2">
        <f t="shared" si="61"/>
        <v>0.47236655274101469</v>
      </c>
      <c r="G57" s="2">
        <f t="shared" si="62"/>
        <v>0.47236655274101469</v>
      </c>
      <c r="K57" s="8" t="e">
        <f t="shared" si="63"/>
        <v>#DIV/0!</v>
      </c>
      <c r="L57" s="2" t="e">
        <f t="shared" si="64"/>
        <v>#DIV/0!</v>
      </c>
      <c r="M57" s="2" t="e">
        <f t="shared" si="65"/>
        <v>#DIV/0!</v>
      </c>
      <c r="Q57" s="8">
        <f t="shared" si="66"/>
        <v>0.61320494286590277</v>
      </c>
      <c r="R57" s="2">
        <f t="shared" si="67"/>
        <v>0.61320494286590277</v>
      </c>
      <c r="S57" s="2">
        <f t="shared" si="68"/>
        <v>0.61320494286590277</v>
      </c>
      <c r="W57" s="8">
        <f t="shared" si="69"/>
        <v>0.5714285714285714</v>
      </c>
      <c r="X57" s="2">
        <f t="shared" si="70"/>
        <v>0.5714285714285714</v>
      </c>
      <c r="Y57" s="2">
        <f t="shared" si="71"/>
        <v>0.5714285714285714</v>
      </c>
      <c r="AC57" s="8">
        <f t="shared" si="72"/>
        <v>0.47236655274101469</v>
      </c>
      <c r="AD57" s="2">
        <f t="shared" si="73"/>
        <v>0.47236655274101469</v>
      </c>
      <c r="AE57" s="2">
        <f t="shared" si="74"/>
        <v>0.47236655274101469</v>
      </c>
      <c r="AI57" s="8">
        <f t="shared" si="75"/>
        <v>0.61320494286590277</v>
      </c>
      <c r="AJ57" s="2">
        <f t="shared" si="76"/>
        <v>0.61320494286590277</v>
      </c>
      <c r="AK57" s="2">
        <f t="shared" si="77"/>
        <v>0.61320494286590277</v>
      </c>
      <c r="AR57" s="8" t="e">
        <f t="shared" si="39"/>
        <v>#DIV/0!</v>
      </c>
      <c r="AS57" s="2" t="e">
        <f t="shared" si="40"/>
        <v>#DIV/0!</v>
      </c>
      <c r="AT57" s="2" t="e">
        <f t="shared" si="41"/>
        <v>#DIV/0!</v>
      </c>
      <c r="AU57" s="2" t="e">
        <f t="shared" si="78"/>
        <v>#DIV/0!</v>
      </c>
      <c r="AV57" s="2" t="e">
        <f t="shared" si="79"/>
        <v>#DIV/0!</v>
      </c>
      <c r="AW57" s="2" t="e">
        <f t="shared" si="80"/>
        <v>#DIV/0!</v>
      </c>
      <c r="BA57" s="8" t="e">
        <f t="shared" si="42"/>
        <v>#DIV/0!</v>
      </c>
      <c r="BB57" s="2" t="e">
        <f t="shared" si="43"/>
        <v>#DIV/0!</v>
      </c>
      <c r="BC57" s="2" t="e">
        <f t="shared" si="44"/>
        <v>#DIV/0!</v>
      </c>
      <c r="BD57" s="2" t="e">
        <f t="shared" si="81"/>
        <v>#DIV/0!</v>
      </c>
      <c r="BE57" s="2" t="e">
        <f t="shared" si="82"/>
        <v>#DIV/0!</v>
      </c>
      <c r="BF57" s="2" t="e">
        <f t="shared" si="83"/>
        <v>#DIV/0!</v>
      </c>
      <c r="BJ57" s="8" t="e">
        <f t="shared" si="45"/>
        <v>#DIV/0!</v>
      </c>
      <c r="BK57" s="2" t="e">
        <f t="shared" si="46"/>
        <v>#DIV/0!</v>
      </c>
      <c r="BL57" s="2" t="e">
        <f t="shared" si="47"/>
        <v>#DIV/0!</v>
      </c>
      <c r="BM57" s="2" t="e">
        <f t="shared" si="84"/>
        <v>#DIV/0!</v>
      </c>
      <c r="BN57" s="2" t="e">
        <f t="shared" si="85"/>
        <v>#DIV/0!</v>
      </c>
      <c r="BO57" s="2" t="e">
        <f t="shared" si="86"/>
        <v>#DIV/0!</v>
      </c>
      <c r="BS57" s="8" t="e">
        <f t="shared" si="48"/>
        <v>#DIV/0!</v>
      </c>
      <c r="BT57" s="2" t="e">
        <f t="shared" si="49"/>
        <v>#DIV/0!</v>
      </c>
      <c r="BU57" s="2" t="e">
        <f t="shared" si="50"/>
        <v>#DIV/0!</v>
      </c>
      <c r="BV57" s="2" t="e">
        <f t="shared" si="87"/>
        <v>#DIV/0!</v>
      </c>
      <c r="BW57" s="2" t="e">
        <f t="shared" si="88"/>
        <v>#DIV/0!</v>
      </c>
      <c r="BX57" s="2" t="e">
        <f t="shared" si="89"/>
        <v>#DIV/0!</v>
      </c>
      <c r="CE57" s="8" t="e">
        <f t="shared" si="51"/>
        <v>#DIV/0!</v>
      </c>
      <c r="CF57" s="2" t="e">
        <f t="shared" si="52"/>
        <v>#DIV/0!</v>
      </c>
      <c r="CG57" s="2" t="e">
        <f t="shared" si="53"/>
        <v>#DIV/0!</v>
      </c>
      <c r="CH57" s="2" t="e">
        <f t="shared" si="90"/>
        <v>#DIV/0!</v>
      </c>
      <c r="CI57" s="2" t="e">
        <f t="shared" si="91"/>
        <v>#DIV/0!</v>
      </c>
      <c r="CJ57" s="2" t="e">
        <f t="shared" si="92"/>
        <v>#DIV/0!</v>
      </c>
      <c r="CQ57" s="8" t="e">
        <f t="shared" si="54"/>
        <v>#DIV/0!</v>
      </c>
      <c r="CR57" s="2" t="e">
        <f t="shared" si="55"/>
        <v>#DIV/0!</v>
      </c>
      <c r="CS57" s="2" t="e">
        <f t="shared" si="56"/>
        <v>#DIV/0!</v>
      </c>
      <c r="CT57" s="2" t="e">
        <f t="shared" si="93"/>
        <v>#DIV/0!</v>
      </c>
      <c r="CU57" s="2" t="e">
        <f t="shared" si="94"/>
        <v>#DIV/0!</v>
      </c>
      <c r="CV57" s="2" t="e">
        <f t="shared" si="95"/>
        <v>#DIV/0!</v>
      </c>
    </row>
    <row r="58" spans="1:100" x14ac:dyDescent="0.2">
      <c r="A58" s="2">
        <f t="shared" si="57"/>
        <v>0.83333333333333337</v>
      </c>
      <c r="B58" s="2">
        <f t="shared" si="58"/>
        <v>0.4345982085070782</v>
      </c>
      <c r="C58" s="2">
        <f t="shared" si="59"/>
        <v>0.4345982085070782</v>
      </c>
      <c r="D58" s="2">
        <f t="shared" si="59"/>
        <v>0.4345982085070782</v>
      </c>
      <c r="E58" s="8">
        <f t="shared" si="60"/>
        <v>0.4345982085070782</v>
      </c>
      <c r="F58" s="2">
        <f t="shared" si="61"/>
        <v>0.4345982085070782</v>
      </c>
      <c r="G58" s="2">
        <f t="shared" si="62"/>
        <v>0.4345982085070782</v>
      </c>
      <c r="K58" s="8" t="e">
        <f t="shared" si="63"/>
        <v>#DIV/0!</v>
      </c>
      <c r="L58" s="2" t="e">
        <f t="shared" si="64"/>
        <v>#DIV/0!</v>
      </c>
      <c r="M58" s="2" t="e">
        <f t="shared" si="65"/>
        <v>#DIV/0!</v>
      </c>
      <c r="Q58" s="8">
        <f t="shared" si="66"/>
        <v>0.57233480883676835</v>
      </c>
      <c r="R58" s="2">
        <f t="shared" si="67"/>
        <v>0.57233480883676835</v>
      </c>
      <c r="S58" s="2">
        <f t="shared" si="68"/>
        <v>0.57233480883676835</v>
      </c>
      <c r="W58" s="8">
        <f t="shared" si="69"/>
        <v>0.54545454545454541</v>
      </c>
      <c r="X58" s="2">
        <f t="shared" si="70"/>
        <v>0.54545454545454541</v>
      </c>
      <c r="Y58" s="2">
        <f t="shared" si="71"/>
        <v>0.54545454545454541</v>
      </c>
      <c r="AC58" s="8">
        <f t="shared" si="72"/>
        <v>0.4345982085070782</v>
      </c>
      <c r="AD58" s="2">
        <f t="shared" si="73"/>
        <v>0.4345982085070782</v>
      </c>
      <c r="AE58" s="2">
        <f t="shared" si="74"/>
        <v>0.4345982085070782</v>
      </c>
      <c r="AI58" s="8">
        <f t="shared" si="75"/>
        <v>0.57233480883676835</v>
      </c>
      <c r="AJ58" s="2">
        <f t="shared" si="76"/>
        <v>0.57233480883676835</v>
      </c>
      <c r="AK58" s="2">
        <f t="shared" si="77"/>
        <v>0.57233480883676835</v>
      </c>
      <c r="AR58" s="8" t="e">
        <f t="shared" si="39"/>
        <v>#DIV/0!</v>
      </c>
      <c r="AS58" s="2" t="e">
        <f t="shared" si="40"/>
        <v>#DIV/0!</v>
      </c>
      <c r="AT58" s="2" t="e">
        <f t="shared" si="41"/>
        <v>#DIV/0!</v>
      </c>
      <c r="AU58" s="2" t="e">
        <f t="shared" si="78"/>
        <v>#DIV/0!</v>
      </c>
      <c r="AV58" s="2" t="e">
        <f t="shared" si="79"/>
        <v>#DIV/0!</v>
      </c>
      <c r="AW58" s="2" t="e">
        <f t="shared" si="80"/>
        <v>#DIV/0!</v>
      </c>
      <c r="BA58" s="8" t="e">
        <f t="shared" si="42"/>
        <v>#DIV/0!</v>
      </c>
      <c r="BB58" s="2" t="e">
        <f t="shared" si="43"/>
        <v>#DIV/0!</v>
      </c>
      <c r="BC58" s="2" t="e">
        <f t="shared" si="44"/>
        <v>#DIV/0!</v>
      </c>
      <c r="BD58" s="2" t="e">
        <f t="shared" si="81"/>
        <v>#DIV/0!</v>
      </c>
      <c r="BE58" s="2" t="e">
        <f t="shared" si="82"/>
        <v>#DIV/0!</v>
      </c>
      <c r="BF58" s="2" t="e">
        <f t="shared" si="83"/>
        <v>#DIV/0!</v>
      </c>
      <c r="BJ58" s="8" t="e">
        <f t="shared" si="45"/>
        <v>#DIV/0!</v>
      </c>
      <c r="BK58" s="2" t="e">
        <f t="shared" si="46"/>
        <v>#DIV/0!</v>
      </c>
      <c r="BL58" s="2" t="e">
        <f t="shared" si="47"/>
        <v>#DIV/0!</v>
      </c>
      <c r="BM58" s="2" t="e">
        <f t="shared" si="84"/>
        <v>#DIV/0!</v>
      </c>
      <c r="BN58" s="2" t="e">
        <f t="shared" si="85"/>
        <v>#DIV/0!</v>
      </c>
      <c r="BO58" s="2" t="e">
        <f t="shared" si="86"/>
        <v>#DIV/0!</v>
      </c>
      <c r="BS58" s="8" t="e">
        <f t="shared" si="48"/>
        <v>#DIV/0!</v>
      </c>
      <c r="BT58" s="2" t="e">
        <f t="shared" si="49"/>
        <v>#DIV/0!</v>
      </c>
      <c r="BU58" s="2" t="e">
        <f t="shared" si="50"/>
        <v>#DIV/0!</v>
      </c>
      <c r="BV58" s="2" t="e">
        <f t="shared" si="87"/>
        <v>#DIV/0!</v>
      </c>
      <c r="BW58" s="2" t="e">
        <f t="shared" si="88"/>
        <v>#DIV/0!</v>
      </c>
      <c r="BX58" s="2" t="e">
        <f t="shared" si="89"/>
        <v>#DIV/0!</v>
      </c>
      <c r="CE58" s="8" t="e">
        <f t="shared" si="51"/>
        <v>#DIV/0!</v>
      </c>
      <c r="CF58" s="2" t="e">
        <f t="shared" si="52"/>
        <v>#DIV/0!</v>
      </c>
      <c r="CG58" s="2" t="e">
        <f t="shared" si="53"/>
        <v>#DIV/0!</v>
      </c>
      <c r="CH58" s="2" t="e">
        <f t="shared" si="90"/>
        <v>#DIV/0!</v>
      </c>
      <c r="CI58" s="2" t="e">
        <f t="shared" si="91"/>
        <v>#DIV/0!</v>
      </c>
      <c r="CJ58" s="2" t="e">
        <f t="shared" si="92"/>
        <v>#DIV/0!</v>
      </c>
      <c r="CQ58" s="8" t="e">
        <f t="shared" si="54"/>
        <v>#DIV/0!</v>
      </c>
      <c r="CR58" s="2" t="e">
        <f t="shared" si="55"/>
        <v>#DIV/0!</v>
      </c>
      <c r="CS58" s="2" t="e">
        <f t="shared" si="56"/>
        <v>#DIV/0!</v>
      </c>
      <c r="CT58" s="2" t="e">
        <f t="shared" si="93"/>
        <v>#DIV/0!</v>
      </c>
      <c r="CU58" s="2" t="e">
        <f t="shared" si="94"/>
        <v>#DIV/0!</v>
      </c>
      <c r="CV58" s="2" t="e">
        <f t="shared" si="95"/>
        <v>#DIV/0!</v>
      </c>
    </row>
    <row r="59" spans="1:100" x14ac:dyDescent="0.2">
      <c r="A59" s="2">
        <f t="shared" si="57"/>
        <v>0.91666666666666674</v>
      </c>
      <c r="B59" s="2">
        <f t="shared" si="58"/>
        <v>0.39984965434484732</v>
      </c>
      <c r="C59" s="2">
        <f t="shared" si="59"/>
        <v>0.39984965434484732</v>
      </c>
      <c r="D59" s="2">
        <f t="shared" si="59"/>
        <v>0.39984965434484732</v>
      </c>
      <c r="E59" s="8">
        <f t="shared" si="60"/>
        <v>0.39984965434484732</v>
      </c>
      <c r="F59" s="2">
        <f t="shared" si="61"/>
        <v>0.39984965434484732</v>
      </c>
      <c r="G59" s="2">
        <f t="shared" si="62"/>
        <v>0.39984965434484732</v>
      </c>
      <c r="K59" s="8" t="e">
        <f t="shared" si="63"/>
        <v>#DIV/0!</v>
      </c>
      <c r="L59" s="2" t="e">
        <f t="shared" si="64"/>
        <v>#DIV/0!</v>
      </c>
      <c r="M59" s="2" t="e">
        <f t="shared" si="65"/>
        <v>#DIV/0!</v>
      </c>
      <c r="Q59" s="8">
        <f t="shared" si="66"/>
        <v>0.53466876556118026</v>
      </c>
      <c r="R59" s="2">
        <f t="shared" si="67"/>
        <v>0.53466876556118026</v>
      </c>
      <c r="S59" s="2">
        <f t="shared" si="68"/>
        <v>0.53466876556118026</v>
      </c>
      <c r="W59" s="8">
        <f t="shared" si="69"/>
        <v>0.52173913043478259</v>
      </c>
      <c r="X59" s="2">
        <f t="shared" si="70"/>
        <v>0.52173913043478259</v>
      </c>
      <c r="Y59" s="2">
        <f t="shared" si="71"/>
        <v>0.52173913043478259</v>
      </c>
      <c r="AC59" s="8">
        <f t="shared" si="72"/>
        <v>0.39984965434484732</v>
      </c>
      <c r="AD59" s="2">
        <f t="shared" si="73"/>
        <v>0.39984965434484732</v>
      </c>
      <c r="AE59" s="2">
        <f t="shared" si="74"/>
        <v>0.39984965434484732</v>
      </c>
      <c r="AI59" s="8">
        <f t="shared" si="75"/>
        <v>0.53466876556118026</v>
      </c>
      <c r="AJ59" s="2">
        <f t="shared" si="76"/>
        <v>0.53466876556118026</v>
      </c>
      <c r="AK59" s="2">
        <f t="shared" si="77"/>
        <v>0.53466876556118026</v>
      </c>
      <c r="AR59" s="8" t="e">
        <f t="shared" si="39"/>
        <v>#DIV/0!</v>
      </c>
      <c r="AS59" s="2" t="e">
        <f t="shared" si="40"/>
        <v>#DIV/0!</v>
      </c>
      <c r="AT59" s="2" t="e">
        <f t="shared" si="41"/>
        <v>#DIV/0!</v>
      </c>
      <c r="AU59" s="2" t="e">
        <f t="shared" si="78"/>
        <v>#DIV/0!</v>
      </c>
      <c r="AV59" s="2" t="e">
        <f t="shared" si="79"/>
        <v>#DIV/0!</v>
      </c>
      <c r="AW59" s="2" t="e">
        <f t="shared" si="80"/>
        <v>#DIV/0!</v>
      </c>
      <c r="BA59" s="8" t="e">
        <f t="shared" si="42"/>
        <v>#DIV/0!</v>
      </c>
      <c r="BB59" s="2" t="e">
        <f t="shared" si="43"/>
        <v>#DIV/0!</v>
      </c>
      <c r="BC59" s="2" t="e">
        <f t="shared" si="44"/>
        <v>#DIV/0!</v>
      </c>
      <c r="BD59" s="2" t="e">
        <f t="shared" si="81"/>
        <v>#DIV/0!</v>
      </c>
      <c r="BE59" s="2" t="e">
        <f t="shared" si="82"/>
        <v>#DIV/0!</v>
      </c>
      <c r="BF59" s="2" t="e">
        <f t="shared" si="83"/>
        <v>#DIV/0!</v>
      </c>
      <c r="BJ59" s="8" t="e">
        <f t="shared" si="45"/>
        <v>#DIV/0!</v>
      </c>
      <c r="BK59" s="2" t="e">
        <f t="shared" si="46"/>
        <v>#DIV/0!</v>
      </c>
      <c r="BL59" s="2" t="e">
        <f t="shared" si="47"/>
        <v>#DIV/0!</v>
      </c>
      <c r="BM59" s="2" t="e">
        <f t="shared" si="84"/>
        <v>#DIV/0!</v>
      </c>
      <c r="BN59" s="2" t="e">
        <f t="shared" si="85"/>
        <v>#DIV/0!</v>
      </c>
      <c r="BO59" s="2" t="e">
        <f t="shared" si="86"/>
        <v>#DIV/0!</v>
      </c>
      <c r="BS59" s="8" t="e">
        <f t="shared" si="48"/>
        <v>#DIV/0!</v>
      </c>
      <c r="BT59" s="2" t="e">
        <f t="shared" si="49"/>
        <v>#DIV/0!</v>
      </c>
      <c r="BU59" s="2" t="e">
        <f t="shared" si="50"/>
        <v>#DIV/0!</v>
      </c>
      <c r="BV59" s="2" t="e">
        <f t="shared" si="87"/>
        <v>#DIV/0!</v>
      </c>
      <c r="BW59" s="2" t="e">
        <f t="shared" si="88"/>
        <v>#DIV/0!</v>
      </c>
      <c r="BX59" s="2" t="e">
        <f t="shared" si="89"/>
        <v>#DIV/0!</v>
      </c>
      <c r="CE59" s="8" t="e">
        <f t="shared" si="51"/>
        <v>#DIV/0!</v>
      </c>
      <c r="CF59" s="2" t="e">
        <f t="shared" si="52"/>
        <v>#DIV/0!</v>
      </c>
      <c r="CG59" s="2" t="e">
        <f t="shared" si="53"/>
        <v>#DIV/0!</v>
      </c>
      <c r="CH59" s="2" t="e">
        <f t="shared" si="90"/>
        <v>#DIV/0!</v>
      </c>
      <c r="CI59" s="2" t="e">
        <f t="shared" si="91"/>
        <v>#DIV/0!</v>
      </c>
      <c r="CJ59" s="2" t="e">
        <f t="shared" si="92"/>
        <v>#DIV/0!</v>
      </c>
      <c r="CQ59" s="8" t="e">
        <f t="shared" si="54"/>
        <v>#DIV/0!</v>
      </c>
      <c r="CR59" s="2" t="e">
        <f t="shared" si="55"/>
        <v>#DIV/0!</v>
      </c>
      <c r="CS59" s="2" t="e">
        <f t="shared" si="56"/>
        <v>#DIV/0!</v>
      </c>
      <c r="CT59" s="2" t="e">
        <f t="shared" si="93"/>
        <v>#DIV/0!</v>
      </c>
      <c r="CU59" s="2" t="e">
        <f t="shared" si="94"/>
        <v>#DIV/0!</v>
      </c>
      <c r="CV59" s="2" t="e">
        <f t="shared" si="95"/>
        <v>#DIV/0!</v>
      </c>
    </row>
    <row r="60" spans="1:100" x14ac:dyDescent="0.2">
      <c r="A60" s="2">
        <f t="shared" si="57"/>
        <v>1</v>
      </c>
      <c r="B60" s="2">
        <f t="shared" si="58"/>
        <v>0.36787944117144233</v>
      </c>
      <c r="C60" s="2">
        <f t="shared" si="59"/>
        <v>0.36787944117144233</v>
      </c>
      <c r="D60" s="2">
        <f t="shared" si="59"/>
        <v>0.36787944117144233</v>
      </c>
      <c r="E60" s="8">
        <f t="shared" si="60"/>
        <v>0.36787944117144233</v>
      </c>
      <c r="F60" s="2">
        <f t="shared" si="61"/>
        <v>0.36787944117144233</v>
      </c>
      <c r="G60" s="2">
        <f t="shared" si="62"/>
        <v>0.36787944117144233</v>
      </c>
      <c r="K60" s="8" t="e">
        <f t="shared" si="63"/>
        <v>#DIV/0!</v>
      </c>
      <c r="L60" s="2" t="e">
        <f t="shared" si="64"/>
        <v>#DIV/0!</v>
      </c>
      <c r="M60" s="2" t="e">
        <f t="shared" si="65"/>
        <v>#DIV/0!</v>
      </c>
      <c r="Q60" s="8">
        <f t="shared" si="66"/>
        <v>0.5</v>
      </c>
      <c r="R60" s="2">
        <f t="shared" si="67"/>
        <v>0.5</v>
      </c>
      <c r="S60" s="2">
        <f t="shared" si="68"/>
        <v>0.5</v>
      </c>
      <c r="W60" s="8">
        <f t="shared" si="69"/>
        <v>0.5</v>
      </c>
      <c r="X60" s="2">
        <f t="shared" si="70"/>
        <v>0.5</v>
      </c>
      <c r="Y60" s="2">
        <f t="shared" si="71"/>
        <v>0.5</v>
      </c>
      <c r="AC60" s="8">
        <f t="shared" si="72"/>
        <v>0.36787944117144233</v>
      </c>
      <c r="AD60" s="2">
        <f t="shared" si="73"/>
        <v>0.36787944117144233</v>
      </c>
      <c r="AE60" s="2">
        <f t="shared" si="74"/>
        <v>0.36787944117144233</v>
      </c>
      <c r="AI60" s="8">
        <f t="shared" si="75"/>
        <v>0.5</v>
      </c>
      <c r="AJ60" s="2">
        <f t="shared" si="76"/>
        <v>0.5</v>
      </c>
      <c r="AK60" s="2">
        <f t="shared" si="77"/>
        <v>0.5</v>
      </c>
      <c r="AR60" s="8" t="e">
        <f t="shared" si="39"/>
        <v>#DIV/0!</v>
      </c>
      <c r="AS60" s="2" t="e">
        <f t="shared" si="40"/>
        <v>#DIV/0!</v>
      </c>
      <c r="AT60" s="2" t="e">
        <f t="shared" si="41"/>
        <v>#DIV/0!</v>
      </c>
      <c r="AU60" s="2" t="e">
        <f t="shared" si="78"/>
        <v>#DIV/0!</v>
      </c>
      <c r="AV60" s="2" t="e">
        <f t="shared" si="79"/>
        <v>#DIV/0!</v>
      </c>
      <c r="AW60" s="2" t="e">
        <f t="shared" si="80"/>
        <v>#DIV/0!</v>
      </c>
      <c r="BA60" s="8" t="e">
        <f t="shared" si="42"/>
        <v>#DIV/0!</v>
      </c>
      <c r="BB60" s="2" t="e">
        <f t="shared" si="43"/>
        <v>#DIV/0!</v>
      </c>
      <c r="BC60" s="2" t="e">
        <f t="shared" si="44"/>
        <v>#DIV/0!</v>
      </c>
      <c r="BD60" s="2" t="e">
        <f t="shared" si="81"/>
        <v>#DIV/0!</v>
      </c>
      <c r="BE60" s="2" t="e">
        <f t="shared" si="82"/>
        <v>#DIV/0!</v>
      </c>
      <c r="BF60" s="2" t="e">
        <f t="shared" si="83"/>
        <v>#DIV/0!</v>
      </c>
      <c r="BJ60" s="8" t="e">
        <f t="shared" si="45"/>
        <v>#DIV/0!</v>
      </c>
      <c r="BK60" s="2" t="e">
        <f t="shared" si="46"/>
        <v>#DIV/0!</v>
      </c>
      <c r="BL60" s="2" t="e">
        <f t="shared" si="47"/>
        <v>#DIV/0!</v>
      </c>
      <c r="BM60" s="2" t="e">
        <f t="shared" si="84"/>
        <v>#DIV/0!</v>
      </c>
      <c r="BN60" s="2" t="e">
        <f t="shared" si="85"/>
        <v>#DIV/0!</v>
      </c>
      <c r="BO60" s="2" t="e">
        <f t="shared" si="86"/>
        <v>#DIV/0!</v>
      </c>
      <c r="BS60" s="8" t="e">
        <f t="shared" si="48"/>
        <v>#DIV/0!</v>
      </c>
      <c r="BT60" s="2" t="e">
        <f t="shared" si="49"/>
        <v>#DIV/0!</v>
      </c>
      <c r="BU60" s="2" t="e">
        <f t="shared" si="50"/>
        <v>#DIV/0!</v>
      </c>
      <c r="BV60" s="2" t="e">
        <f t="shared" si="87"/>
        <v>#DIV/0!</v>
      </c>
      <c r="BW60" s="2" t="e">
        <f t="shared" si="88"/>
        <v>#DIV/0!</v>
      </c>
      <c r="BX60" s="2" t="e">
        <f t="shared" si="89"/>
        <v>#DIV/0!</v>
      </c>
      <c r="CE60" s="8" t="e">
        <f t="shared" si="51"/>
        <v>#DIV/0!</v>
      </c>
      <c r="CF60" s="2" t="e">
        <f t="shared" si="52"/>
        <v>#DIV/0!</v>
      </c>
      <c r="CG60" s="2" t="e">
        <f t="shared" si="53"/>
        <v>#DIV/0!</v>
      </c>
      <c r="CH60" s="2" t="e">
        <f t="shared" si="90"/>
        <v>#DIV/0!</v>
      </c>
      <c r="CI60" s="2" t="e">
        <f t="shared" si="91"/>
        <v>#DIV/0!</v>
      </c>
      <c r="CJ60" s="2" t="e">
        <f t="shared" si="92"/>
        <v>#DIV/0!</v>
      </c>
      <c r="CQ60" s="8" t="e">
        <f t="shared" si="54"/>
        <v>#DIV/0!</v>
      </c>
      <c r="CR60" s="2" t="e">
        <f t="shared" si="55"/>
        <v>#DIV/0!</v>
      </c>
      <c r="CS60" s="2" t="e">
        <f t="shared" si="56"/>
        <v>#DIV/0!</v>
      </c>
      <c r="CT60" s="2" t="e">
        <f t="shared" si="93"/>
        <v>#DIV/0!</v>
      </c>
      <c r="CU60" s="2" t="e">
        <f t="shared" si="94"/>
        <v>#DIV/0!</v>
      </c>
      <c r="CV60" s="2" t="e">
        <f t="shared" si="95"/>
        <v>#DIV/0!</v>
      </c>
    </row>
    <row r="61" spans="1:100" x14ac:dyDescent="0.2">
      <c r="A61" s="2">
        <f t="shared" si="57"/>
        <v>1.0833333333333333</v>
      </c>
      <c r="B61" s="2">
        <f t="shared" si="58"/>
        <v>0.33846542510674221</v>
      </c>
      <c r="C61" s="2">
        <f t="shared" si="59"/>
        <v>0.33846542510674221</v>
      </c>
      <c r="D61" s="2">
        <f t="shared" si="59"/>
        <v>0.33846542510674221</v>
      </c>
      <c r="E61" s="8">
        <f t="shared" si="60"/>
        <v>0.33846542510674221</v>
      </c>
      <c r="F61" s="2">
        <f t="shared" si="61"/>
        <v>0.33846542510674221</v>
      </c>
      <c r="G61" s="2">
        <f t="shared" si="62"/>
        <v>0.33846542510674221</v>
      </c>
      <c r="K61" s="8" t="e">
        <f t="shared" si="63"/>
        <v>#DIV/0!</v>
      </c>
      <c r="L61" s="2" t="e">
        <f t="shared" si="64"/>
        <v>#DIV/0!</v>
      </c>
      <c r="M61" s="2" t="e">
        <f t="shared" si="65"/>
        <v>#DIV/0!</v>
      </c>
      <c r="Q61" s="8">
        <f t="shared" si="66"/>
        <v>0.46810164455248771</v>
      </c>
      <c r="R61" s="2">
        <f t="shared" si="67"/>
        <v>0.46810164455248771</v>
      </c>
      <c r="S61" s="2">
        <f t="shared" si="68"/>
        <v>0.46810164455248771</v>
      </c>
      <c r="W61" s="8">
        <f t="shared" si="69"/>
        <v>0.48</v>
      </c>
      <c r="X61" s="2">
        <f t="shared" si="70"/>
        <v>0.48</v>
      </c>
      <c r="Y61" s="2">
        <f t="shared" si="71"/>
        <v>0.48</v>
      </c>
      <c r="AC61" s="8">
        <f t="shared" si="72"/>
        <v>0.33846542510674227</v>
      </c>
      <c r="AD61" s="2">
        <f t="shared" si="73"/>
        <v>0.33846542510674227</v>
      </c>
      <c r="AE61" s="2">
        <f t="shared" si="74"/>
        <v>0.33846542510674227</v>
      </c>
      <c r="AI61" s="8">
        <f t="shared" si="75"/>
        <v>0.46810164455248771</v>
      </c>
      <c r="AJ61" s="2">
        <f t="shared" si="76"/>
        <v>0.46810164455248771</v>
      </c>
      <c r="AK61" s="2">
        <f t="shared" si="77"/>
        <v>0.46810164455248771</v>
      </c>
      <c r="AR61" s="8" t="e">
        <f t="shared" si="39"/>
        <v>#DIV/0!</v>
      </c>
      <c r="AS61" s="2" t="e">
        <f t="shared" si="40"/>
        <v>#DIV/0!</v>
      </c>
      <c r="AT61" s="2" t="e">
        <f t="shared" si="41"/>
        <v>#DIV/0!</v>
      </c>
      <c r="AU61" s="2" t="e">
        <f t="shared" si="78"/>
        <v>#DIV/0!</v>
      </c>
      <c r="AV61" s="2" t="e">
        <f t="shared" si="79"/>
        <v>#DIV/0!</v>
      </c>
      <c r="AW61" s="2" t="e">
        <f t="shared" si="80"/>
        <v>#DIV/0!</v>
      </c>
      <c r="BA61" s="8" t="e">
        <f t="shared" si="42"/>
        <v>#DIV/0!</v>
      </c>
      <c r="BB61" s="2" t="e">
        <f t="shared" si="43"/>
        <v>#DIV/0!</v>
      </c>
      <c r="BC61" s="2" t="e">
        <f t="shared" si="44"/>
        <v>#DIV/0!</v>
      </c>
      <c r="BD61" s="2" t="e">
        <f t="shared" si="81"/>
        <v>#DIV/0!</v>
      </c>
      <c r="BE61" s="2" t="e">
        <f t="shared" si="82"/>
        <v>#DIV/0!</v>
      </c>
      <c r="BF61" s="2" t="e">
        <f t="shared" si="83"/>
        <v>#DIV/0!</v>
      </c>
      <c r="BJ61" s="8" t="e">
        <f t="shared" si="45"/>
        <v>#DIV/0!</v>
      </c>
      <c r="BK61" s="2" t="e">
        <f t="shared" si="46"/>
        <v>#DIV/0!</v>
      </c>
      <c r="BL61" s="2" t="e">
        <f t="shared" si="47"/>
        <v>#DIV/0!</v>
      </c>
      <c r="BM61" s="2" t="e">
        <f t="shared" si="84"/>
        <v>#DIV/0!</v>
      </c>
      <c r="BN61" s="2" t="e">
        <f t="shared" si="85"/>
        <v>#DIV/0!</v>
      </c>
      <c r="BO61" s="2" t="e">
        <f t="shared" si="86"/>
        <v>#DIV/0!</v>
      </c>
      <c r="BS61" s="8" t="e">
        <f t="shared" si="48"/>
        <v>#DIV/0!</v>
      </c>
      <c r="BT61" s="2" t="e">
        <f t="shared" si="49"/>
        <v>#DIV/0!</v>
      </c>
      <c r="BU61" s="2" t="e">
        <f t="shared" si="50"/>
        <v>#DIV/0!</v>
      </c>
      <c r="BV61" s="2" t="e">
        <f t="shared" si="87"/>
        <v>#DIV/0!</v>
      </c>
      <c r="BW61" s="2" t="e">
        <f t="shared" si="88"/>
        <v>#DIV/0!</v>
      </c>
      <c r="BX61" s="2" t="e">
        <f t="shared" si="89"/>
        <v>#DIV/0!</v>
      </c>
      <c r="CE61" s="8" t="e">
        <f t="shared" si="51"/>
        <v>#DIV/0!</v>
      </c>
      <c r="CF61" s="2" t="e">
        <f t="shared" si="52"/>
        <v>#DIV/0!</v>
      </c>
      <c r="CG61" s="2" t="e">
        <f t="shared" si="53"/>
        <v>#DIV/0!</v>
      </c>
      <c r="CH61" s="2" t="e">
        <f t="shared" si="90"/>
        <v>#DIV/0!</v>
      </c>
      <c r="CI61" s="2" t="e">
        <f t="shared" si="91"/>
        <v>#DIV/0!</v>
      </c>
      <c r="CJ61" s="2" t="e">
        <f t="shared" si="92"/>
        <v>#DIV/0!</v>
      </c>
      <c r="CQ61" s="8" t="e">
        <f t="shared" si="54"/>
        <v>#DIV/0!</v>
      </c>
      <c r="CR61" s="2" t="e">
        <f t="shared" si="55"/>
        <v>#DIV/0!</v>
      </c>
      <c r="CS61" s="2" t="e">
        <f t="shared" si="56"/>
        <v>#DIV/0!</v>
      </c>
      <c r="CT61" s="2" t="e">
        <f t="shared" si="93"/>
        <v>#DIV/0!</v>
      </c>
      <c r="CU61" s="2" t="e">
        <f t="shared" si="94"/>
        <v>#DIV/0!</v>
      </c>
      <c r="CV61" s="2" t="e">
        <f t="shared" si="95"/>
        <v>#DIV/0!</v>
      </c>
    </row>
    <row r="62" spans="1:100" x14ac:dyDescent="0.2">
      <c r="A62" s="2">
        <f t="shared" si="57"/>
        <v>1.1666666666666665</v>
      </c>
      <c r="B62" s="2">
        <f t="shared" si="58"/>
        <v>0.31140322391459774</v>
      </c>
      <c r="C62" s="2">
        <f t="shared" si="59"/>
        <v>0.31140322391459774</v>
      </c>
      <c r="D62" s="2">
        <f t="shared" si="59"/>
        <v>0.31140322391459774</v>
      </c>
      <c r="E62" s="8">
        <f t="shared" si="60"/>
        <v>0.31140322391459774</v>
      </c>
      <c r="F62" s="2">
        <f t="shared" si="61"/>
        <v>0.31140322391459774</v>
      </c>
      <c r="G62" s="2">
        <f t="shared" si="62"/>
        <v>0.31140322391459774</v>
      </c>
      <c r="K62" s="8" t="e">
        <f t="shared" si="63"/>
        <v>#DIV/0!</v>
      </c>
      <c r="L62" s="2" t="e">
        <f t="shared" si="64"/>
        <v>#DIV/0!</v>
      </c>
      <c r="M62" s="2" t="e">
        <f t="shared" si="65"/>
        <v>#DIV/0!</v>
      </c>
      <c r="Q62" s="8">
        <f t="shared" si="66"/>
        <v>0.4387454645331279</v>
      </c>
      <c r="R62" s="2">
        <f t="shared" si="67"/>
        <v>0.4387454645331279</v>
      </c>
      <c r="S62" s="2">
        <f t="shared" si="68"/>
        <v>0.4387454645331279</v>
      </c>
      <c r="W62" s="8">
        <f t="shared" si="69"/>
        <v>0.46153846153846156</v>
      </c>
      <c r="X62" s="2">
        <f t="shared" si="70"/>
        <v>0.46153846153846156</v>
      </c>
      <c r="Y62" s="2">
        <f t="shared" si="71"/>
        <v>0.46153846153846156</v>
      </c>
      <c r="AC62" s="8">
        <f t="shared" si="72"/>
        <v>0.31140322391459774</v>
      </c>
      <c r="AD62" s="2">
        <f t="shared" si="73"/>
        <v>0.31140322391459774</v>
      </c>
      <c r="AE62" s="2">
        <f t="shared" si="74"/>
        <v>0.31140322391459774</v>
      </c>
      <c r="AI62" s="8">
        <f t="shared" si="75"/>
        <v>0.4387454645331279</v>
      </c>
      <c r="AJ62" s="2">
        <f t="shared" si="76"/>
        <v>0.4387454645331279</v>
      </c>
      <c r="AK62" s="2">
        <f t="shared" si="77"/>
        <v>0.4387454645331279</v>
      </c>
      <c r="AR62" s="8" t="e">
        <f t="shared" si="39"/>
        <v>#DIV/0!</v>
      </c>
      <c r="AS62" s="2" t="e">
        <f t="shared" si="40"/>
        <v>#DIV/0!</v>
      </c>
      <c r="AT62" s="2" t="e">
        <f t="shared" si="41"/>
        <v>#DIV/0!</v>
      </c>
      <c r="AU62" s="2" t="e">
        <f t="shared" si="78"/>
        <v>#DIV/0!</v>
      </c>
      <c r="AV62" s="2" t="e">
        <f t="shared" si="79"/>
        <v>#DIV/0!</v>
      </c>
      <c r="AW62" s="2" t="e">
        <f t="shared" si="80"/>
        <v>#DIV/0!</v>
      </c>
      <c r="BA62" s="8" t="e">
        <f t="shared" si="42"/>
        <v>#DIV/0!</v>
      </c>
      <c r="BB62" s="2" t="e">
        <f t="shared" si="43"/>
        <v>#DIV/0!</v>
      </c>
      <c r="BC62" s="2" t="e">
        <f t="shared" si="44"/>
        <v>#DIV/0!</v>
      </c>
      <c r="BD62" s="2" t="e">
        <f t="shared" si="81"/>
        <v>#DIV/0!</v>
      </c>
      <c r="BE62" s="2" t="e">
        <f t="shared" si="82"/>
        <v>#DIV/0!</v>
      </c>
      <c r="BF62" s="2" t="e">
        <f t="shared" si="83"/>
        <v>#DIV/0!</v>
      </c>
      <c r="BJ62" s="8" t="e">
        <f t="shared" si="45"/>
        <v>#DIV/0!</v>
      </c>
      <c r="BK62" s="2" t="e">
        <f t="shared" si="46"/>
        <v>#DIV/0!</v>
      </c>
      <c r="BL62" s="2" t="e">
        <f t="shared" si="47"/>
        <v>#DIV/0!</v>
      </c>
      <c r="BM62" s="2" t="e">
        <f t="shared" si="84"/>
        <v>#DIV/0!</v>
      </c>
      <c r="BN62" s="2" t="e">
        <f t="shared" si="85"/>
        <v>#DIV/0!</v>
      </c>
      <c r="BO62" s="2" t="e">
        <f t="shared" si="86"/>
        <v>#DIV/0!</v>
      </c>
      <c r="BS62" s="8" t="e">
        <f t="shared" si="48"/>
        <v>#DIV/0!</v>
      </c>
      <c r="BT62" s="2" t="e">
        <f t="shared" si="49"/>
        <v>#DIV/0!</v>
      </c>
      <c r="BU62" s="2" t="e">
        <f t="shared" si="50"/>
        <v>#DIV/0!</v>
      </c>
      <c r="BV62" s="2" t="e">
        <f t="shared" si="87"/>
        <v>#DIV/0!</v>
      </c>
      <c r="BW62" s="2" t="e">
        <f t="shared" si="88"/>
        <v>#DIV/0!</v>
      </c>
      <c r="BX62" s="2" t="e">
        <f t="shared" si="89"/>
        <v>#DIV/0!</v>
      </c>
      <c r="CE62" s="8" t="e">
        <f t="shared" si="51"/>
        <v>#DIV/0!</v>
      </c>
      <c r="CF62" s="2" t="e">
        <f t="shared" si="52"/>
        <v>#DIV/0!</v>
      </c>
      <c r="CG62" s="2" t="e">
        <f t="shared" si="53"/>
        <v>#DIV/0!</v>
      </c>
      <c r="CH62" s="2" t="e">
        <f t="shared" si="90"/>
        <v>#DIV/0!</v>
      </c>
      <c r="CI62" s="2" t="e">
        <f t="shared" si="91"/>
        <v>#DIV/0!</v>
      </c>
      <c r="CJ62" s="2" t="e">
        <f t="shared" si="92"/>
        <v>#DIV/0!</v>
      </c>
      <c r="CQ62" s="8" t="e">
        <f t="shared" si="54"/>
        <v>#DIV/0!</v>
      </c>
      <c r="CR62" s="2" t="e">
        <f t="shared" si="55"/>
        <v>#DIV/0!</v>
      </c>
      <c r="CS62" s="2" t="e">
        <f t="shared" si="56"/>
        <v>#DIV/0!</v>
      </c>
      <c r="CT62" s="2" t="e">
        <f t="shared" si="93"/>
        <v>#DIV/0!</v>
      </c>
      <c r="CU62" s="2" t="e">
        <f t="shared" si="94"/>
        <v>#DIV/0!</v>
      </c>
      <c r="CV62" s="2" t="e">
        <f t="shared" si="95"/>
        <v>#DIV/0!</v>
      </c>
    </row>
    <row r="63" spans="1:100" x14ac:dyDescent="0.2">
      <c r="A63" s="2">
        <f t="shared" si="57"/>
        <v>1.2499999999999998</v>
      </c>
      <c r="B63" s="2">
        <f t="shared" si="58"/>
        <v>0.28650479686019015</v>
      </c>
      <c r="C63" s="2">
        <f t="shared" si="59"/>
        <v>0.28650479686019015</v>
      </c>
      <c r="D63" s="2">
        <f t="shared" si="59"/>
        <v>0.28650479686019015</v>
      </c>
      <c r="E63" s="8">
        <f t="shared" si="60"/>
        <v>0.28650479686019015</v>
      </c>
      <c r="F63" s="2">
        <f t="shared" si="61"/>
        <v>0.28650479686019015</v>
      </c>
      <c r="G63" s="2">
        <f t="shared" si="62"/>
        <v>0.28650479686019015</v>
      </c>
      <c r="K63" s="8" t="e">
        <f t="shared" si="63"/>
        <v>#DIV/0!</v>
      </c>
      <c r="L63" s="2" t="e">
        <f t="shared" si="64"/>
        <v>#DIV/0!</v>
      </c>
      <c r="M63" s="2" t="e">
        <f t="shared" si="65"/>
        <v>#DIV/0!</v>
      </c>
      <c r="Q63" s="8">
        <f t="shared" si="66"/>
        <v>0.41171189185745494</v>
      </c>
      <c r="R63" s="2">
        <f t="shared" si="67"/>
        <v>0.41171189185745494</v>
      </c>
      <c r="S63" s="2">
        <f t="shared" si="68"/>
        <v>0.41171189185745494</v>
      </c>
      <c r="W63" s="8">
        <f t="shared" si="69"/>
        <v>0.44444444444444453</v>
      </c>
      <c r="X63" s="2">
        <f t="shared" si="70"/>
        <v>0.44444444444444453</v>
      </c>
      <c r="Y63" s="2">
        <f t="shared" si="71"/>
        <v>0.44444444444444453</v>
      </c>
      <c r="AC63" s="8">
        <f t="shared" si="72"/>
        <v>0.28650479686019015</v>
      </c>
      <c r="AD63" s="2">
        <f t="shared" si="73"/>
        <v>0.28650479686019015</v>
      </c>
      <c r="AE63" s="2">
        <f t="shared" si="74"/>
        <v>0.28650479686019015</v>
      </c>
      <c r="AI63" s="8">
        <f t="shared" si="75"/>
        <v>0.41171189185745494</v>
      </c>
      <c r="AJ63" s="2">
        <f t="shared" si="76"/>
        <v>0.41171189185745494</v>
      </c>
      <c r="AK63" s="2">
        <f t="shared" si="77"/>
        <v>0.41171189185745494</v>
      </c>
      <c r="AR63" s="8" t="e">
        <f t="shared" si="39"/>
        <v>#DIV/0!</v>
      </c>
      <c r="AS63" s="2" t="e">
        <f t="shared" si="40"/>
        <v>#DIV/0!</v>
      </c>
      <c r="AT63" s="2" t="e">
        <f t="shared" si="41"/>
        <v>#DIV/0!</v>
      </c>
      <c r="AU63" s="2" t="e">
        <f t="shared" si="78"/>
        <v>#DIV/0!</v>
      </c>
      <c r="AV63" s="2" t="e">
        <f t="shared" si="79"/>
        <v>#DIV/0!</v>
      </c>
      <c r="AW63" s="2" t="e">
        <f t="shared" si="80"/>
        <v>#DIV/0!</v>
      </c>
      <c r="BA63" s="8" t="e">
        <f t="shared" si="42"/>
        <v>#DIV/0!</v>
      </c>
      <c r="BB63" s="2" t="e">
        <f t="shared" si="43"/>
        <v>#DIV/0!</v>
      </c>
      <c r="BC63" s="2" t="e">
        <f t="shared" si="44"/>
        <v>#DIV/0!</v>
      </c>
      <c r="BD63" s="2" t="e">
        <f t="shared" si="81"/>
        <v>#DIV/0!</v>
      </c>
      <c r="BE63" s="2" t="e">
        <f t="shared" si="82"/>
        <v>#DIV/0!</v>
      </c>
      <c r="BF63" s="2" t="e">
        <f t="shared" si="83"/>
        <v>#DIV/0!</v>
      </c>
      <c r="BJ63" s="8" t="e">
        <f t="shared" si="45"/>
        <v>#DIV/0!</v>
      </c>
      <c r="BK63" s="2" t="e">
        <f t="shared" si="46"/>
        <v>#DIV/0!</v>
      </c>
      <c r="BL63" s="2" t="e">
        <f t="shared" si="47"/>
        <v>#DIV/0!</v>
      </c>
      <c r="BM63" s="2" t="e">
        <f t="shared" si="84"/>
        <v>#DIV/0!</v>
      </c>
      <c r="BN63" s="2" t="e">
        <f t="shared" si="85"/>
        <v>#DIV/0!</v>
      </c>
      <c r="BO63" s="2" t="e">
        <f t="shared" si="86"/>
        <v>#DIV/0!</v>
      </c>
      <c r="BS63" s="8" t="e">
        <f t="shared" si="48"/>
        <v>#DIV/0!</v>
      </c>
      <c r="BT63" s="2" t="e">
        <f t="shared" si="49"/>
        <v>#DIV/0!</v>
      </c>
      <c r="BU63" s="2" t="e">
        <f t="shared" si="50"/>
        <v>#DIV/0!</v>
      </c>
      <c r="BV63" s="2" t="e">
        <f t="shared" si="87"/>
        <v>#DIV/0!</v>
      </c>
      <c r="BW63" s="2" t="e">
        <f t="shared" si="88"/>
        <v>#DIV/0!</v>
      </c>
      <c r="BX63" s="2" t="e">
        <f t="shared" si="89"/>
        <v>#DIV/0!</v>
      </c>
      <c r="CE63" s="8" t="e">
        <f t="shared" si="51"/>
        <v>#DIV/0!</v>
      </c>
      <c r="CF63" s="2" t="e">
        <f t="shared" si="52"/>
        <v>#DIV/0!</v>
      </c>
      <c r="CG63" s="2" t="e">
        <f t="shared" si="53"/>
        <v>#DIV/0!</v>
      </c>
      <c r="CH63" s="2" t="e">
        <f t="shared" si="90"/>
        <v>#DIV/0!</v>
      </c>
      <c r="CI63" s="2" t="e">
        <f t="shared" si="91"/>
        <v>#DIV/0!</v>
      </c>
      <c r="CJ63" s="2" t="e">
        <f t="shared" si="92"/>
        <v>#DIV/0!</v>
      </c>
      <c r="CQ63" s="8" t="e">
        <f t="shared" si="54"/>
        <v>#DIV/0!</v>
      </c>
      <c r="CR63" s="2" t="e">
        <f t="shared" si="55"/>
        <v>#DIV/0!</v>
      </c>
      <c r="CS63" s="2" t="e">
        <f t="shared" si="56"/>
        <v>#DIV/0!</v>
      </c>
      <c r="CT63" s="2" t="e">
        <f t="shared" si="93"/>
        <v>#DIV/0!</v>
      </c>
      <c r="CU63" s="2" t="e">
        <f t="shared" si="94"/>
        <v>#DIV/0!</v>
      </c>
      <c r="CV63" s="2" t="e">
        <f t="shared" si="95"/>
        <v>#DIV/0!</v>
      </c>
    </row>
    <row r="64" spans="1:100" x14ac:dyDescent="0.2">
      <c r="A64" s="2">
        <f t="shared" si="57"/>
        <v>1.333333333333333</v>
      </c>
      <c r="B64" s="2">
        <f t="shared" si="58"/>
        <v>0.26359713811572683</v>
      </c>
      <c r="C64" s="2">
        <f t="shared" si="59"/>
        <v>0.26359713811572683</v>
      </c>
      <c r="D64" s="2">
        <f t="shared" si="59"/>
        <v>0.26359713811572683</v>
      </c>
      <c r="E64" s="8">
        <f t="shared" si="60"/>
        <v>0.26359713811572683</v>
      </c>
      <c r="F64" s="2">
        <f t="shared" si="61"/>
        <v>0.26359713811572683</v>
      </c>
      <c r="G64" s="2">
        <f t="shared" si="62"/>
        <v>0.26359713811572683</v>
      </c>
      <c r="K64" s="8" t="e">
        <f t="shared" si="63"/>
        <v>#DIV/0!</v>
      </c>
      <c r="L64" s="2" t="e">
        <f t="shared" si="64"/>
        <v>#DIV/0!</v>
      </c>
      <c r="M64" s="2" t="e">
        <f t="shared" si="65"/>
        <v>#DIV/0!</v>
      </c>
      <c r="Q64" s="8">
        <f t="shared" si="66"/>
        <v>0.38679505713409734</v>
      </c>
      <c r="R64" s="2">
        <f t="shared" si="67"/>
        <v>0.38679505713409734</v>
      </c>
      <c r="S64" s="2">
        <f t="shared" si="68"/>
        <v>0.38679505713409734</v>
      </c>
      <c r="W64" s="8">
        <f t="shared" si="69"/>
        <v>0.4285714285714286</v>
      </c>
      <c r="X64" s="2">
        <f t="shared" si="70"/>
        <v>0.4285714285714286</v>
      </c>
      <c r="Y64" s="2">
        <f t="shared" si="71"/>
        <v>0.4285714285714286</v>
      </c>
      <c r="AC64" s="8">
        <f t="shared" si="72"/>
        <v>0.26359713811572683</v>
      </c>
      <c r="AD64" s="2">
        <f t="shared" si="73"/>
        <v>0.26359713811572683</v>
      </c>
      <c r="AE64" s="2">
        <f t="shared" si="74"/>
        <v>0.26359713811572683</v>
      </c>
      <c r="AI64" s="8">
        <f t="shared" si="75"/>
        <v>0.38679505713409734</v>
      </c>
      <c r="AJ64" s="2">
        <f t="shared" si="76"/>
        <v>0.38679505713409734</v>
      </c>
      <c r="AK64" s="2">
        <f t="shared" si="77"/>
        <v>0.38679505713409734</v>
      </c>
      <c r="AR64" s="8" t="e">
        <f t="shared" si="39"/>
        <v>#DIV/0!</v>
      </c>
      <c r="AS64" s="2" t="e">
        <f t="shared" si="40"/>
        <v>#DIV/0!</v>
      </c>
      <c r="AT64" s="2" t="e">
        <f t="shared" si="41"/>
        <v>#DIV/0!</v>
      </c>
      <c r="AU64" s="2" t="e">
        <f t="shared" si="78"/>
        <v>#DIV/0!</v>
      </c>
      <c r="AV64" s="2" t="e">
        <f t="shared" si="79"/>
        <v>#DIV/0!</v>
      </c>
      <c r="AW64" s="2" t="e">
        <f t="shared" si="80"/>
        <v>#DIV/0!</v>
      </c>
      <c r="BA64" s="8" t="e">
        <f t="shared" si="42"/>
        <v>#DIV/0!</v>
      </c>
      <c r="BB64" s="2" t="e">
        <f t="shared" si="43"/>
        <v>#DIV/0!</v>
      </c>
      <c r="BC64" s="2" t="e">
        <f t="shared" si="44"/>
        <v>#DIV/0!</v>
      </c>
      <c r="BD64" s="2" t="e">
        <f t="shared" si="81"/>
        <v>#DIV/0!</v>
      </c>
      <c r="BE64" s="2" t="e">
        <f t="shared" si="82"/>
        <v>#DIV/0!</v>
      </c>
      <c r="BF64" s="2" t="e">
        <f t="shared" si="83"/>
        <v>#DIV/0!</v>
      </c>
      <c r="BJ64" s="8" t="e">
        <f t="shared" si="45"/>
        <v>#DIV/0!</v>
      </c>
      <c r="BK64" s="2" t="e">
        <f t="shared" si="46"/>
        <v>#DIV/0!</v>
      </c>
      <c r="BL64" s="2" t="e">
        <f t="shared" si="47"/>
        <v>#DIV/0!</v>
      </c>
      <c r="BM64" s="2" t="e">
        <f t="shared" si="84"/>
        <v>#DIV/0!</v>
      </c>
      <c r="BN64" s="2" t="e">
        <f t="shared" si="85"/>
        <v>#DIV/0!</v>
      </c>
      <c r="BO64" s="2" t="e">
        <f t="shared" si="86"/>
        <v>#DIV/0!</v>
      </c>
      <c r="BS64" s="8" t="e">
        <f t="shared" si="48"/>
        <v>#DIV/0!</v>
      </c>
      <c r="BT64" s="2" t="e">
        <f t="shared" si="49"/>
        <v>#DIV/0!</v>
      </c>
      <c r="BU64" s="2" t="e">
        <f t="shared" si="50"/>
        <v>#DIV/0!</v>
      </c>
      <c r="BV64" s="2" t="e">
        <f t="shared" si="87"/>
        <v>#DIV/0!</v>
      </c>
      <c r="BW64" s="2" t="e">
        <f t="shared" si="88"/>
        <v>#DIV/0!</v>
      </c>
      <c r="BX64" s="2" t="e">
        <f t="shared" si="89"/>
        <v>#DIV/0!</v>
      </c>
      <c r="CE64" s="8" t="e">
        <f t="shared" si="51"/>
        <v>#DIV/0!</v>
      </c>
      <c r="CF64" s="2" t="e">
        <f t="shared" si="52"/>
        <v>#DIV/0!</v>
      </c>
      <c r="CG64" s="2" t="e">
        <f t="shared" si="53"/>
        <v>#DIV/0!</v>
      </c>
      <c r="CH64" s="2" t="e">
        <f t="shared" si="90"/>
        <v>#DIV/0!</v>
      </c>
      <c r="CI64" s="2" t="e">
        <f t="shared" si="91"/>
        <v>#DIV/0!</v>
      </c>
      <c r="CJ64" s="2" t="e">
        <f t="shared" si="92"/>
        <v>#DIV/0!</v>
      </c>
      <c r="CQ64" s="8" t="e">
        <f t="shared" si="54"/>
        <v>#DIV/0!</v>
      </c>
      <c r="CR64" s="2" t="e">
        <f t="shared" si="55"/>
        <v>#DIV/0!</v>
      </c>
      <c r="CS64" s="2" t="e">
        <f t="shared" si="56"/>
        <v>#DIV/0!</v>
      </c>
      <c r="CT64" s="2" t="e">
        <f t="shared" si="93"/>
        <v>#DIV/0!</v>
      </c>
      <c r="CU64" s="2" t="e">
        <f t="shared" si="94"/>
        <v>#DIV/0!</v>
      </c>
      <c r="CV64" s="2" t="e">
        <f t="shared" si="95"/>
        <v>#DIV/0!</v>
      </c>
    </row>
    <row r="65" spans="1:100" x14ac:dyDescent="0.2">
      <c r="A65" s="2">
        <f t="shared" si="57"/>
        <v>1.4166666666666663</v>
      </c>
      <c r="B65" s="2">
        <f t="shared" si="58"/>
        <v>0.24252107463564879</v>
      </c>
      <c r="C65" s="2">
        <f t="shared" si="59"/>
        <v>0.24252107463564879</v>
      </c>
      <c r="D65" s="2">
        <f t="shared" si="59"/>
        <v>0.24252107463564879</v>
      </c>
      <c r="E65" s="8">
        <f t="shared" si="60"/>
        <v>0.24252107463564879</v>
      </c>
      <c r="F65" s="2">
        <f t="shared" si="61"/>
        <v>0.24252107463564879</v>
      </c>
      <c r="G65" s="2">
        <f t="shared" si="62"/>
        <v>0.24252107463564879</v>
      </c>
      <c r="K65" s="8" t="e">
        <f t="shared" si="63"/>
        <v>#DIV/0!</v>
      </c>
      <c r="L65" s="2" t="e">
        <f t="shared" si="64"/>
        <v>#DIV/0!</v>
      </c>
      <c r="M65" s="2" t="e">
        <f t="shared" si="65"/>
        <v>#DIV/0!</v>
      </c>
      <c r="Q65" s="8">
        <f t="shared" si="66"/>
        <v>0.36380493347416765</v>
      </c>
      <c r="R65" s="2">
        <f t="shared" si="67"/>
        <v>0.36380493347416765</v>
      </c>
      <c r="S65" s="2">
        <f t="shared" si="68"/>
        <v>0.36380493347416765</v>
      </c>
      <c r="W65" s="8">
        <f t="shared" si="69"/>
        <v>0.41379310344827591</v>
      </c>
      <c r="X65" s="2">
        <f t="shared" si="70"/>
        <v>0.41379310344827591</v>
      </c>
      <c r="Y65" s="2">
        <f t="shared" si="71"/>
        <v>0.41379310344827591</v>
      </c>
      <c r="AC65" s="8">
        <f t="shared" si="72"/>
        <v>0.24252107463564876</v>
      </c>
      <c r="AD65" s="2">
        <f t="shared" si="73"/>
        <v>0.24252107463564876</v>
      </c>
      <c r="AE65" s="2">
        <f t="shared" si="74"/>
        <v>0.24252107463564876</v>
      </c>
      <c r="AI65" s="8">
        <f t="shared" si="75"/>
        <v>0.36380493347416765</v>
      </c>
      <c r="AJ65" s="2">
        <f t="shared" si="76"/>
        <v>0.36380493347416765</v>
      </c>
      <c r="AK65" s="2">
        <f t="shared" si="77"/>
        <v>0.36380493347416765</v>
      </c>
      <c r="AR65" s="8" t="e">
        <f t="shared" si="39"/>
        <v>#DIV/0!</v>
      </c>
      <c r="AS65" s="2" t="e">
        <f t="shared" si="40"/>
        <v>#DIV/0!</v>
      </c>
      <c r="AT65" s="2" t="e">
        <f t="shared" si="41"/>
        <v>#DIV/0!</v>
      </c>
      <c r="AU65" s="2" t="e">
        <f t="shared" si="78"/>
        <v>#DIV/0!</v>
      </c>
      <c r="AV65" s="2" t="e">
        <f t="shared" si="79"/>
        <v>#DIV/0!</v>
      </c>
      <c r="AW65" s="2" t="e">
        <f t="shared" si="80"/>
        <v>#DIV/0!</v>
      </c>
      <c r="BA65" s="8" t="e">
        <f t="shared" si="42"/>
        <v>#DIV/0!</v>
      </c>
      <c r="BB65" s="2" t="e">
        <f t="shared" si="43"/>
        <v>#DIV/0!</v>
      </c>
      <c r="BC65" s="2" t="e">
        <f t="shared" si="44"/>
        <v>#DIV/0!</v>
      </c>
      <c r="BD65" s="2" t="e">
        <f t="shared" si="81"/>
        <v>#DIV/0!</v>
      </c>
      <c r="BE65" s="2" t="e">
        <f t="shared" si="82"/>
        <v>#DIV/0!</v>
      </c>
      <c r="BF65" s="2" t="e">
        <f t="shared" si="83"/>
        <v>#DIV/0!</v>
      </c>
      <c r="BJ65" s="8" t="e">
        <f t="shared" si="45"/>
        <v>#DIV/0!</v>
      </c>
      <c r="BK65" s="2" t="e">
        <f t="shared" si="46"/>
        <v>#DIV/0!</v>
      </c>
      <c r="BL65" s="2" t="e">
        <f t="shared" si="47"/>
        <v>#DIV/0!</v>
      </c>
      <c r="BM65" s="2" t="e">
        <f t="shared" si="84"/>
        <v>#DIV/0!</v>
      </c>
      <c r="BN65" s="2" t="e">
        <f t="shared" si="85"/>
        <v>#DIV/0!</v>
      </c>
      <c r="BO65" s="2" t="e">
        <f t="shared" si="86"/>
        <v>#DIV/0!</v>
      </c>
      <c r="BS65" s="8" t="e">
        <f t="shared" si="48"/>
        <v>#DIV/0!</v>
      </c>
      <c r="BT65" s="2" t="e">
        <f t="shared" si="49"/>
        <v>#DIV/0!</v>
      </c>
      <c r="BU65" s="2" t="e">
        <f t="shared" si="50"/>
        <v>#DIV/0!</v>
      </c>
      <c r="BV65" s="2" t="e">
        <f t="shared" si="87"/>
        <v>#DIV/0!</v>
      </c>
      <c r="BW65" s="2" t="e">
        <f t="shared" si="88"/>
        <v>#DIV/0!</v>
      </c>
      <c r="BX65" s="2" t="e">
        <f t="shared" si="89"/>
        <v>#DIV/0!</v>
      </c>
      <c r="CE65" s="8" t="e">
        <f t="shared" si="51"/>
        <v>#DIV/0!</v>
      </c>
      <c r="CF65" s="2" t="e">
        <f t="shared" si="52"/>
        <v>#DIV/0!</v>
      </c>
      <c r="CG65" s="2" t="e">
        <f t="shared" si="53"/>
        <v>#DIV/0!</v>
      </c>
      <c r="CH65" s="2" t="e">
        <f t="shared" si="90"/>
        <v>#DIV/0!</v>
      </c>
      <c r="CI65" s="2" t="e">
        <f t="shared" si="91"/>
        <v>#DIV/0!</v>
      </c>
      <c r="CJ65" s="2" t="e">
        <f t="shared" si="92"/>
        <v>#DIV/0!</v>
      </c>
      <c r="CQ65" s="8" t="e">
        <f t="shared" si="54"/>
        <v>#DIV/0!</v>
      </c>
      <c r="CR65" s="2" t="e">
        <f t="shared" si="55"/>
        <v>#DIV/0!</v>
      </c>
      <c r="CS65" s="2" t="e">
        <f t="shared" si="56"/>
        <v>#DIV/0!</v>
      </c>
      <c r="CT65" s="2" t="e">
        <f t="shared" si="93"/>
        <v>#DIV/0!</v>
      </c>
      <c r="CU65" s="2" t="e">
        <f t="shared" si="94"/>
        <v>#DIV/0!</v>
      </c>
      <c r="CV65" s="2" t="e">
        <f t="shared" si="95"/>
        <v>#DIV/0!</v>
      </c>
    </row>
    <row r="66" spans="1:100" x14ac:dyDescent="0.2">
      <c r="A66" s="2">
        <f t="shared" si="57"/>
        <v>1.4999999999999996</v>
      </c>
      <c r="B66" s="2">
        <f t="shared" si="58"/>
        <v>0.22313016014842993</v>
      </c>
      <c r="C66" s="2">
        <f t="shared" ref="C66:D129" si="96">EXP(-$A66*$B$43*C$43)</f>
        <v>0.22313016014842993</v>
      </c>
      <c r="D66" s="2">
        <f t="shared" si="96"/>
        <v>0.22313016014842993</v>
      </c>
      <c r="E66" s="8">
        <f t="shared" si="60"/>
        <v>0.22313016014842993</v>
      </c>
      <c r="F66" s="2">
        <f t="shared" si="61"/>
        <v>0.22313016014842993</v>
      </c>
      <c r="G66" s="2">
        <f t="shared" si="62"/>
        <v>0.22313016014842993</v>
      </c>
      <c r="K66" s="8" t="e">
        <f t="shared" si="63"/>
        <v>#DIV/0!</v>
      </c>
      <c r="L66" s="2" t="e">
        <f t="shared" si="64"/>
        <v>#DIV/0!</v>
      </c>
      <c r="M66" s="2" t="e">
        <f t="shared" si="65"/>
        <v>#DIV/0!</v>
      </c>
      <c r="Q66" s="8">
        <f t="shared" si="66"/>
        <v>0.34256783051484596</v>
      </c>
      <c r="R66" s="2">
        <f t="shared" si="67"/>
        <v>0.34256783051484596</v>
      </c>
      <c r="S66" s="2">
        <f t="shared" si="68"/>
        <v>0.34256783051484596</v>
      </c>
      <c r="W66" s="8">
        <f t="shared" si="69"/>
        <v>0.40000000000000013</v>
      </c>
      <c r="X66" s="2">
        <f t="shared" si="70"/>
        <v>0.40000000000000013</v>
      </c>
      <c r="Y66" s="2">
        <f t="shared" si="71"/>
        <v>0.40000000000000013</v>
      </c>
      <c r="AC66" s="8">
        <f t="shared" si="72"/>
        <v>0.2231301601484299</v>
      </c>
      <c r="AD66" s="2">
        <f t="shared" si="73"/>
        <v>0.2231301601484299</v>
      </c>
      <c r="AE66" s="2">
        <f t="shared" si="74"/>
        <v>0.2231301601484299</v>
      </c>
      <c r="AI66" s="8">
        <f t="shared" si="75"/>
        <v>0.34256783051484596</v>
      </c>
      <c r="AJ66" s="2">
        <f t="shared" si="76"/>
        <v>0.34256783051484596</v>
      </c>
      <c r="AK66" s="2">
        <f t="shared" si="77"/>
        <v>0.34256783051484596</v>
      </c>
      <c r="AR66" s="8" t="e">
        <f t="shared" si="39"/>
        <v>#DIV/0!</v>
      </c>
      <c r="AS66" s="2" t="e">
        <f t="shared" si="40"/>
        <v>#DIV/0!</v>
      </c>
      <c r="AT66" s="2" t="e">
        <f t="shared" si="41"/>
        <v>#DIV/0!</v>
      </c>
      <c r="AU66" s="2" t="e">
        <f t="shared" si="78"/>
        <v>#DIV/0!</v>
      </c>
      <c r="AV66" s="2" t="e">
        <f t="shared" si="79"/>
        <v>#DIV/0!</v>
      </c>
      <c r="AW66" s="2" t="e">
        <f t="shared" si="80"/>
        <v>#DIV/0!</v>
      </c>
      <c r="BA66" s="8" t="e">
        <f t="shared" si="42"/>
        <v>#DIV/0!</v>
      </c>
      <c r="BB66" s="2" t="e">
        <f t="shared" si="43"/>
        <v>#DIV/0!</v>
      </c>
      <c r="BC66" s="2" t="e">
        <f t="shared" si="44"/>
        <v>#DIV/0!</v>
      </c>
      <c r="BD66" s="2" t="e">
        <f t="shared" si="81"/>
        <v>#DIV/0!</v>
      </c>
      <c r="BE66" s="2" t="e">
        <f t="shared" si="82"/>
        <v>#DIV/0!</v>
      </c>
      <c r="BF66" s="2" t="e">
        <f t="shared" si="83"/>
        <v>#DIV/0!</v>
      </c>
      <c r="BJ66" s="8" t="e">
        <f t="shared" si="45"/>
        <v>#DIV/0!</v>
      </c>
      <c r="BK66" s="2" t="e">
        <f t="shared" si="46"/>
        <v>#DIV/0!</v>
      </c>
      <c r="BL66" s="2" t="e">
        <f t="shared" si="47"/>
        <v>#DIV/0!</v>
      </c>
      <c r="BM66" s="2" t="e">
        <f t="shared" si="84"/>
        <v>#DIV/0!</v>
      </c>
      <c r="BN66" s="2" t="e">
        <f t="shared" si="85"/>
        <v>#DIV/0!</v>
      </c>
      <c r="BO66" s="2" t="e">
        <f t="shared" si="86"/>
        <v>#DIV/0!</v>
      </c>
      <c r="BS66" s="8" t="e">
        <f t="shared" si="48"/>
        <v>#DIV/0!</v>
      </c>
      <c r="BT66" s="2" t="e">
        <f t="shared" si="49"/>
        <v>#DIV/0!</v>
      </c>
      <c r="BU66" s="2" t="e">
        <f t="shared" si="50"/>
        <v>#DIV/0!</v>
      </c>
      <c r="BV66" s="2" t="e">
        <f t="shared" si="87"/>
        <v>#DIV/0!</v>
      </c>
      <c r="BW66" s="2" t="e">
        <f t="shared" si="88"/>
        <v>#DIV/0!</v>
      </c>
      <c r="BX66" s="2" t="e">
        <f t="shared" si="89"/>
        <v>#DIV/0!</v>
      </c>
      <c r="CE66" s="8" t="e">
        <f t="shared" si="51"/>
        <v>#DIV/0!</v>
      </c>
      <c r="CF66" s="2" t="e">
        <f t="shared" si="52"/>
        <v>#DIV/0!</v>
      </c>
      <c r="CG66" s="2" t="e">
        <f t="shared" si="53"/>
        <v>#DIV/0!</v>
      </c>
      <c r="CH66" s="2" t="e">
        <f t="shared" si="90"/>
        <v>#DIV/0!</v>
      </c>
      <c r="CI66" s="2" t="e">
        <f t="shared" si="91"/>
        <v>#DIV/0!</v>
      </c>
      <c r="CJ66" s="2" t="e">
        <f t="shared" si="92"/>
        <v>#DIV/0!</v>
      </c>
      <c r="CQ66" s="8" t="e">
        <f t="shared" si="54"/>
        <v>#DIV/0!</v>
      </c>
      <c r="CR66" s="2" t="e">
        <f t="shared" si="55"/>
        <v>#DIV/0!</v>
      </c>
      <c r="CS66" s="2" t="e">
        <f t="shared" si="56"/>
        <v>#DIV/0!</v>
      </c>
      <c r="CT66" s="2" t="e">
        <f t="shared" si="93"/>
        <v>#DIV/0!</v>
      </c>
      <c r="CU66" s="2" t="e">
        <f t="shared" si="94"/>
        <v>#DIV/0!</v>
      </c>
      <c r="CV66" s="2" t="e">
        <f t="shared" si="95"/>
        <v>#DIV/0!</v>
      </c>
    </row>
    <row r="67" spans="1:100" x14ac:dyDescent="0.2">
      <c r="A67" s="2">
        <f t="shared" si="57"/>
        <v>1.5833333333333328</v>
      </c>
      <c r="B67" s="2">
        <f t="shared" si="58"/>
        <v>0.20528965757990938</v>
      </c>
      <c r="C67" s="2">
        <f t="shared" si="96"/>
        <v>0.20528965757990938</v>
      </c>
      <c r="D67" s="2">
        <f t="shared" si="96"/>
        <v>0.20528965757990938</v>
      </c>
      <c r="E67" s="8">
        <f t="shared" si="60"/>
        <v>0.20528965757990938</v>
      </c>
      <c r="F67" s="2">
        <f t="shared" si="61"/>
        <v>0.20528965757990938</v>
      </c>
      <c r="G67" s="2">
        <f t="shared" si="62"/>
        <v>0.20528965757990938</v>
      </c>
      <c r="K67" s="8" t="e">
        <f t="shared" si="63"/>
        <v>#DIV/0!</v>
      </c>
      <c r="L67" s="2" t="e">
        <f t="shared" si="64"/>
        <v>#DIV/0!</v>
      </c>
      <c r="M67" s="2" t="e">
        <f t="shared" si="65"/>
        <v>#DIV/0!</v>
      </c>
      <c r="Q67" s="8">
        <f t="shared" si="66"/>
        <v>0.32292597074484819</v>
      </c>
      <c r="R67" s="2">
        <f t="shared" si="67"/>
        <v>0.32292597074484819</v>
      </c>
      <c r="S67" s="2">
        <f t="shared" si="68"/>
        <v>0.32292597074484819</v>
      </c>
      <c r="W67" s="8">
        <f t="shared" si="69"/>
        <v>0.38709677419354849</v>
      </c>
      <c r="X67" s="2">
        <f t="shared" si="70"/>
        <v>0.38709677419354849</v>
      </c>
      <c r="Y67" s="2">
        <f t="shared" si="71"/>
        <v>0.38709677419354849</v>
      </c>
      <c r="AC67" s="8">
        <f t="shared" si="72"/>
        <v>0.20528965757990936</v>
      </c>
      <c r="AD67" s="2">
        <f t="shared" si="73"/>
        <v>0.20528965757990936</v>
      </c>
      <c r="AE67" s="2">
        <f t="shared" si="74"/>
        <v>0.20528965757990936</v>
      </c>
      <c r="AI67" s="8">
        <f t="shared" si="75"/>
        <v>0.32292597074484819</v>
      </c>
      <c r="AJ67" s="2">
        <f t="shared" si="76"/>
        <v>0.32292597074484819</v>
      </c>
      <c r="AK67" s="2">
        <f t="shared" si="77"/>
        <v>0.32292597074484819</v>
      </c>
      <c r="AR67" s="8" t="e">
        <f t="shared" si="39"/>
        <v>#DIV/0!</v>
      </c>
      <c r="AS67" s="2" t="e">
        <f t="shared" si="40"/>
        <v>#DIV/0!</v>
      </c>
      <c r="AT67" s="2" t="e">
        <f t="shared" si="41"/>
        <v>#DIV/0!</v>
      </c>
      <c r="AU67" s="2" t="e">
        <f t="shared" si="78"/>
        <v>#DIV/0!</v>
      </c>
      <c r="AV67" s="2" t="e">
        <f t="shared" si="79"/>
        <v>#DIV/0!</v>
      </c>
      <c r="AW67" s="2" t="e">
        <f t="shared" si="80"/>
        <v>#DIV/0!</v>
      </c>
      <c r="BA67" s="8" t="e">
        <f t="shared" si="42"/>
        <v>#DIV/0!</v>
      </c>
      <c r="BB67" s="2" t="e">
        <f t="shared" si="43"/>
        <v>#DIV/0!</v>
      </c>
      <c r="BC67" s="2" t="e">
        <f t="shared" si="44"/>
        <v>#DIV/0!</v>
      </c>
      <c r="BD67" s="2" t="e">
        <f t="shared" si="81"/>
        <v>#DIV/0!</v>
      </c>
      <c r="BE67" s="2" t="e">
        <f t="shared" si="82"/>
        <v>#DIV/0!</v>
      </c>
      <c r="BF67" s="2" t="e">
        <f t="shared" si="83"/>
        <v>#DIV/0!</v>
      </c>
      <c r="BJ67" s="8" t="e">
        <f t="shared" si="45"/>
        <v>#DIV/0!</v>
      </c>
      <c r="BK67" s="2" t="e">
        <f t="shared" si="46"/>
        <v>#DIV/0!</v>
      </c>
      <c r="BL67" s="2" t="e">
        <f t="shared" si="47"/>
        <v>#DIV/0!</v>
      </c>
      <c r="BM67" s="2" t="e">
        <f t="shared" si="84"/>
        <v>#DIV/0!</v>
      </c>
      <c r="BN67" s="2" t="e">
        <f t="shared" si="85"/>
        <v>#DIV/0!</v>
      </c>
      <c r="BO67" s="2" t="e">
        <f t="shared" si="86"/>
        <v>#DIV/0!</v>
      </c>
      <c r="BS67" s="8" t="e">
        <f t="shared" si="48"/>
        <v>#DIV/0!</v>
      </c>
      <c r="BT67" s="2" t="e">
        <f t="shared" si="49"/>
        <v>#DIV/0!</v>
      </c>
      <c r="BU67" s="2" t="e">
        <f t="shared" si="50"/>
        <v>#DIV/0!</v>
      </c>
      <c r="BV67" s="2" t="e">
        <f t="shared" si="87"/>
        <v>#DIV/0!</v>
      </c>
      <c r="BW67" s="2" t="e">
        <f t="shared" si="88"/>
        <v>#DIV/0!</v>
      </c>
      <c r="BX67" s="2" t="e">
        <f t="shared" si="89"/>
        <v>#DIV/0!</v>
      </c>
      <c r="CE67" s="8" t="e">
        <f t="shared" si="51"/>
        <v>#DIV/0!</v>
      </c>
      <c r="CF67" s="2" t="e">
        <f t="shared" si="52"/>
        <v>#DIV/0!</v>
      </c>
      <c r="CG67" s="2" t="e">
        <f t="shared" si="53"/>
        <v>#DIV/0!</v>
      </c>
      <c r="CH67" s="2" t="e">
        <f t="shared" si="90"/>
        <v>#DIV/0!</v>
      </c>
      <c r="CI67" s="2" t="e">
        <f t="shared" si="91"/>
        <v>#DIV/0!</v>
      </c>
      <c r="CJ67" s="2" t="e">
        <f t="shared" si="92"/>
        <v>#DIV/0!</v>
      </c>
      <c r="CQ67" s="8" t="e">
        <f t="shared" si="54"/>
        <v>#DIV/0!</v>
      </c>
      <c r="CR67" s="2" t="e">
        <f t="shared" si="55"/>
        <v>#DIV/0!</v>
      </c>
      <c r="CS67" s="2" t="e">
        <f t="shared" si="56"/>
        <v>#DIV/0!</v>
      </c>
      <c r="CT67" s="2" t="e">
        <f t="shared" si="93"/>
        <v>#DIV/0!</v>
      </c>
      <c r="CU67" s="2" t="e">
        <f t="shared" si="94"/>
        <v>#DIV/0!</v>
      </c>
      <c r="CV67" s="2" t="e">
        <f t="shared" si="95"/>
        <v>#DIV/0!</v>
      </c>
    </row>
    <row r="68" spans="1:100" x14ac:dyDescent="0.2">
      <c r="A68" s="2">
        <f t="shared" si="57"/>
        <v>1.6666666666666661</v>
      </c>
      <c r="B68" s="2">
        <f t="shared" si="58"/>
        <v>0.18887560283756194</v>
      </c>
      <c r="C68" s="2">
        <f t="shared" si="96"/>
        <v>0.18887560283756194</v>
      </c>
      <c r="D68" s="2">
        <f t="shared" si="96"/>
        <v>0.18887560283756194</v>
      </c>
      <c r="E68" s="8">
        <f t="shared" si="60"/>
        <v>0.18887560283756194</v>
      </c>
      <c r="F68" s="2">
        <f t="shared" si="61"/>
        <v>0.18887560283756194</v>
      </c>
      <c r="G68" s="2">
        <f t="shared" si="62"/>
        <v>0.18887560283756194</v>
      </c>
      <c r="K68" s="8" t="e">
        <f t="shared" si="63"/>
        <v>#DIV/0!</v>
      </c>
      <c r="L68" s="2" t="e">
        <f t="shared" si="64"/>
        <v>#DIV/0!</v>
      </c>
      <c r="M68" s="2" t="e">
        <f t="shared" si="65"/>
        <v>#DIV/0!</v>
      </c>
      <c r="Q68" s="8">
        <f t="shared" si="66"/>
        <v>0.30473658251023183</v>
      </c>
      <c r="R68" s="2">
        <f t="shared" si="67"/>
        <v>0.30473658251023183</v>
      </c>
      <c r="S68" s="2">
        <f t="shared" si="68"/>
        <v>0.30473658251023183</v>
      </c>
      <c r="W68" s="8">
        <f t="shared" si="69"/>
        <v>0.375</v>
      </c>
      <c r="X68" s="2">
        <f t="shared" si="70"/>
        <v>0.375</v>
      </c>
      <c r="Y68" s="2">
        <f t="shared" si="71"/>
        <v>0.375</v>
      </c>
      <c r="AC68" s="8">
        <f t="shared" si="72"/>
        <v>0.188875602837562</v>
      </c>
      <c r="AD68" s="2">
        <f t="shared" si="73"/>
        <v>0.188875602837562</v>
      </c>
      <c r="AE68" s="2">
        <f t="shared" si="74"/>
        <v>0.188875602837562</v>
      </c>
      <c r="AI68" s="8">
        <f t="shared" si="75"/>
        <v>0.30473658251023183</v>
      </c>
      <c r="AJ68" s="2">
        <f t="shared" si="76"/>
        <v>0.30473658251023183</v>
      </c>
      <c r="AK68" s="2">
        <f t="shared" si="77"/>
        <v>0.30473658251023183</v>
      </c>
      <c r="AR68" s="8" t="e">
        <f t="shared" si="39"/>
        <v>#DIV/0!</v>
      </c>
      <c r="AS68" s="2" t="e">
        <f t="shared" si="40"/>
        <v>#DIV/0!</v>
      </c>
      <c r="AT68" s="2" t="e">
        <f t="shared" si="41"/>
        <v>#DIV/0!</v>
      </c>
      <c r="AU68" s="2" t="e">
        <f t="shared" si="78"/>
        <v>#DIV/0!</v>
      </c>
      <c r="AV68" s="2" t="e">
        <f t="shared" si="79"/>
        <v>#DIV/0!</v>
      </c>
      <c r="AW68" s="2" t="e">
        <f t="shared" si="80"/>
        <v>#DIV/0!</v>
      </c>
      <c r="BA68" s="8" t="e">
        <f t="shared" si="42"/>
        <v>#DIV/0!</v>
      </c>
      <c r="BB68" s="2" t="e">
        <f t="shared" si="43"/>
        <v>#DIV/0!</v>
      </c>
      <c r="BC68" s="2" t="e">
        <f t="shared" si="44"/>
        <v>#DIV/0!</v>
      </c>
      <c r="BD68" s="2" t="e">
        <f t="shared" si="81"/>
        <v>#DIV/0!</v>
      </c>
      <c r="BE68" s="2" t="e">
        <f t="shared" si="82"/>
        <v>#DIV/0!</v>
      </c>
      <c r="BF68" s="2" t="e">
        <f t="shared" si="83"/>
        <v>#DIV/0!</v>
      </c>
      <c r="BJ68" s="8" t="e">
        <f t="shared" si="45"/>
        <v>#DIV/0!</v>
      </c>
      <c r="BK68" s="2" t="e">
        <f t="shared" si="46"/>
        <v>#DIV/0!</v>
      </c>
      <c r="BL68" s="2" t="e">
        <f t="shared" si="47"/>
        <v>#DIV/0!</v>
      </c>
      <c r="BM68" s="2" t="e">
        <f t="shared" si="84"/>
        <v>#DIV/0!</v>
      </c>
      <c r="BN68" s="2" t="e">
        <f t="shared" si="85"/>
        <v>#DIV/0!</v>
      </c>
      <c r="BO68" s="2" t="e">
        <f t="shared" si="86"/>
        <v>#DIV/0!</v>
      </c>
      <c r="BS68" s="8" t="e">
        <f t="shared" si="48"/>
        <v>#DIV/0!</v>
      </c>
      <c r="BT68" s="2" t="e">
        <f t="shared" si="49"/>
        <v>#DIV/0!</v>
      </c>
      <c r="BU68" s="2" t="e">
        <f t="shared" si="50"/>
        <v>#DIV/0!</v>
      </c>
      <c r="BV68" s="2" t="e">
        <f t="shared" si="87"/>
        <v>#DIV/0!</v>
      </c>
      <c r="BW68" s="2" t="e">
        <f t="shared" si="88"/>
        <v>#DIV/0!</v>
      </c>
      <c r="BX68" s="2" t="e">
        <f t="shared" si="89"/>
        <v>#DIV/0!</v>
      </c>
      <c r="CE68" s="8" t="e">
        <f t="shared" si="51"/>
        <v>#DIV/0!</v>
      </c>
      <c r="CF68" s="2" t="e">
        <f t="shared" si="52"/>
        <v>#DIV/0!</v>
      </c>
      <c r="CG68" s="2" t="e">
        <f t="shared" si="53"/>
        <v>#DIV/0!</v>
      </c>
      <c r="CH68" s="2" t="e">
        <f t="shared" si="90"/>
        <v>#DIV/0!</v>
      </c>
      <c r="CI68" s="2" t="e">
        <f t="shared" si="91"/>
        <v>#DIV/0!</v>
      </c>
      <c r="CJ68" s="2" t="e">
        <f t="shared" si="92"/>
        <v>#DIV/0!</v>
      </c>
      <c r="CQ68" s="8" t="e">
        <f t="shared" si="54"/>
        <v>#DIV/0!</v>
      </c>
      <c r="CR68" s="2" t="e">
        <f t="shared" si="55"/>
        <v>#DIV/0!</v>
      </c>
      <c r="CS68" s="2" t="e">
        <f t="shared" si="56"/>
        <v>#DIV/0!</v>
      </c>
      <c r="CT68" s="2" t="e">
        <f t="shared" si="93"/>
        <v>#DIV/0!</v>
      </c>
      <c r="CU68" s="2" t="e">
        <f t="shared" si="94"/>
        <v>#DIV/0!</v>
      </c>
      <c r="CV68" s="2" t="e">
        <f t="shared" si="95"/>
        <v>#DIV/0!</v>
      </c>
    </row>
    <row r="69" spans="1:100" x14ac:dyDescent="0.2">
      <c r="A69" s="2">
        <f t="shared" si="57"/>
        <v>1.7499999999999993</v>
      </c>
      <c r="B69" s="2">
        <f t="shared" si="58"/>
        <v>0.17377394345044525</v>
      </c>
      <c r="C69" s="2">
        <f t="shared" si="96"/>
        <v>0.17377394345044525</v>
      </c>
      <c r="D69" s="2">
        <f t="shared" si="96"/>
        <v>0.17377394345044525</v>
      </c>
      <c r="E69" s="8">
        <f t="shared" si="60"/>
        <v>0.17377394345044525</v>
      </c>
      <c r="F69" s="2">
        <f t="shared" si="61"/>
        <v>0.17377394345044525</v>
      </c>
      <c r="G69" s="2">
        <f t="shared" si="62"/>
        <v>0.17377394345044525</v>
      </c>
      <c r="K69" s="8" t="e">
        <f t="shared" si="63"/>
        <v>#DIV/0!</v>
      </c>
      <c r="L69" s="2" t="e">
        <f t="shared" si="64"/>
        <v>#DIV/0!</v>
      </c>
      <c r="M69" s="2" t="e">
        <f t="shared" si="65"/>
        <v>#DIV/0!</v>
      </c>
      <c r="Q69" s="8">
        <f t="shared" si="66"/>
        <v>0.28787076684992507</v>
      </c>
      <c r="R69" s="2">
        <f t="shared" si="67"/>
        <v>0.28787076684992507</v>
      </c>
      <c r="S69" s="2">
        <f t="shared" si="68"/>
        <v>0.28787076684992507</v>
      </c>
      <c r="W69" s="8">
        <f t="shared" si="69"/>
        <v>0.36363636363636376</v>
      </c>
      <c r="X69" s="2">
        <f t="shared" si="70"/>
        <v>0.36363636363636376</v>
      </c>
      <c r="Y69" s="2">
        <f t="shared" si="71"/>
        <v>0.36363636363636376</v>
      </c>
      <c r="AC69" s="8">
        <f t="shared" si="72"/>
        <v>0.17377394345044528</v>
      </c>
      <c r="AD69" s="2">
        <f t="shared" si="73"/>
        <v>0.17377394345044528</v>
      </c>
      <c r="AE69" s="2">
        <f t="shared" si="74"/>
        <v>0.17377394345044528</v>
      </c>
      <c r="AI69" s="8">
        <f t="shared" si="75"/>
        <v>0.28787076684992507</v>
      </c>
      <c r="AJ69" s="2">
        <f t="shared" si="76"/>
        <v>0.28787076684992507</v>
      </c>
      <c r="AK69" s="2">
        <f t="shared" si="77"/>
        <v>0.28787076684992507</v>
      </c>
      <c r="AR69" s="8" t="e">
        <f t="shared" si="39"/>
        <v>#DIV/0!</v>
      </c>
      <c r="AS69" s="2" t="e">
        <f t="shared" si="40"/>
        <v>#DIV/0!</v>
      </c>
      <c r="AT69" s="2" t="e">
        <f t="shared" si="41"/>
        <v>#DIV/0!</v>
      </c>
      <c r="AU69" s="2" t="e">
        <f t="shared" si="78"/>
        <v>#DIV/0!</v>
      </c>
      <c r="AV69" s="2" t="e">
        <f t="shared" si="79"/>
        <v>#DIV/0!</v>
      </c>
      <c r="AW69" s="2" t="e">
        <f t="shared" si="80"/>
        <v>#DIV/0!</v>
      </c>
      <c r="BA69" s="8" t="e">
        <f t="shared" si="42"/>
        <v>#DIV/0!</v>
      </c>
      <c r="BB69" s="2" t="e">
        <f t="shared" si="43"/>
        <v>#DIV/0!</v>
      </c>
      <c r="BC69" s="2" t="e">
        <f t="shared" si="44"/>
        <v>#DIV/0!</v>
      </c>
      <c r="BD69" s="2" t="e">
        <f t="shared" si="81"/>
        <v>#DIV/0!</v>
      </c>
      <c r="BE69" s="2" t="e">
        <f t="shared" si="82"/>
        <v>#DIV/0!</v>
      </c>
      <c r="BF69" s="2" t="e">
        <f t="shared" si="83"/>
        <v>#DIV/0!</v>
      </c>
      <c r="BJ69" s="8" t="e">
        <f t="shared" si="45"/>
        <v>#DIV/0!</v>
      </c>
      <c r="BK69" s="2" t="e">
        <f t="shared" si="46"/>
        <v>#DIV/0!</v>
      </c>
      <c r="BL69" s="2" t="e">
        <f t="shared" si="47"/>
        <v>#DIV/0!</v>
      </c>
      <c r="BM69" s="2" t="e">
        <f t="shared" si="84"/>
        <v>#DIV/0!</v>
      </c>
      <c r="BN69" s="2" t="e">
        <f t="shared" si="85"/>
        <v>#DIV/0!</v>
      </c>
      <c r="BO69" s="2" t="e">
        <f t="shared" si="86"/>
        <v>#DIV/0!</v>
      </c>
      <c r="BS69" s="8" t="e">
        <f t="shared" si="48"/>
        <v>#DIV/0!</v>
      </c>
      <c r="BT69" s="2" t="e">
        <f t="shared" si="49"/>
        <v>#DIV/0!</v>
      </c>
      <c r="BU69" s="2" t="e">
        <f t="shared" si="50"/>
        <v>#DIV/0!</v>
      </c>
      <c r="BV69" s="2" t="e">
        <f t="shared" si="87"/>
        <v>#DIV/0!</v>
      </c>
      <c r="BW69" s="2" t="e">
        <f t="shared" si="88"/>
        <v>#DIV/0!</v>
      </c>
      <c r="BX69" s="2" t="e">
        <f t="shared" si="89"/>
        <v>#DIV/0!</v>
      </c>
      <c r="CE69" s="8" t="e">
        <f t="shared" si="51"/>
        <v>#DIV/0!</v>
      </c>
      <c r="CF69" s="2" t="e">
        <f t="shared" si="52"/>
        <v>#DIV/0!</v>
      </c>
      <c r="CG69" s="2" t="e">
        <f t="shared" si="53"/>
        <v>#DIV/0!</v>
      </c>
      <c r="CH69" s="2" t="e">
        <f t="shared" si="90"/>
        <v>#DIV/0!</v>
      </c>
      <c r="CI69" s="2" t="e">
        <f t="shared" si="91"/>
        <v>#DIV/0!</v>
      </c>
      <c r="CJ69" s="2" t="e">
        <f t="shared" si="92"/>
        <v>#DIV/0!</v>
      </c>
      <c r="CQ69" s="8" t="e">
        <f t="shared" si="54"/>
        <v>#DIV/0!</v>
      </c>
      <c r="CR69" s="2" t="e">
        <f t="shared" si="55"/>
        <v>#DIV/0!</v>
      </c>
      <c r="CS69" s="2" t="e">
        <f t="shared" si="56"/>
        <v>#DIV/0!</v>
      </c>
      <c r="CT69" s="2" t="e">
        <f t="shared" si="93"/>
        <v>#DIV/0!</v>
      </c>
      <c r="CU69" s="2" t="e">
        <f t="shared" si="94"/>
        <v>#DIV/0!</v>
      </c>
      <c r="CV69" s="2" t="e">
        <f t="shared" si="95"/>
        <v>#DIV/0!</v>
      </c>
    </row>
    <row r="70" spans="1:100" x14ac:dyDescent="0.2">
      <c r="A70" s="2">
        <f t="shared" si="57"/>
        <v>1.8333333333333326</v>
      </c>
      <c r="B70" s="2">
        <f t="shared" si="58"/>
        <v>0.15987974607969402</v>
      </c>
      <c r="C70" s="2">
        <f t="shared" si="96"/>
        <v>0.15987974607969402</v>
      </c>
      <c r="D70" s="2">
        <f t="shared" si="96"/>
        <v>0.15987974607969402</v>
      </c>
      <c r="E70" s="8">
        <f t="shared" si="60"/>
        <v>0.15987974607969402</v>
      </c>
      <c r="F70" s="2">
        <f t="shared" si="61"/>
        <v>0.15987974607969402</v>
      </c>
      <c r="G70" s="2">
        <f t="shared" si="62"/>
        <v>0.15987974607969402</v>
      </c>
      <c r="K70" s="8" t="e">
        <f t="shared" si="63"/>
        <v>#DIV/0!</v>
      </c>
      <c r="L70" s="2" t="e">
        <f t="shared" si="64"/>
        <v>#DIV/0!</v>
      </c>
      <c r="M70" s="2" t="e">
        <f t="shared" si="65"/>
        <v>#DIV/0!</v>
      </c>
      <c r="Q70" s="8">
        <f t="shared" si="66"/>
        <v>0.27221228880193415</v>
      </c>
      <c r="R70" s="2">
        <f t="shared" si="67"/>
        <v>0.27221228880193415</v>
      </c>
      <c r="S70" s="2">
        <f t="shared" si="68"/>
        <v>0.27221228880193415</v>
      </c>
      <c r="W70" s="8">
        <f t="shared" si="69"/>
        <v>0.35294117647058831</v>
      </c>
      <c r="X70" s="2">
        <f t="shared" si="70"/>
        <v>0.35294117647058831</v>
      </c>
      <c r="Y70" s="2">
        <f t="shared" si="71"/>
        <v>0.35294117647058831</v>
      </c>
      <c r="AC70" s="8">
        <f t="shared" si="72"/>
        <v>0.15987974607969402</v>
      </c>
      <c r="AD70" s="2">
        <f t="shared" si="73"/>
        <v>0.15987974607969402</v>
      </c>
      <c r="AE70" s="2">
        <f t="shared" si="74"/>
        <v>0.15987974607969402</v>
      </c>
      <c r="AI70" s="8">
        <f t="shared" si="75"/>
        <v>0.27221228880193415</v>
      </c>
      <c r="AJ70" s="2">
        <f t="shared" si="76"/>
        <v>0.27221228880193415</v>
      </c>
      <c r="AK70" s="2">
        <f t="shared" si="77"/>
        <v>0.27221228880193415</v>
      </c>
      <c r="AR70" s="8" t="e">
        <f t="shared" si="39"/>
        <v>#DIV/0!</v>
      </c>
      <c r="AS70" s="2" t="e">
        <f t="shared" si="40"/>
        <v>#DIV/0!</v>
      </c>
      <c r="AT70" s="2" t="e">
        <f t="shared" si="41"/>
        <v>#DIV/0!</v>
      </c>
      <c r="AU70" s="2" t="e">
        <f t="shared" si="78"/>
        <v>#DIV/0!</v>
      </c>
      <c r="AV70" s="2" t="e">
        <f t="shared" si="79"/>
        <v>#DIV/0!</v>
      </c>
      <c r="AW70" s="2" t="e">
        <f t="shared" si="80"/>
        <v>#DIV/0!</v>
      </c>
      <c r="BA70" s="8" t="e">
        <f t="shared" si="42"/>
        <v>#DIV/0!</v>
      </c>
      <c r="BB70" s="2" t="e">
        <f t="shared" si="43"/>
        <v>#DIV/0!</v>
      </c>
      <c r="BC70" s="2" t="e">
        <f t="shared" si="44"/>
        <v>#DIV/0!</v>
      </c>
      <c r="BD70" s="2" t="e">
        <f t="shared" si="81"/>
        <v>#DIV/0!</v>
      </c>
      <c r="BE70" s="2" t="e">
        <f t="shared" si="82"/>
        <v>#DIV/0!</v>
      </c>
      <c r="BF70" s="2" t="e">
        <f t="shared" si="83"/>
        <v>#DIV/0!</v>
      </c>
      <c r="BJ70" s="8" t="e">
        <f t="shared" si="45"/>
        <v>#DIV/0!</v>
      </c>
      <c r="BK70" s="2" t="e">
        <f t="shared" si="46"/>
        <v>#DIV/0!</v>
      </c>
      <c r="BL70" s="2" t="e">
        <f t="shared" si="47"/>
        <v>#DIV/0!</v>
      </c>
      <c r="BM70" s="2" t="e">
        <f t="shared" si="84"/>
        <v>#DIV/0!</v>
      </c>
      <c r="BN70" s="2" t="e">
        <f t="shared" si="85"/>
        <v>#DIV/0!</v>
      </c>
      <c r="BO70" s="2" t="e">
        <f t="shared" si="86"/>
        <v>#DIV/0!</v>
      </c>
      <c r="BS70" s="8" t="e">
        <f t="shared" si="48"/>
        <v>#DIV/0!</v>
      </c>
      <c r="BT70" s="2" t="e">
        <f t="shared" si="49"/>
        <v>#DIV/0!</v>
      </c>
      <c r="BU70" s="2" t="e">
        <f t="shared" si="50"/>
        <v>#DIV/0!</v>
      </c>
      <c r="BV70" s="2" t="e">
        <f t="shared" si="87"/>
        <v>#DIV/0!</v>
      </c>
      <c r="BW70" s="2" t="e">
        <f t="shared" si="88"/>
        <v>#DIV/0!</v>
      </c>
      <c r="BX70" s="2" t="e">
        <f t="shared" si="89"/>
        <v>#DIV/0!</v>
      </c>
      <c r="CE70" s="8" t="e">
        <f t="shared" si="51"/>
        <v>#DIV/0!</v>
      </c>
      <c r="CF70" s="2" t="e">
        <f t="shared" si="52"/>
        <v>#DIV/0!</v>
      </c>
      <c r="CG70" s="2" t="e">
        <f t="shared" si="53"/>
        <v>#DIV/0!</v>
      </c>
      <c r="CH70" s="2" t="e">
        <f t="shared" si="90"/>
        <v>#DIV/0!</v>
      </c>
      <c r="CI70" s="2" t="e">
        <f t="shared" si="91"/>
        <v>#DIV/0!</v>
      </c>
      <c r="CJ70" s="2" t="e">
        <f t="shared" si="92"/>
        <v>#DIV/0!</v>
      </c>
      <c r="CQ70" s="8" t="e">
        <f t="shared" si="54"/>
        <v>#DIV/0!</v>
      </c>
      <c r="CR70" s="2" t="e">
        <f t="shared" si="55"/>
        <v>#DIV/0!</v>
      </c>
      <c r="CS70" s="2" t="e">
        <f t="shared" si="56"/>
        <v>#DIV/0!</v>
      </c>
      <c r="CT70" s="2" t="e">
        <f t="shared" si="93"/>
        <v>#DIV/0!</v>
      </c>
      <c r="CU70" s="2" t="e">
        <f t="shared" si="94"/>
        <v>#DIV/0!</v>
      </c>
      <c r="CV70" s="2" t="e">
        <f t="shared" si="95"/>
        <v>#DIV/0!</v>
      </c>
    </row>
    <row r="71" spans="1:100" x14ac:dyDescent="0.2">
      <c r="A71" s="2">
        <f t="shared" si="57"/>
        <v>1.9166666666666659</v>
      </c>
      <c r="B71" s="2">
        <f t="shared" si="58"/>
        <v>0.14709646739297694</v>
      </c>
      <c r="C71" s="2">
        <f t="shared" si="96"/>
        <v>0.14709646739297694</v>
      </c>
      <c r="D71" s="2">
        <f t="shared" si="96"/>
        <v>0.14709646739297694</v>
      </c>
      <c r="E71" s="8">
        <f t="shared" si="60"/>
        <v>0.14709646739297694</v>
      </c>
      <c r="F71" s="2">
        <f t="shared" si="61"/>
        <v>0.14709646739297694</v>
      </c>
      <c r="G71" s="2">
        <f t="shared" si="62"/>
        <v>0.14709646739297694</v>
      </c>
      <c r="K71" s="8" t="e">
        <f t="shared" si="63"/>
        <v>#DIV/0!</v>
      </c>
      <c r="L71" s="2" t="e">
        <f t="shared" si="64"/>
        <v>#DIV/0!</v>
      </c>
      <c r="M71" s="2" t="e">
        <f t="shared" si="65"/>
        <v>#DIV/0!</v>
      </c>
      <c r="Q71" s="8">
        <f t="shared" si="66"/>
        <v>0.25765637942693465</v>
      </c>
      <c r="R71" s="2">
        <f t="shared" si="67"/>
        <v>0.25765637942693465</v>
      </c>
      <c r="S71" s="2">
        <f t="shared" si="68"/>
        <v>0.25765637942693465</v>
      </c>
      <c r="W71" s="8">
        <f t="shared" si="69"/>
        <v>0.34285714285714286</v>
      </c>
      <c r="X71" s="2">
        <f t="shared" si="70"/>
        <v>0.34285714285714286</v>
      </c>
      <c r="Y71" s="2">
        <f t="shared" si="71"/>
        <v>0.34285714285714286</v>
      </c>
      <c r="AC71" s="8">
        <f t="shared" si="72"/>
        <v>0.14709646739297688</v>
      </c>
      <c r="AD71" s="2">
        <f t="shared" si="73"/>
        <v>0.14709646739297688</v>
      </c>
      <c r="AE71" s="2">
        <f t="shared" si="74"/>
        <v>0.14709646739297688</v>
      </c>
      <c r="AI71" s="8">
        <f t="shared" si="75"/>
        <v>0.25765637942693465</v>
      </c>
      <c r="AJ71" s="2">
        <f t="shared" si="76"/>
        <v>0.25765637942693465</v>
      </c>
      <c r="AK71" s="2">
        <f t="shared" si="77"/>
        <v>0.25765637942693465</v>
      </c>
      <c r="AR71" s="8" t="e">
        <f t="shared" si="39"/>
        <v>#DIV/0!</v>
      </c>
      <c r="AS71" s="2" t="e">
        <f t="shared" si="40"/>
        <v>#DIV/0!</v>
      </c>
      <c r="AT71" s="2" t="e">
        <f t="shared" si="41"/>
        <v>#DIV/0!</v>
      </c>
      <c r="AU71" s="2" t="e">
        <f t="shared" si="78"/>
        <v>#DIV/0!</v>
      </c>
      <c r="AV71" s="2" t="e">
        <f t="shared" si="79"/>
        <v>#DIV/0!</v>
      </c>
      <c r="AW71" s="2" t="e">
        <f t="shared" si="80"/>
        <v>#DIV/0!</v>
      </c>
      <c r="BA71" s="8" t="e">
        <f t="shared" si="42"/>
        <v>#DIV/0!</v>
      </c>
      <c r="BB71" s="2" t="e">
        <f t="shared" si="43"/>
        <v>#DIV/0!</v>
      </c>
      <c r="BC71" s="2" t="e">
        <f t="shared" si="44"/>
        <v>#DIV/0!</v>
      </c>
      <c r="BD71" s="2" t="e">
        <f t="shared" si="81"/>
        <v>#DIV/0!</v>
      </c>
      <c r="BE71" s="2" t="e">
        <f t="shared" si="82"/>
        <v>#DIV/0!</v>
      </c>
      <c r="BF71" s="2" t="e">
        <f t="shared" si="83"/>
        <v>#DIV/0!</v>
      </c>
      <c r="BJ71" s="8" t="e">
        <f t="shared" si="45"/>
        <v>#DIV/0!</v>
      </c>
      <c r="BK71" s="2" t="e">
        <f t="shared" si="46"/>
        <v>#DIV/0!</v>
      </c>
      <c r="BL71" s="2" t="e">
        <f t="shared" si="47"/>
        <v>#DIV/0!</v>
      </c>
      <c r="BM71" s="2" t="e">
        <f t="shared" si="84"/>
        <v>#DIV/0!</v>
      </c>
      <c r="BN71" s="2" t="e">
        <f t="shared" si="85"/>
        <v>#DIV/0!</v>
      </c>
      <c r="BO71" s="2" t="e">
        <f t="shared" si="86"/>
        <v>#DIV/0!</v>
      </c>
      <c r="BS71" s="8" t="e">
        <f t="shared" si="48"/>
        <v>#DIV/0!</v>
      </c>
      <c r="BT71" s="2" t="e">
        <f t="shared" si="49"/>
        <v>#DIV/0!</v>
      </c>
      <c r="BU71" s="2" t="e">
        <f t="shared" si="50"/>
        <v>#DIV/0!</v>
      </c>
      <c r="BV71" s="2" t="e">
        <f t="shared" si="87"/>
        <v>#DIV/0!</v>
      </c>
      <c r="BW71" s="2" t="e">
        <f t="shared" si="88"/>
        <v>#DIV/0!</v>
      </c>
      <c r="BX71" s="2" t="e">
        <f t="shared" si="89"/>
        <v>#DIV/0!</v>
      </c>
      <c r="CE71" s="8" t="e">
        <f t="shared" si="51"/>
        <v>#DIV/0!</v>
      </c>
      <c r="CF71" s="2" t="e">
        <f t="shared" si="52"/>
        <v>#DIV/0!</v>
      </c>
      <c r="CG71" s="2" t="e">
        <f t="shared" si="53"/>
        <v>#DIV/0!</v>
      </c>
      <c r="CH71" s="2" t="e">
        <f t="shared" si="90"/>
        <v>#DIV/0!</v>
      </c>
      <c r="CI71" s="2" t="e">
        <f t="shared" si="91"/>
        <v>#DIV/0!</v>
      </c>
      <c r="CJ71" s="2" t="e">
        <f t="shared" si="92"/>
        <v>#DIV/0!</v>
      </c>
      <c r="CQ71" s="8" t="e">
        <f t="shared" si="54"/>
        <v>#DIV/0!</v>
      </c>
      <c r="CR71" s="2" t="e">
        <f t="shared" si="55"/>
        <v>#DIV/0!</v>
      </c>
      <c r="CS71" s="2" t="e">
        <f t="shared" si="56"/>
        <v>#DIV/0!</v>
      </c>
      <c r="CT71" s="2" t="e">
        <f t="shared" si="93"/>
        <v>#DIV/0!</v>
      </c>
      <c r="CU71" s="2" t="e">
        <f t="shared" si="94"/>
        <v>#DIV/0!</v>
      </c>
      <c r="CV71" s="2" t="e">
        <f t="shared" si="95"/>
        <v>#DIV/0!</v>
      </c>
    </row>
    <row r="72" spans="1:100" x14ac:dyDescent="0.2">
      <c r="A72" s="2">
        <f t="shared" si="57"/>
        <v>1.9999999999999991</v>
      </c>
      <c r="B72" s="2">
        <f t="shared" si="58"/>
        <v>0.13533528323661281</v>
      </c>
      <c r="C72" s="2">
        <f t="shared" si="96"/>
        <v>0.13533528323661281</v>
      </c>
      <c r="D72" s="2">
        <f t="shared" si="96"/>
        <v>0.13533528323661281</v>
      </c>
      <c r="E72" s="8">
        <f t="shared" si="60"/>
        <v>0.13533528323661281</v>
      </c>
      <c r="F72" s="2">
        <f t="shared" si="61"/>
        <v>0.13533528323661281</v>
      </c>
      <c r="G72" s="2">
        <f t="shared" si="62"/>
        <v>0.13533528323661281</v>
      </c>
      <c r="K72" s="8" t="e">
        <f t="shared" si="63"/>
        <v>#DIV/0!</v>
      </c>
      <c r="L72" s="2" t="e">
        <f t="shared" si="64"/>
        <v>#DIV/0!</v>
      </c>
      <c r="M72" s="2" t="e">
        <f t="shared" si="65"/>
        <v>#DIV/0!</v>
      </c>
      <c r="Q72" s="8">
        <f t="shared" si="66"/>
        <v>0.24410859578558286</v>
      </c>
      <c r="R72" s="2">
        <f t="shared" si="67"/>
        <v>0.24410859578558286</v>
      </c>
      <c r="S72" s="2">
        <f t="shared" si="68"/>
        <v>0.24410859578558286</v>
      </c>
      <c r="W72" s="8">
        <f t="shared" si="69"/>
        <v>0.33333333333333348</v>
      </c>
      <c r="X72" s="2">
        <f t="shared" si="70"/>
        <v>0.33333333333333348</v>
      </c>
      <c r="Y72" s="2">
        <f t="shared" si="71"/>
        <v>0.33333333333333348</v>
      </c>
      <c r="AC72" s="8">
        <f t="shared" si="72"/>
        <v>0.13533528323661281</v>
      </c>
      <c r="AD72" s="2">
        <f t="shared" si="73"/>
        <v>0.13533528323661281</v>
      </c>
      <c r="AE72" s="2">
        <f t="shared" si="74"/>
        <v>0.13533528323661281</v>
      </c>
      <c r="AI72" s="8">
        <f t="shared" si="75"/>
        <v>0.24410859578558286</v>
      </c>
      <c r="AJ72" s="2">
        <f t="shared" si="76"/>
        <v>0.24410859578558286</v>
      </c>
      <c r="AK72" s="2">
        <f t="shared" si="77"/>
        <v>0.24410859578558286</v>
      </c>
      <c r="AR72" s="8" t="e">
        <f t="shared" si="39"/>
        <v>#DIV/0!</v>
      </c>
      <c r="AS72" s="2" t="e">
        <f t="shared" si="40"/>
        <v>#DIV/0!</v>
      </c>
      <c r="AT72" s="2" t="e">
        <f t="shared" si="41"/>
        <v>#DIV/0!</v>
      </c>
      <c r="AU72" s="2" t="e">
        <f t="shared" si="78"/>
        <v>#DIV/0!</v>
      </c>
      <c r="AV72" s="2" t="e">
        <f t="shared" si="79"/>
        <v>#DIV/0!</v>
      </c>
      <c r="AW72" s="2" t="e">
        <f t="shared" si="80"/>
        <v>#DIV/0!</v>
      </c>
      <c r="BA72" s="8" t="e">
        <f t="shared" si="42"/>
        <v>#DIV/0!</v>
      </c>
      <c r="BB72" s="2" t="e">
        <f t="shared" si="43"/>
        <v>#DIV/0!</v>
      </c>
      <c r="BC72" s="2" t="e">
        <f t="shared" si="44"/>
        <v>#DIV/0!</v>
      </c>
      <c r="BD72" s="2" t="e">
        <f t="shared" si="81"/>
        <v>#DIV/0!</v>
      </c>
      <c r="BE72" s="2" t="e">
        <f t="shared" si="82"/>
        <v>#DIV/0!</v>
      </c>
      <c r="BF72" s="2" t="e">
        <f t="shared" si="83"/>
        <v>#DIV/0!</v>
      </c>
      <c r="BJ72" s="8" t="e">
        <f t="shared" si="45"/>
        <v>#DIV/0!</v>
      </c>
      <c r="BK72" s="2" t="e">
        <f t="shared" si="46"/>
        <v>#DIV/0!</v>
      </c>
      <c r="BL72" s="2" t="e">
        <f t="shared" si="47"/>
        <v>#DIV/0!</v>
      </c>
      <c r="BM72" s="2" t="e">
        <f t="shared" si="84"/>
        <v>#DIV/0!</v>
      </c>
      <c r="BN72" s="2" t="e">
        <f t="shared" si="85"/>
        <v>#DIV/0!</v>
      </c>
      <c r="BO72" s="2" t="e">
        <f t="shared" si="86"/>
        <v>#DIV/0!</v>
      </c>
      <c r="BS72" s="8" t="e">
        <f t="shared" si="48"/>
        <v>#DIV/0!</v>
      </c>
      <c r="BT72" s="2" t="e">
        <f t="shared" si="49"/>
        <v>#DIV/0!</v>
      </c>
      <c r="BU72" s="2" t="e">
        <f t="shared" si="50"/>
        <v>#DIV/0!</v>
      </c>
      <c r="BV72" s="2" t="e">
        <f t="shared" si="87"/>
        <v>#DIV/0!</v>
      </c>
      <c r="BW72" s="2" t="e">
        <f t="shared" si="88"/>
        <v>#DIV/0!</v>
      </c>
      <c r="BX72" s="2" t="e">
        <f t="shared" si="89"/>
        <v>#DIV/0!</v>
      </c>
      <c r="CE72" s="8" t="e">
        <f t="shared" si="51"/>
        <v>#DIV/0!</v>
      </c>
      <c r="CF72" s="2" t="e">
        <f t="shared" si="52"/>
        <v>#DIV/0!</v>
      </c>
      <c r="CG72" s="2" t="e">
        <f t="shared" si="53"/>
        <v>#DIV/0!</v>
      </c>
      <c r="CH72" s="2" t="e">
        <f t="shared" si="90"/>
        <v>#DIV/0!</v>
      </c>
      <c r="CI72" s="2" t="e">
        <f t="shared" si="91"/>
        <v>#DIV/0!</v>
      </c>
      <c r="CJ72" s="2" t="e">
        <f t="shared" si="92"/>
        <v>#DIV/0!</v>
      </c>
      <c r="CQ72" s="8" t="e">
        <f t="shared" si="54"/>
        <v>#DIV/0!</v>
      </c>
      <c r="CR72" s="2" t="e">
        <f t="shared" si="55"/>
        <v>#DIV/0!</v>
      </c>
      <c r="CS72" s="2" t="e">
        <f t="shared" si="56"/>
        <v>#DIV/0!</v>
      </c>
      <c r="CT72" s="2" t="e">
        <f t="shared" si="93"/>
        <v>#DIV/0!</v>
      </c>
      <c r="CU72" s="2" t="e">
        <f t="shared" si="94"/>
        <v>#DIV/0!</v>
      </c>
      <c r="CV72" s="2" t="e">
        <f t="shared" si="95"/>
        <v>#DIV/0!</v>
      </c>
    </row>
    <row r="73" spans="1:100" x14ac:dyDescent="0.2">
      <c r="A73" s="2">
        <f t="shared" si="57"/>
        <v>2.0833333333333326</v>
      </c>
      <c r="B73" s="2">
        <f t="shared" si="58"/>
        <v>0.12451447144412307</v>
      </c>
      <c r="C73" s="2">
        <f t="shared" si="96"/>
        <v>0.12451447144412307</v>
      </c>
      <c r="D73" s="2">
        <f t="shared" si="96"/>
        <v>0.12451447144412307</v>
      </c>
      <c r="E73" s="8">
        <f t="shared" si="60"/>
        <v>0.12451447144412307</v>
      </c>
      <c r="F73" s="2">
        <f t="shared" si="61"/>
        <v>0.12451447144412307</v>
      </c>
      <c r="G73" s="2">
        <f t="shared" si="62"/>
        <v>0.12451447144412307</v>
      </c>
      <c r="K73" s="8" t="e">
        <f t="shared" si="63"/>
        <v>#DIV/0!</v>
      </c>
      <c r="L73" s="2" t="e">
        <f t="shared" si="64"/>
        <v>#DIV/0!</v>
      </c>
      <c r="M73" s="2" t="e">
        <f t="shared" si="65"/>
        <v>#DIV/0!</v>
      </c>
      <c r="Q73" s="8">
        <f t="shared" si="66"/>
        <v>0.23148376254423575</v>
      </c>
      <c r="R73" s="2">
        <f t="shared" si="67"/>
        <v>0.23148376254423575</v>
      </c>
      <c r="S73" s="2">
        <f t="shared" si="68"/>
        <v>0.23148376254423575</v>
      </c>
      <c r="W73" s="8">
        <f t="shared" si="69"/>
        <v>0.32432432432432445</v>
      </c>
      <c r="X73" s="2">
        <f t="shared" si="70"/>
        <v>0.32432432432432445</v>
      </c>
      <c r="Y73" s="2">
        <f t="shared" si="71"/>
        <v>0.32432432432432445</v>
      </c>
      <c r="AC73" s="8">
        <f t="shared" si="72"/>
        <v>0.12451447144412309</v>
      </c>
      <c r="AD73" s="2">
        <f t="shared" si="73"/>
        <v>0.12451447144412309</v>
      </c>
      <c r="AE73" s="2">
        <f t="shared" si="74"/>
        <v>0.12451447144412309</v>
      </c>
      <c r="AI73" s="8">
        <f t="shared" si="75"/>
        <v>0.23148376254423575</v>
      </c>
      <c r="AJ73" s="2">
        <f t="shared" si="76"/>
        <v>0.23148376254423575</v>
      </c>
      <c r="AK73" s="2">
        <f t="shared" si="77"/>
        <v>0.23148376254423575</v>
      </c>
      <c r="AR73" s="8" t="e">
        <f t="shared" si="39"/>
        <v>#DIV/0!</v>
      </c>
      <c r="AS73" s="2" t="e">
        <f t="shared" si="40"/>
        <v>#DIV/0!</v>
      </c>
      <c r="AT73" s="2" t="e">
        <f t="shared" si="41"/>
        <v>#DIV/0!</v>
      </c>
      <c r="AU73" s="2" t="e">
        <f t="shared" si="78"/>
        <v>#DIV/0!</v>
      </c>
      <c r="AV73" s="2" t="e">
        <f t="shared" si="79"/>
        <v>#DIV/0!</v>
      </c>
      <c r="AW73" s="2" t="e">
        <f t="shared" si="80"/>
        <v>#DIV/0!</v>
      </c>
      <c r="BA73" s="8" t="e">
        <f t="shared" si="42"/>
        <v>#DIV/0!</v>
      </c>
      <c r="BB73" s="2" t="e">
        <f t="shared" si="43"/>
        <v>#DIV/0!</v>
      </c>
      <c r="BC73" s="2" t="e">
        <f t="shared" si="44"/>
        <v>#DIV/0!</v>
      </c>
      <c r="BD73" s="2" t="e">
        <f t="shared" si="81"/>
        <v>#DIV/0!</v>
      </c>
      <c r="BE73" s="2" t="e">
        <f t="shared" si="82"/>
        <v>#DIV/0!</v>
      </c>
      <c r="BF73" s="2" t="e">
        <f t="shared" si="83"/>
        <v>#DIV/0!</v>
      </c>
      <c r="BJ73" s="8" t="e">
        <f t="shared" si="45"/>
        <v>#DIV/0!</v>
      </c>
      <c r="BK73" s="2" t="e">
        <f t="shared" si="46"/>
        <v>#DIV/0!</v>
      </c>
      <c r="BL73" s="2" t="e">
        <f t="shared" si="47"/>
        <v>#DIV/0!</v>
      </c>
      <c r="BM73" s="2" t="e">
        <f t="shared" si="84"/>
        <v>#DIV/0!</v>
      </c>
      <c r="BN73" s="2" t="e">
        <f t="shared" si="85"/>
        <v>#DIV/0!</v>
      </c>
      <c r="BO73" s="2" t="e">
        <f t="shared" si="86"/>
        <v>#DIV/0!</v>
      </c>
      <c r="BS73" s="8" t="e">
        <f t="shared" si="48"/>
        <v>#DIV/0!</v>
      </c>
      <c r="BT73" s="2" t="e">
        <f t="shared" si="49"/>
        <v>#DIV/0!</v>
      </c>
      <c r="BU73" s="2" t="e">
        <f t="shared" si="50"/>
        <v>#DIV/0!</v>
      </c>
      <c r="BV73" s="2" t="e">
        <f t="shared" si="87"/>
        <v>#DIV/0!</v>
      </c>
      <c r="BW73" s="2" t="e">
        <f t="shared" si="88"/>
        <v>#DIV/0!</v>
      </c>
      <c r="BX73" s="2" t="e">
        <f t="shared" si="89"/>
        <v>#DIV/0!</v>
      </c>
      <c r="CE73" s="8" t="e">
        <f t="shared" si="51"/>
        <v>#DIV/0!</v>
      </c>
      <c r="CF73" s="2" t="e">
        <f t="shared" si="52"/>
        <v>#DIV/0!</v>
      </c>
      <c r="CG73" s="2" t="e">
        <f t="shared" si="53"/>
        <v>#DIV/0!</v>
      </c>
      <c r="CH73" s="2" t="e">
        <f t="shared" si="90"/>
        <v>#DIV/0!</v>
      </c>
      <c r="CI73" s="2" t="e">
        <f t="shared" si="91"/>
        <v>#DIV/0!</v>
      </c>
      <c r="CJ73" s="2" t="e">
        <f t="shared" si="92"/>
        <v>#DIV/0!</v>
      </c>
      <c r="CQ73" s="8" t="e">
        <f t="shared" si="54"/>
        <v>#DIV/0!</v>
      </c>
      <c r="CR73" s="2" t="e">
        <f t="shared" si="55"/>
        <v>#DIV/0!</v>
      </c>
      <c r="CS73" s="2" t="e">
        <f t="shared" si="56"/>
        <v>#DIV/0!</v>
      </c>
      <c r="CT73" s="2" t="e">
        <f t="shared" si="93"/>
        <v>#DIV/0!</v>
      </c>
      <c r="CU73" s="2" t="e">
        <f t="shared" si="94"/>
        <v>#DIV/0!</v>
      </c>
      <c r="CV73" s="2" t="e">
        <f t="shared" si="95"/>
        <v>#DIV/0!</v>
      </c>
    </row>
    <row r="74" spans="1:100" x14ac:dyDescent="0.2">
      <c r="A74" s="2">
        <f t="shared" si="57"/>
        <v>2.1666666666666661</v>
      </c>
      <c r="B74" s="2">
        <f t="shared" si="58"/>
        <v>0.11455884399268779</v>
      </c>
      <c r="C74" s="2">
        <f t="shared" si="96"/>
        <v>0.11455884399268779</v>
      </c>
      <c r="D74" s="2">
        <f t="shared" si="96"/>
        <v>0.11455884399268779</v>
      </c>
      <c r="E74" s="8">
        <f t="shared" si="60"/>
        <v>0.11455884399268779</v>
      </c>
      <c r="F74" s="2">
        <f t="shared" si="61"/>
        <v>0.11455884399268779</v>
      </c>
      <c r="G74" s="2">
        <f t="shared" si="62"/>
        <v>0.11455884399268779</v>
      </c>
      <c r="K74" s="8" t="e">
        <f t="shared" si="63"/>
        <v>#DIV/0!</v>
      </c>
      <c r="L74" s="2" t="e">
        <f t="shared" si="64"/>
        <v>#DIV/0!</v>
      </c>
      <c r="M74" s="2" t="e">
        <f t="shared" si="65"/>
        <v>#DIV/0!</v>
      </c>
      <c r="Q74" s="8">
        <f t="shared" si="66"/>
        <v>0.21970500479146426</v>
      </c>
      <c r="R74" s="2">
        <f t="shared" si="67"/>
        <v>0.21970500479146426</v>
      </c>
      <c r="S74" s="2">
        <f t="shared" si="68"/>
        <v>0.21970500479146426</v>
      </c>
      <c r="W74" s="8">
        <f t="shared" si="69"/>
        <v>0.31578947368421062</v>
      </c>
      <c r="X74" s="2">
        <f t="shared" si="70"/>
        <v>0.31578947368421062</v>
      </c>
      <c r="Y74" s="2">
        <f t="shared" si="71"/>
        <v>0.31578947368421062</v>
      </c>
      <c r="AC74" s="8">
        <f t="shared" si="72"/>
        <v>0.11455884399268779</v>
      </c>
      <c r="AD74" s="2">
        <f t="shared" si="73"/>
        <v>0.11455884399268779</v>
      </c>
      <c r="AE74" s="2">
        <f t="shared" si="74"/>
        <v>0.11455884399268779</v>
      </c>
      <c r="AI74" s="8">
        <f t="shared" si="75"/>
        <v>0.21970500479146426</v>
      </c>
      <c r="AJ74" s="2">
        <f t="shared" si="76"/>
        <v>0.21970500479146426</v>
      </c>
      <c r="AK74" s="2">
        <f t="shared" si="77"/>
        <v>0.21970500479146426</v>
      </c>
      <c r="AR74" s="8" t="e">
        <f t="shared" si="39"/>
        <v>#DIV/0!</v>
      </c>
      <c r="AS74" s="2" t="e">
        <f t="shared" si="40"/>
        <v>#DIV/0!</v>
      </c>
      <c r="AT74" s="2" t="e">
        <f t="shared" si="41"/>
        <v>#DIV/0!</v>
      </c>
      <c r="AU74" s="2" t="e">
        <f t="shared" si="78"/>
        <v>#DIV/0!</v>
      </c>
      <c r="AV74" s="2" t="e">
        <f t="shared" si="79"/>
        <v>#DIV/0!</v>
      </c>
      <c r="AW74" s="2" t="e">
        <f t="shared" si="80"/>
        <v>#DIV/0!</v>
      </c>
      <c r="BA74" s="8" t="e">
        <f t="shared" si="42"/>
        <v>#DIV/0!</v>
      </c>
      <c r="BB74" s="2" t="e">
        <f t="shared" si="43"/>
        <v>#DIV/0!</v>
      </c>
      <c r="BC74" s="2" t="e">
        <f t="shared" si="44"/>
        <v>#DIV/0!</v>
      </c>
      <c r="BD74" s="2" t="e">
        <f t="shared" si="81"/>
        <v>#DIV/0!</v>
      </c>
      <c r="BE74" s="2" t="e">
        <f t="shared" si="82"/>
        <v>#DIV/0!</v>
      </c>
      <c r="BF74" s="2" t="e">
        <f t="shared" si="83"/>
        <v>#DIV/0!</v>
      </c>
      <c r="BJ74" s="8" t="e">
        <f t="shared" si="45"/>
        <v>#DIV/0!</v>
      </c>
      <c r="BK74" s="2" t="e">
        <f t="shared" si="46"/>
        <v>#DIV/0!</v>
      </c>
      <c r="BL74" s="2" t="e">
        <f t="shared" si="47"/>
        <v>#DIV/0!</v>
      </c>
      <c r="BM74" s="2" t="e">
        <f t="shared" si="84"/>
        <v>#DIV/0!</v>
      </c>
      <c r="BN74" s="2" t="e">
        <f t="shared" si="85"/>
        <v>#DIV/0!</v>
      </c>
      <c r="BO74" s="2" t="e">
        <f t="shared" si="86"/>
        <v>#DIV/0!</v>
      </c>
      <c r="BS74" s="8" t="e">
        <f t="shared" si="48"/>
        <v>#DIV/0!</v>
      </c>
      <c r="BT74" s="2" t="e">
        <f t="shared" si="49"/>
        <v>#DIV/0!</v>
      </c>
      <c r="BU74" s="2" t="e">
        <f t="shared" si="50"/>
        <v>#DIV/0!</v>
      </c>
      <c r="BV74" s="2" t="e">
        <f t="shared" si="87"/>
        <v>#DIV/0!</v>
      </c>
      <c r="BW74" s="2" t="e">
        <f t="shared" si="88"/>
        <v>#DIV/0!</v>
      </c>
      <c r="BX74" s="2" t="e">
        <f t="shared" si="89"/>
        <v>#DIV/0!</v>
      </c>
      <c r="CE74" s="8" t="e">
        <f t="shared" si="51"/>
        <v>#DIV/0!</v>
      </c>
      <c r="CF74" s="2" t="e">
        <f t="shared" si="52"/>
        <v>#DIV/0!</v>
      </c>
      <c r="CG74" s="2" t="e">
        <f t="shared" si="53"/>
        <v>#DIV/0!</v>
      </c>
      <c r="CH74" s="2" t="e">
        <f t="shared" si="90"/>
        <v>#DIV/0!</v>
      </c>
      <c r="CI74" s="2" t="e">
        <f t="shared" si="91"/>
        <v>#DIV/0!</v>
      </c>
      <c r="CJ74" s="2" t="e">
        <f t="shared" si="92"/>
        <v>#DIV/0!</v>
      </c>
      <c r="CQ74" s="8" t="e">
        <f t="shared" si="54"/>
        <v>#DIV/0!</v>
      </c>
      <c r="CR74" s="2" t="e">
        <f t="shared" si="55"/>
        <v>#DIV/0!</v>
      </c>
      <c r="CS74" s="2" t="e">
        <f t="shared" si="56"/>
        <v>#DIV/0!</v>
      </c>
      <c r="CT74" s="2" t="e">
        <f t="shared" si="93"/>
        <v>#DIV/0!</v>
      </c>
      <c r="CU74" s="2" t="e">
        <f t="shared" si="94"/>
        <v>#DIV/0!</v>
      </c>
      <c r="CV74" s="2" t="e">
        <f t="shared" si="95"/>
        <v>#DIV/0!</v>
      </c>
    </row>
    <row r="75" spans="1:100" x14ac:dyDescent="0.2">
      <c r="A75" s="2">
        <f t="shared" si="57"/>
        <v>2.2499999999999996</v>
      </c>
      <c r="B75" s="2">
        <f t="shared" si="58"/>
        <v>0.10539922456186439</v>
      </c>
      <c r="C75" s="2">
        <f t="shared" si="96"/>
        <v>0.10539922456186439</v>
      </c>
      <c r="D75" s="2">
        <f t="shared" si="96"/>
        <v>0.10539922456186439</v>
      </c>
      <c r="E75" s="8">
        <f t="shared" si="60"/>
        <v>0.10539922456186439</v>
      </c>
      <c r="F75" s="2">
        <f t="shared" si="61"/>
        <v>0.10539922456186439</v>
      </c>
      <c r="G75" s="2">
        <f t="shared" si="62"/>
        <v>0.10539922456186439</v>
      </c>
      <c r="K75" s="8" t="e">
        <f t="shared" si="63"/>
        <v>#DIV/0!</v>
      </c>
      <c r="L75" s="2" t="e">
        <f t="shared" si="64"/>
        <v>#DIV/0!</v>
      </c>
      <c r="M75" s="2" t="e">
        <f t="shared" si="65"/>
        <v>#DIV/0!</v>
      </c>
      <c r="Q75" s="8">
        <f t="shared" si="66"/>
        <v>0.20870287338447135</v>
      </c>
      <c r="R75" s="2">
        <f t="shared" si="67"/>
        <v>0.20870287338447135</v>
      </c>
      <c r="S75" s="2">
        <f t="shared" si="68"/>
        <v>0.20870287338447135</v>
      </c>
      <c r="W75" s="8">
        <f t="shared" si="69"/>
        <v>0.30769230769230782</v>
      </c>
      <c r="X75" s="2">
        <f t="shared" si="70"/>
        <v>0.30769230769230782</v>
      </c>
      <c r="Y75" s="2">
        <f t="shared" si="71"/>
        <v>0.30769230769230782</v>
      </c>
      <c r="AC75" s="8">
        <f t="shared" si="72"/>
        <v>0.10539922456186435</v>
      </c>
      <c r="AD75" s="2">
        <f t="shared" si="73"/>
        <v>0.10539922456186435</v>
      </c>
      <c r="AE75" s="2">
        <f t="shared" si="74"/>
        <v>0.10539922456186435</v>
      </c>
      <c r="AI75" s="8">
        <f t="shared" si="75"/>
        <v>0.20870287338447135</v>
      </c>
      <c r="AJ75" s="2">
        <f t="shared" si="76"/>
        <v>0.20870287338447135</v>
      </c>
      <c r="AK75" s="2">
        <f t="shared" si="77"/>
        <v>0.20870287338447135</v>
      </c>
      <c r="AR75" s="8" t="e">
        <f t="shared" si="39"/>
        <v>#DIV/0!</v>
      </c>
      <c r="AS75" s="2" t="e">
        <f t="shared" si="40"/>
        <v>#DIV/0!</v>
      </c>
      <c r="AT75" s="2" t="e">
        <f t="shared" si="41"/>
        <v>#DIV/0!</v>
      </c>
      <c r="AU75" s="2" t="e">
        <f t="shared" si="78"/>
        <v>#DIV/0!</v>
      </c>
      <c r="AV75" s="2" t="e">
        <f t="shared" si="79"/>
        <v>#DIV/0!</v>
      </c>
      <c r="AW75" s="2" t="e">
        <f t="shared" si="80"/>
        <v>#DIV/0!</v>
      </c>
      <c r="BA75" s="8" t="e">
        <f t="shared" si="42"/>
        <v>#DIV/0!</v>
      </c>
      <c r="BB75" s="2" t="e">
        <f t="shared" si="43"/>
        <v>#DIV/0!</v>
      </c>
      <c r="BC75" s="2" t="e">
        <f t="shared" si="44"/>
        <v>#DIV/0!</v>
      </c>
      <c r="BD75" s="2" t="e">
        <f t="shared" si="81"/>
        <v>#DIV/0!</v>
      </c>
      <c r="BE75" s="2" t="e">
        <f t="shared" si="82"/>
        <v>#DIV/0!</v>
      </c>
      <c r="BF75" s="2" t="e">
        <f t="shared" si="83"/>
        <v>#DIV/0!</v>
      </c>
      <c r="BJ75" s="8" t="e">
        <f t="shared" si="45"/>
        <v>#DIV/0!</v>
      </c>
      <c r="BK75" s="2" t="e">
        <f t="shared" si="46"/>
        <v>#DIV/0!</v>
      </c>
      <c r="BL75" s="2" t="e">
        <f t="shared" si="47"/>
        <v>#DIV/0!</v>
      </c>
      <c r="BM75" s="2" t="e">
        <f t="shared" si="84"/>
        <v>#DIV/0!</v>
      </c>
      <c r="BN75" s="2" t="e">
        <f t="shared" si="85"/>
        <v>#DIV/0!</v>
      </c>
      <c r="BO75" s="2" t="e">
        <f t="shared" si="86"/>
        <v>#DIV/0!</v>
      </c>
      <c r="BS75" s="8" t="e">
        <f t="shared" si="48"/>
        <v>#DIV/0!</v>
      </c>
      <c r="BT75" s="2" t="e">
        <f t="shared" si="49"/>
        <v>#DIV/0!</v>
      </c>
      <c r="BU75" s="2" t="e">
        <f t="shared" si="50"/>
        <v>#DIV/0!</v>
      </c>
      <c r="BV75" s="2" t="e">
        <f t="shared" si="87"/>
        <v>#DIV/0!</v>
      </c>
      <c r="BW75" s="2" t="e">
        <f t="shared" si="88"/>
        <v>#DIV/0!</v>
      </c>
      <c r="BX75" s="2" t="e">
        <f t="shared" si="89"/>
        <v>#DIV/0!</v>
      </c>
      <c r="CE75" s="8" t="e">
        <f t="shared" si="51"/>
        <v>#DIV/0!</v>
      </c>
      <c r="CF75" s="2" t="e">
        <f t="shared" si="52"/>
        <v>#DIV/0!</v>
      </c>
      <c r="CG75" s="2" t="e">
        <f t="shared" si="53"/>
        <v>#DIV/0!</v>
      </c>
      <c r="CH75" s="2" t="e">
        <f t="shared" si="90"/>
        <v>#DIV/0!</v>
      </c>
      <c r="CI75" s="2" t="e">
        <f t="shared" si="91"/>
        <v>#DIV/0!</v>
      </c>
      <c r="CJ75" s="2" t="e">
        <f t="shared" si="92"/>
        <v>#DIV/0!</v>
      </c>
      <c r="CQ75" s="8" t="e">
        <f t="shared" si="54"/>
        <v>#DIV/0!</v>
      </c>
      <c r="CR75" s="2" t="e">
        <f t="shared" si="55"/>
        <v>#DIV/0!</v>
      </c>
      <c r="CS75" s="2" t="e">
        <f t="shared" si="56"/>
        <v>#DIV/0!</v>
      </c>
      <c r="CT75" s="2" t="e">
        <f t="shared" si="93"/>
        <v>#DIV/0!</v>
      </c>
      <c r="CU75" s="2" t="e">
        <f t="shared" si="94"/>
        <v>#DIV/0!</v>
      </c>
      <c r="CV75" s="2" t="e">
        <f t="shared" si="95"/>
        <v>#DIV/0!</v>
      </c>
    </row>
    <row r="76" spans="1:100" x14ac:dyDescent="0.2">
      <c r="A76" s="2">
        <f t="shared" si="57"/>
        <v>2.333333333333333</v>
      </c>
      <c r="B76" s="2">
        <f t="shared" si="58"/>
        <v>9.6971967864405095E-2</v>
      </c>
      <c r="C76" s="2">
        <f t="shared" si="96"/>
        <v>9.6971967864405095E-2</v>
      </c>
      <c r="D76" s="2">
        <f t="shared" si="96"/>
        <v>9.6971967864405095E-2</v>
      </c>
      <c r="E76" s="8">
        <f t="shared" si="60"/>
        <v>9.6971967864405095E-2</v>
      </c>
      <c r="F76" s="2">
        <f t="shared" si="61"/>
        <v>9.6971967864405095E-2</v>
      </c>
      <c r="G76" s="2">
        <f t="shared" si="62"/>
        <v>9.6971967864405095E-2</v>
      </c>
      <c r="K76" s="8" t="e">
        <f t="shared" si="63"/>
        <v>#DIV/0!</v>
      </c>
      <c r="L76" s="2" t="e">
        <f t="shared" si="64"/>
        <v>#DIV/0!</v>
      </c>
      <c r="M76" s="2" t="e">
        <f t="shared" si="65"/>
        <v>#DIV/0!</v>
      </c>
      <c r="Q76" s="8">
        <f t="shared" si="66"/>
        <v>0.19841455947264197</v>
      </c>
      <c r="R76" s="2">
        <f t="shared" si="67"/>
        <v>0.19841455947264197</v>
      </c>
      <c r="S76" s="2">
        <f t="shared" si="68"/>
        <v>0.19841455947264197</v>
      </c>
      <c r="W76" s="8">
        <f t="shared" si="69"/>
        <v>0.30000000000000004</v>
      </c>
      <c r="X76" s="2">
        <f t="shared" si="70"/>
        <v>0.30000000000000004</v>
      </c>
      <c r="Y76" s="2">
        <f t="shared" si="71"/>
        <v>0.30000000000000004</v>
      </c>
      <c r="AC76" s="8">
        <f t="shared" si="72"/>
        <v>9.6971967864405095E-2</v>
      </c>
      <c r="AD76" s="2">
        <f t="shared" si="73"/>
        <v>9.6971967864405095E-2</v>
      </c>
      <c r="AE76" s="2">
        <f t="shared" si="74"/>
        <v>9.6971967864405095E-2</v>
      </c>
      <c r="AI76" s="8">
        <f t="shared" si="75"/>
        <v>0.19841455947264197</v>
      </c>
      <c r="AJ76" s="2">
        <f t="shared" si="76"/>
        <v>0.19841455947264197</v>
      </c>
      <c r="AK76" s="2">
        <f t="shared" si="77"/>
        <v>0.19841455947264197</v>
      </c>
      <c r="AR76" s="8" t="e">
        <f t="shared" si="39"/>
        <v>#DIV/0!</v>
      </c>
      <c r="AS76" s="2" t="e">
        <f t="shared" si="40"/>
        <v>#DIV/0!</v>
      </c>
      <c r="AT76" s="2" t="e">
        <f t="shared" si="41"/>
        <v>#DIV/0!</v>
      </c>
      <c r="AU76" s="2" t="e">
        <f t="shared" si="78"/>
        <v>#DIV/0!</v>
      </c>
      <c r="AV76" s="2" t="e">
        <f t="shared" si="79"/>
        <v>#DIV/0!</v>
      </c>
      <c r="AW76" s="2" t="e">
        <f t="shared" si="80"/>
        <v>#DIV/0!</v>
      </c>
      <c r="BA76" s="8" t="e">
        <f t="shared" si="42"/>
        <v>#DIV/0!</v>
      </c>
      <c r="BB76" s="2" t="e">
        <f t="shared" si="43"/>
        <v>#DIV/0!</v>
      </c>
      <c r="BC76" s="2" t="e">
        <f t="shared" si="44"/>
        <v>#DIV/0!</v>
      </c>
      <c r="BD76" s="2" t="e">
        <f t="shared" si="81"/>
        <v>#DIV/0!</v>
      </c>
      <c r="BE76" s="2" t="e">
        <f t="shared" si="82"/>
        <v>#DIV/0!</v>
      </c>
      <c r="BF76" s="2" t="e">
        <f t="shared" si="83"/>
        <v>#DIV/0!</v>
      </c>
      <c r="BJ76" s="8" t="e">
        <f t="shared" si="45"/>
        <v>#DIV/0!</v>
      </c>
      <c r="BK76" s="2" t="e">
        <f t="shared" si="46"/>
        <v>#DIV/0!</v>
      </c>
      <c r="BL76" s="2" t="e">
        <f t="shared" si="47"/>
        <v>#DIV/0!</v>
      </c>
      <c r="BM76" s="2" t="e">
        <f t="shared" si="84"/>
        <v>#DIV/0!</v>
      </c>
      <c r="BN76" s="2" t="e">
        <f t="shared" si="85"/>
        <v>#DIV/0!</v>
      </c>
      <c r="BO76" s="2" t="e">
        <f t="shared" si="86"/>
        <v>#DIV/0!</v>
      </c>
      <c r="BS76" s="8" t="e">
        <f t="shared" si="48"/>
        <v>#DIV/0!</v>
      </c>
      <c r="BT76" s="2" t="e">
        <f t="shared" si="49"/>
        <v>#DIV/0!</v>
      </c>
      <c r="BU76" s="2" t="e">
        <f t="shared" si="50"/>
        <v>#DIV/0!</v>
      </c>
      <c r="BV76" s="2" t="e">
        <f t="shared" si="87"/>
        <v>#DIV/0!</v>
      </c>
      <c r="BW76" s="2" t="e">
        <f t="shared" si="88"/>
        <v>#DIV/0!</v>
      </c>
      <c r="BX76" s="2" t="e">
        <f t="shared" si="89"/>
        <v>#DIV/0!</v>
      </c>
      <c r="CE76" s="8" t="e">
        <f t="shared" si="51"/>
        <v>#DIV/0!</v>
      </c>
      <c r="CF76" s="2" t="e">
        <f t="shared" si="52"/>
        <v>#DIV/0!</v>
      </c>
      <c r="CG76" s="2" t="e">
        <f t="shared" si="53"/>
        <v>#DIV/0!</v>
      </c>
      <c r="CH76" s="2" t="e">
        <f t="shared" si="90"/>
        <v>#DIV/0!</v>
      </c>
      <c r="CI76" s="2" t="e">
        <f t="shared" si="91"/>
        <v>#DIV/0!</v>
      </c>
      <c r="CJ76" s="2" t="e">
        <f t="shared" si="92"/>
        <v>#DIV/0!</v>
      </c>
      <c r="CQ76" s="8" t="e">
        <f t="shared" si="54"/>
        <v>#DIV/0!</v>
      </c>
      <c r="CR76" s="2" t="e">
        <f t="shared" si="55"/>
        <v>#DIV/0!</v>
      </c>
      <c r="CS76" s="2" t="e">
        <f t="shared" si="56"/>
        <v>#DIV/0!</v>
      </c>
      <c r="CT76" s="2" t="e">
        <f t="shared" si="93"/>
        <v>#DIV/0!</v>
      </c>
      <c r="CU76" s="2" t="e">
        <f t="shared" si="94"/>
        <v>#DIV/0!</v>
      </c>
      <c r="CV76" s="2" t="e">
        <f t="shared" si="95"/>
        <v>#DIV/0!</v>
      </c>
    </row>
    <row r="77" spans="1:100" x14ac:dyDescent="0.2">
      <c r="A77" s="2">
        <f t="shared" si="57"/>
        <v>2.4166666666666665</v>
      </c>
      <c r="B77" s="2">
        <f t="shared" si="58"/>
        <v>8.9218517409260109E-2</v>
      </c>
      <c r="C77" s="2">
        <f t="shared" si="96"/>
        <v>8.9218517409260109E-2</v>
      </c>
      <c r="D77" s="2">
        <f t="shared" si="96"/>
        <v>8.9218517409260109E-2</v>
      </c>
      <c r="E77" s="8">
        <f t="shared" si="60"/>
        <v>8.9218517409260109E-2</v>
      </c>
      <c r="F77" s="2">
        <f t="shared" si="61"/>
        <v>8.9218517409260109E-2</v>
      </c>
      <c r="G77" s="2">
        <f t="shared" si="62"/>
        <v>8.9218517409260109E-2</v>
      </c>
      <c r="K77" s="8" t="e">
        <f t="shared" si="63"/>
        <v>#DIV/0!</v>
      </c>
      <c r="L77" s="2" t="e">
        <f t="shared" si="64"/>
        <v>#DIV/0!</v>
      </c>
      <c r="M77" s="2" t="e">
        <f t="shared" si="65"/>
        <v>#DIV/0!</v>
      </c>
      <c r="Q77" s="8">
        <f t="shared" si="66"/>
        <v>0.18878319237896202</v>
      </c>
      <c r="R77" s="2">
        <f t="shared" si="67"/>
        <v>0.18878319237896202</v>
      </c>
      <c r="S77" s="2">
        <f t="shared" si="68"/>
        <v>0.18878319237896202</v>
      </c>
      <c r="W77" s="8">
        <f t="shared" si="69"/>
        <v>0.29268292682926822</v>
      </c>
      <c r="X77" s="2">
        <f t="shared" si="70"/>
        <v>0.29268292682926822</v>
      </c>
      <c r="Y77" s="2">
        <f t="shared" si="71"/>
        <v>0.29268292682926822</v>
      </c>
      <c r="AC77" s="8">
        <f t="shared" si="72"/>
        <v>8.9218517409260123E-2</v>
      </c>
      <c r="AD77" s="2">
        <f t="shared" si="73"/>
        <v>8.9218517409260123E-2</v>
      </c>
      <c r="AE77" s="2">
        <f t="shared" si="74"/>
        <v>8.9218517409260123E-2</v>
      </c>
      <c r="AI77" s="8">
        <f t="shared" si="75"/>
        <v>0.18878319237896202</v>
      </c>
      <c r="AJ77" s="2">
        <f t="shared" si="76"/>
        <v>0.18878319237896202</v>
      </c>
      <c r="AK77" s="2">
        <f t="shared" si="77"/>
        <v>0.18878319237896202</v>
      </c>
      <c r="AR77" s="8" t="e">
        <f t="shared" si="39"/>
        <v>#DIV/0!</v>
      </c>
      <c r="AS77" s="2" t="e">
        <f t="shared" si="40"/>
        <v>#DIV/0!</v>
      </c>
      <c r="AT77" s="2" t="e">
        <f t="shared" si="41"/>
        <v>#DIV/0!</v>
      </c>
      <c r="AU77" s="2" t="e">
        <f t="shared" si="78"/>
        <v>#DIV/0!</v>
      </c>
      <c r="AV77" s="2" t="e">
        <f t="shared" si="79"/>
        <v>#DIV/0!</v>
      </c>
      <c r="AW77" s="2" t="e">
        <f t="shared" si="80"/>
        <v>#DIV/0!</v>
      </c>
      <c r="BA77" s="8" t="e">
        <f t="shared" si="42"/>
        <v>#DIV/0!</v>
      </c>
      <c r="BB77" s="2" t="e">
        <f t="shared" si="43"/>
        <v>#DIV/0!</v>
      </c>
      <c r="BC77" s="2" t="e">
        <f t="shared" si="44"/>
        <v>#DIV/0!</v>
      </c>
      <c r="BD77" s="2" t="e">
        <f t="shared" si="81"/>
        <v>#DIV/0!</v>
      </c>
      <c r="BE77" s="2" t="e">
        <f t="shared" si="82"/>
        <v>#DIV/0!</v>
      </c>
      <c r="BF77" s="2" t="e">
        <f t="shared" si="83"/>
        <v>#DIV/0!</v>
      </c>
      <c r="BJ77" s="8" t="e">
        <f t="shared" si="45"/>
        <v>#DIV/0!</v>
      </c>
      <c r="BK77" s="2" t="e">
        <f t="shared" si="46"/>
        <v>#DIV/0!</v>
      </c>
      <c r="BL77" s="2" t="e">
        <f t="shared" si="47"/>
        <v>#DIV/0!</v>
      </c>
      <c r="BM77" s="2" t="e">
        <f t="shared" si="84"/>
        <v>#DIV/0!</v>
      </c>
      <c r="BN77" s="2" t="e">
        <f t="shared" si="85"/>
        <v>#DIV/0!</v>
      </c>
      <c r="BO77" s="2" t="e">
        <f t="shared" si="86"/>
        <v>#DIV/0!</v>
      </c>
      <c r="BS77" s="8" t="e">
        <f t="shared" si="48"/>
        <v>#DIV/0!</v>
      </c>
      <c r="BT77" s="2" t="e">
        <f t="shared" si="49"/>
        <v>#DIV/0!</v>
      </c>
      <c r="BU77" s="2" t="e">
        <f t="shared" si="50"/>
        <v>#DIV/0!</v>
      </c>
      <c r="BV77" s="2" t="e">
        <f t="shared" si="87"/>
        <v>#DIV/0!</v>
      </c>
      <c r="BW77" s="2" t="e">
        <f t="shared" si="88"/>
        <v>#DIV/0!</v>
      </c>
      <c r="BX77" s="2" t="e">
        <f t="shared" si="89"/>
        <v>#DIV/0!</v>
      </c>
      <c r="CE77" s="8" t="e">
        <f t="shared" si="51"/>
        <v>#DIV/0!</v>
      </c>
      <c r="CF77" s="2" t="e">
        <f t="shared" si="52"/>
        <v>#DIV/0!</v>
      </c>
      <c r="CG77" s="2" t="e">
        <f t="shared" si="53"/>
        <v>#DIV/0!</v>
      </c>
      <c r="CH77" s="2" t="e">
        <f t="shared" si="90"/>
        <v>#DIV/0!</v>
      </c>
      <c r="CI77" s="2" t="e">
        <f t="shared" si="91"/>
        <v>#DIV/0!</v>
      </c>
      <c r="CJ77" s="2" t="e">
        <f t="shared" si="92"/>
        <v>#DIV/0!</v>
      </c>
      <c r="CQ77" s="8" t="e">
        <f t="shared" si="54"/>
        <v>#DIV/0!</v>
      </c>
      <c r="CR77" s="2" t="e">
        <f t="shared" si="55"/>
        <v>#DIV/0!</v>
      </c>
      <c r="CS77" s="2" t="e">
        <f t="shared" si="56"/>
        <v>#DIV/0!</v>
      </c>
      <c r="CT77" s="2" t="e">
        <f t="shared" si="93"/>
        <v>#DIV/0!</v>
      </c>
      <c r="CU77" s="2" t="e">
        <f t="shared" si="94"/>
        <v>#DIV/0!</v>
      </c>
      <c r="CV77" s="2" t="e">
        <f t="shared" si="95"/>
        <v>#DIV/0!</v>
      </c>
    </row>
    <row r="78" spans="1:100" x14ac:dyDescent="0.2">
      <c r="A78" s="2">
        <f t="shared" si="57"/>
        <v>2.5</v>
      </c>
      <c r="B78" s="2">
        <f t="shared" si="58"/>
        <v>8.20849986238988E-2</v>
      </c>
      <c r="C78" s="2">
        <f t="shared" si="96"/>
        <v>8.20849986238988E-2</v>
      </c>
      <c r="D78" s="2">
        <f t="shared" si="96"/>
        <v>8.20849986238988E-2</v>
      </c>
      <c r="E78" s="8">
        <f t="shared" si="60"/>
        <v>8.20849986238988E-2</v>
      </c>
      <c r="F78" s="2">
        <f t="shared" si="61"/>
        <v>8.20849986238988E-2</v>
      </c>
      <c r="G78" s="2">
        <f t="shared" si="62"/>
        <v>8.20849986238988E-2</v>
      </c>
      <c r="K78" s="8" t="e">
        <f t="shared" si="63"/>
        <v>#DIV/0!</v>
      </c>
      <c r="L78" s="2" t="e">
        <f t="shared" si="64"/>
        <v>#DIV/0!</v>
      </c>
      <c r="M78" s="2" t="e">
        <f t="shared" si="65"/>
        <v>#DIV/0!</v>
      </c>
      <c r="Q78" s="8">
        <f t="shared" si="66"/>
        <v>0.17975721389578536</v>
      </c>
      <c r="R78" s="2">
        <f t="shared" si="67"/>
        <v>0.17975721389578536</v>
      </c>
      <c r="S78" s="2">
        <f t="shared" si="68"/>
        <v>0.17975721389578536</v>
      </c>
      <c r="W78" s="8">
        <f t="shared" si="69"/>
        <v>0.2857142857142857</v>
      </c>
      <c r="X78" s="2">
        <f t="shared" si="70"/>
        <v>0.2857142857142857</v>
      </c>
      <c r="Y78" s="2">
        <f t="shared" si="71"/>
        <v>0.2857142857142857</v>
      </c>
      <c r="AC78" s="8">
        <f t="shared" si="72"/>
        <v>8.2084998623898842E-2</v>
      </c>
      <c r="AD78" s="2">
        <f t="shared" si="73"/>
        <v>8.2084998623898842E-2</v>
      </c>
      <c r="AE78" s="2">
        <f t="shared" si="74"/>
        <v>8.2084998623898842E-2</v>
      </c>
      <c r="AI78" s="8">
        <f t="shared" si="75"/>
        <v>0.17975721389578536</v>
      </c>
      <c r="AJ78" s="2">
        <f t="shared" si="76"/>
        <v>0.17975721389578536</v>
      </c>
      <c r="AK78" s="2">
        <f t="shared" si="77"/>
        <v>0.17975721389578536</v>
      </c>
      <c r="AR78" s="8" t="e">
        <f t="shared" si="39"/>
        <v>#DIV/0!</v>
      </c>
      <c r="AS78" s="2" t="e">
        <f t="shared" si="40"/>
        <v>#DIV/0!</v>
      </c>
      <c r="AT78" s="2" t="e">
        <f t="shared" si="41"/>
        <v>#DIV/0!</v>
      </c>
      <c r="AU78" s="2" t="e">
        <f t="shared" si="78"/>
        <v>#DIV/0!</v>
      </c>
      <c r="AV78" s="2" t="e">
        <f t="shared" si="79"/>
        <v>#DIV/0!</v>
      </c>
      <c r="AW78" s="2" t="e">
        <f t="shared" si="80"/>
        <v>#DIV/0!</v>
      </c>
      <c r="BA78" s="8" t="e">
        <f t="shared" si="42"/>
        <v>#DIV/0!</v>
      </c>
      <c r="BB78" s="2" t="e">
        <f t="shared" si="43"/>
        <v>#DIV/0!</v>
      </c>
      <c r="BC78" s="2" t="e">
        <f t="shared" si="44"/>
        <v>#DIV/0!</v>
      </c>
      <c r="BD78" s="2" t="e">
        <f t="shared" si="81"/>
        <v>#DIV/0!</v>
      </c>
      <c r="BE78" s="2" t="e">
        <f t="shared" si="82"/>
        <v>#DIV/0!</v>
      </c>
      <c r="BF78" s="2" t="e">
        <f t="shared" si="83"/>
        <v>#DIV/0!</v>
      </c>
      <c r="BJ78" s="8" t="e">
        <f t="shared" si="45"/>
        <v>#DIV/0!</v>
      </c>
      <c r="BK78" s="2" t="e">
        <f t="shared" si="46"/>
        <v>#DIV/0!</v>
      </c>
      <c r="BL78" s="2" t="e">
        <f t="shared" si="47"/>
        <v>#DIV/0!</v>
      </c>
      <c r="BM78" s="2" t="e">
        <f t="shared" si="84"/>
        <v>#DIV/0!</v>
      </c>
      <c r="BN78" s="2" t="e">
        <f t="shared" si="85"/>
        <v>#DIV/0!</v>
      </c>
      <c r="BO78" s="2" t="e">
        <f t="shared" si="86"/>
        <v>#DIV/0!</v>
      </c>
      <c r="BS78" s="8" t="e">
        <f t="shared" si="48"/>
        <v>#DIV/0!</v>
      </c>
      <c r="BT78" s="2" t="e">
        <f t="shared" si="49"/>
        <v>#DIV/0!</v>
      </c>
      <c r="BU78" s="2" t="e">
        <f t="shared" si="50"/>
        <v>#DIV/0!</v>
      </c>
      <c r="BV78" s="2" t="e">
        <f t="shared" si="87"/>
        <v>#DIV/0!</v>
      </c>
      <c r="BW78" s="2" t="e">
        <f t="shared" si="88"/>
        <v>#DIV/0!</v>
      </c>
      <c r="BX78" s="2" t="e">
        <f t="shared" si="89"/>
        <v>#DIV/0!</v>
      </c>
      <c r="CE78" s="8" t="e">
        <f t="shared" si="51"/>
        <v>#DIV/0!</v>
      </c>
      <c r="CF78" s="2" t="e">
        <f t="shared" si="52"/>
        <v>#DIV/0!</v>
      </c>
      <c r="CG78" s="2" t="e">
        <f t="shared" si="53"/>
        <v>#DIV/0!</v>
      </c>
      <c r="CH78" s="2" t="e">
        <f t="shared" si="90"/>
        <v>#DIV/0!</v>
      </c>
      <c r="CI78" s="2" t="e">
        <f t="shared" si="91"/>
        <v>#DIV/0!</v>
      </c>
      <c r="CJ78" s="2" t="e">
        <f t="shared" si="92"/>
        <v>#DIV/0!</v>
      </c>
      <c r="CQ78" s="8" t="e">
        <f t="shared" si="54"/>
        <v>#DIV/0!</v>
      </c>
      <c r="CR78" s="2" t="e">
        <f t="shared" si="55"/>
        <v>#DIV/0!</v>
      </c>
      <c r="CS78" s="2" t="e">
        <f t="shared" si="56"/>
        <v>#DIV/0!</v>
      </c>
      <c r="CT78" s="2" t="e">
        <f t="shared" si="93"/>
        <v>#DIV/0!</v>
      </c>
      <c r="CU78" s="2" t="e">
        <f t="shared" si="94"/>
        <v>#DIV/0!</v>
      </c>
      <c r="CV78" s="2" t="e">
        <f t="shared" si="95"/>
        <v>#DIV/0!</v>
      </c>
    </row>
    <row r="79" spans="1:100" x14ac:dyDescent="0.2">
      <c r="A79" s="2">
        <f t="shared" si="57"/>
        <v>2.5833333333333335</v>
      </c>
      <c r="B79" s="2">
        <f t="shared" si="58"/>
        <v>7.5521844508773764E-2</v>
      </c>
      <c r="C79" s="2">
        <f t="shared" si="96"/>
        <v>7.5521844508773764E-2</v>
      </c>
      <c r="D79" s="2">
        <f t="shared" si="96"/>
        <v>7.5521844508773764E-2</v>
      </c>
      <c r="E79" s="8">
        <f t="shared" si="60"/>
        <v>7.5521844508773764E-2</v>
      </c>
      <c r="F79" s="2">
        <f t="shared" si="61"/>
        <v>7.5521844508773764E-2</v>
      </c>
      <c r="G79" s="2">
        <f t="shared" si="62"/>
        <v>7.5521844508773764E-2</v>
      </c>
      <c r="K79" s="8" t="e">
        <f t="shared" si="63"/>
        <v>#DIV/0!</v>
      </c>
      <c r="L79" s="2" t="e">
        <f t="shared" si="64"/>
        <v>#DIV/0!</v>
      </c>
      <c r="M79" s="2" t="e">
        <f t="shared" si="65"/>
        <v>#DIV/0!</v>
      </c>
      <c r="Q79" s="8">
        <f t="shared" si="66"/>
        <v>0.17128982173014684</v>
      </c>
      <c r="R79" s="2">
        <f t="shared" si="67"/>
        <v>0.17128982173014684</v>
      </c>
      <c r="S79" s="2">
        <f t="shared" si="68"/>
        <v>0.17128982173014684</v>
      </c>
      <c r="W79" s="8">
        <f t="shared" si="69"/>
        <v>0.27906976744186052</v>
      </c>
      <c r="X79" s="2">
        <f t="shared" si="70"/>
        <v>0.27906976744186052</v>
      </c>
      <c r="Y79" s="2">
        <f t="shared" si="71"/>
        <v>0.27906976744186052</v>
      </c>
      <c r="AC79" s="8">
        <f t="shared" si="72"/>
        <v>7.552184450877375E-2</v>
      </c>
      <c r="AD79" s="2">
        <f t="shared" si="73"/>
        <v>7.552184450877375E-2</v>
      </c>
      <c r="AE79" s="2">
        <f t="shared" si="74"/>
        <v>7.552184450877375E-2</v>
      </c>
      <c r="AI79" s="8">
        <f t="shared" si="75"/>
        <v>0.17128982173014684</v>
      </c>
      <c r="AJ79" s="2">
        <f t="shared" si="76"/>
        <v>0.17128982173014684</v>
      </c>
      <c r="AK79" s="2">
        <f t="shared" si="77"/>
        <v>0.17128982173014684</v>
      </c>
      <c r="AR79" s="8" t="e">
        <f t="shared" si="39"/>
        <v>#DIV/0!</v>
      </c>
      <c r="AS79" s="2" t="e">
        <f t="shared" si="40"/>
        <v>#DIV/0!</v>
      </c>
      <c r="AT79" s="2" t="e">
        <f t="shared" si="41"/>
        <v>#DIV/0!</v>
      </c>
      <c r="AU79" s="2" t="e">
        <f t="shared" si="78"/>
        <v>#DIV/0!</v>
      </c>
      <c r="AV79" s="2" t="e">
        <f t="shared" si="79"/>
        <v>#DIV/0!</v>
      </c>
      <c r="AW79" s="2" t="e">
        <f t="shared" si="80"/>
        <v>#DIV/0!</v>
      </c>
      <c r="BA79" s="8" t="e">
        <f t="shared" si="42"/>
        <v>#DIV/0!</v>
      </c>
      <c r="BB79" s="2" t="e">
        <f t="shared" si="43"/>
        <v>#DIV/0!</v>
      </c>
      <c r="BC79" s="2" t="e">
        <f t="shared" si="44"/>
        <v>#DIV/0!</v>
      </c>
      <c r="BD79" s="2" t="e">
        <f t="shared" si="81"/>
        <v>#DIV/0!</v>
      </c>
      <c r="BE79" s="2" t="e">
        <f t="shared" si="82"/>
        <v>#DIV/0!</v>
      </c>
      <c r="BF79" s="2" t="e">
        <f t="shared" si="83"/>
        <v>#DIV/0!</v>
      </c>
      <c r="BJ79" s="8" t="e">
        <f t="shared" si="45"/>
        <v>#DIV/0!</v>
      </c>
      <c r="BK79" s="2" t="e">
        <f t="shared" si="46"/>
        <v>#DIV/0!</v>
      </c>
      <c r="BL79" s="2" t="e">
        <f t="shared" si="47"/>
        <v>#DIV/0!</v>
      </c>
      <c r="BM79" s="2" t="e">
        <f t="shared" si="84"/>
        <v>#DIV/0!</v>
      </c>
      <c r="BN79" s="2" t="e">
        <f t="shared" si="85"/>
        <v>#DIV/0!</v>
      </c>
      <c r="BO79" s="2" t="e">
        <f t="shared" si="86"/>
        <v>#DIV/0!</v>
      </c>
      <c r="BS79" s="8" t="e">
        <f t="shared" si="48"/>
        <v>#DIV/0!</v>
      </c>
      <c r="BT79" s="2" t="e">
        <f t="shared" si="49"/>
        <v>#DIV/0!</v>
      </c>
      <c r="BU79" s="2" t="e">
        <f t="shared" si="50"/>
        <v>#DIV/0!</v>
      </c>
      <c r="BV79" s="2" t="e">
        <f t="shared" si="87"/>
        <v>#DIV/0!</v>
      </c>
      <c r="BW79" s="2" t="e">
        <f t="shared" si="88"/>
        <v>#DIV/0!</v>
      </c>
      <c r="BX79" s="2" t="e">
        <f t="shared" si="89"/>
        <v>#DIV/0!</v>
      </c>
      <c r="CE79" s="8" t="e">
        <f t="shared" si="51"/>
        <v>#DIV/0!</v>
      </c>
      <c r="CF79" s="2" t="e">
        <f t="shared" si="52"/>
        <v>#DIV/0!</v>
      </c>
      <c r="CG79" s="2" t="e">
        <f t="shared" si="53"/>
        <v>#DIV/0!</v>
      </c>
      <c r="CH79" s="2" t="e">
        <f t="shared" si="90"/>
        <v>#DIV/0!</v>
      </c>
      <c r="CI79" s="2" t="e">
        <f t="shared" si="91"/>
        <v>#DIV/0!</v>
      </c>
      <c r="CJ79" s="2" t="e">
        <f t="shared" si="92"/>
        <v>#DIV/0!</v>
      </c>
      <c r="CQ79" s="8" t="e">
        <f t="shared" si="54"/>
        <v>#DIV/0!</v>
      </c>
      <c r="CR79" s="2" t="e">
        <f t="shared" si="55"/>
        <v>#DIV/0!</v>
      </c>
      <c r="CS79" s="2" t="e">
        <f t="shared" si="56"/>
        <v>#DIV/0!</v>
      </c>
      <c r="CT79" s="2" t="e">
        <f t="shared" si="93"/>
        <v>#DIV/0!</v>
      </c>
      <c r="CU79" s="2" t="e">
        <f t="shared" si="94"/>
        <v>#DIV/0!</v>
      </c>
      <c r="CV79" s="2" t="e">
        <f t="shared" si="95"/>
        <v>#DIV/0!</v>
      </c>
    </row>
    <row r="80" spans="1:100" x14ac:dyDescent="0.2">
      <c r="A80" s="2">
        <f t="shared" si="57"/>
        <v>2.666666666666667</v>
      </c>
      <c r="B80" s="2">
        <f t="shared" si="58"/>
        <v>6.9483451222801515E-2</v>
      </c>
      <c r="C80" s="2">
        <f t="shared" si="96"/>
        <v>6.9483451222801515E-2</v>
      </c>
      <c r="D80" s="2">
        <f t="shared" si="96"/>
        <v>6.9483451222801515E-2</v>
      </c>
      <c r="E80" s="8">
        <f t="shared" si="60"/>
        <v>6.9483451222801515E-2</v>
      </c>
      <c r="F80" s="2">
        <f t="shared" si="61"/>
        <v>6.9483451222801515E-2</v>
      </c>
      <c r="G80" s="2">
        <f t="shared" si="62"/>
        <v>6.9483451222801515E-2</v>
      </c>
      <c r="K80" s="8" t="e">
        <f t="shared" si="63"/>
        <v>#DIV/0!</v>
      </c>
      <c r="L80" s="2" t="e">
        <f t="shared" si="64"/>
        <v>#DIV/0!</v>
      </c>
      <c r="M80" s="2" t="e">
        <f t="shared" si="65"/>
        <v>#DIV/0!</v>
      </c>
      <c r="Q80" s="8">
        <f t="shared" si="66"/>
        <v>0.16333847497860055</v>
      </c>
      <c r="R80" s="2">
        <f t="shared" si="67"/>
        <v>0.16333847497860055</v>
      </c>
      <c r="S80" s="2">
        <f t="shared" si="68"/>
        <v>0.16333847497860055</v>
      </c>
      <c r="W80" s="8">
        <f t="shared" si="69"/>
        <v>0.27272727272727271</v>
      </c>
      <c r="X80" s="2">
        <f t="shared" si="70"/>
        <v>0.27272727272727271</v>
      </c>
      <c r="Y80" s="2">
        <f t="shared" si="71"/>
        <v>0.27272727272727271</v>
      </c>
      <c r="AC80" s="8">
        <f t="shared" si="72"/>
        <v>6.9483451222801529E-2</v>
      </c>
      <c r="AD80" s="2">
        <f t="shared" si="73"/>
        <v>6.9483451222801529E-2</v>
      </c>
      <c r="AE80" s="2">
        <f t="shared" si="74"/>
        <v>6.9483451222801529E-2</v>
      </c>
      <c r="AI80" s="8">
        <f t="shared" si="75"/>
        <v>0.16333847497860055</v>
      </c>
      <c r="AJ80" s="2">
        <f t="shared" si="76"/>
        <v>0.16333847497860055</v>
      </c>
      <c r="AK80" s="2">
        <f t="shared" si="77"/>
        <v>0.16333847497860055</v>
      </c>
      <c r="AR80" s="8" t="e">
        <f t="shared" si="39"/>
        <v>#DIV/0!</v>
      </c>
      <c r="AS80" s="2" t="e">
        <f t="shared" si="40"/>
        <v>#DIV/0!</v>
      </c>
      <c r="AT80" s="2" t="e">
        <f t="shared" si="41"/>
        <v>#DIV/0!</v>
      </c>
      <c r="AU80" s="2" t="e">
        <f t="shared" si="78"/>
        <v>#DIV/0!</v>
      </c>
      <c r="AV80" s="2" t="e">
        <f t="shared" si="79"/>
        <v>#DIV/0!</v>
      </c>
      <c r="AW80" s="2" t="e">
        <f t="shared" si="80"/>
        <v>#DIV/0!</v>
      </c>
      <c r="BA80" s="8" t="e">
        <f t="shared" si="42"/>
        <v>#DIV/0!</v>
      </c>
      <c r="BB80" s="2" t="e">
        <f t="shared" si="43"/>
        <v>#DIV/0!</v>
      </c>
      <c r="BC80" s="2" t="e">
        <f t="shared" si="44"/>
        <v>#DIV/0!</v>
      </c>
      <c r="BD80" s="2" t="e">
        <f t="shared" si="81"/>
        <v>#DIV/0!</v>
      </c>
      <c r="BE80" s="2" t="e">
        <f t="shared" si="82"/>
        <v>#DIV/0!</v>
      </c>
      <c r="BF80" s="2" t="e">
        <f t="shared" si="83"/>
        <v>#DIV/0!</v>
      </c>
      <c r="BJ80" s="8" t="e">
        <f t="shared" si="45"/>
        <v>#DIV/0!</v>
      </c>
      <c r="BK80" s="2" t="e">
        <f t="shared" si="46"/>
        <v>#DIV/0!</v>
      </c>
      <c r="BL80" s="2" t="e">
        <f t="shared" si="47"/>
        <v>#DIV/0!</v>
      </c>
      <c r="BM80" s="2" t="e">
        <f t="shared" si="84"/>
        <v>#DIV/0!</v>
      </c>
      <c r="BN80" s="2" t="e">
        <f t="shared" si="85"/>
        <v>#DIV/0!</v>
      </c>
      <c r="BO80" s="2" t="e">
        <f t="shared" si="86"/>
        <v>#DIV/0!</v>
      </c>
      <c r="BS80" s="8" t="e">
        <f t="shared" si="48"/>
        <v>#DIV/0!</v>
      </c>
      <c r="BT80" s="2" t="e">
        <f t="shared" si="49"/>
        <v>#DIV/0!</v>
      </c>
      <c r="BU80" s="2" t="e">
        <f t="shared" si="50"/>
        <v>#DIV/0!</v>
      </c>
      <c r="BV80" s="2" t="e">
        <f t="shared" si="87"/>
        <v>#DIV/0!</v>
      </c>
      <c r="BW80" s="2" t="e">
        <f t="shared" si="88"/>
        <v>#DIV/0!</v>
      </c>
      <c r="BX80" s="2" t="e">
        <f t="shared" si="89"/>
        <v>#DIV/0!</v>
      </c>
      <c r="CE80" s="8" t="e">
        <f t="shared" si="51"/>
        <v>#DIV/0!</v>
      </c>
      <c r="CF80" s="2" t="e">
        <f t="shared" si="52"/>
        <v>#DIV/0!</v>
      </c>
      <c r="CG80" s="2" t="e">
        <f t="shared" si="53"/>
        <v>#DIV/0!</v>
      </c>
      <c r="CH80" s="2" t="e">
        <f t="shared" si="90"/>
        <v>#DIV/0!</v>
      </c>
      <c r="CI80" s="2" t="e">
        <f t="shared" si="91"/>
        <v>#DIV/0!</v>
      </c>
      <c r="CJ80" s="2" t="e">
        <f t="shared" si="92"/>
        <v>#DIV/0!</v>
      </c>
      <c r="CQ80" s="8" t="e">
        <f t="shared" si="54"/>
        <v>#DIV/0!</v>
      </c>
      <c r="CR80" s="2" t="e">
        <f t="shared" si="55"/>
        <v>#DIV/0!</v>
      </c>
      <c r="CS80" s="2" t="e">
        <f t="shared" si="56"/>
        <v>#DIV/0!</v>
      </c>
      <c r="CT80" s="2" t="e">
        <f t="shared" si="93"/>
        <v>#DIV/0!</v>
      </c>
      <c r="CU80" s="2" t="e">
        <f t="shared" si="94"/>
        <v>#DIV/0!</v>
      </c>
      <c r="CV80" s="2" t="e">
        <f t="shared" si="95"/>
        <v>#DIV/0!</v>
      </c>
    </row>
    <row r="81" spans="1:100" x14ac:dyDescent="0.2">
      <c r="A81" s="2">
        <f t="shared" si="57"/>
        <v>2.7500000000000004</v>
      </c>
      <c r="B81" s="2">
        <f t="shared" si="58"/>
        <v>6.3927861206707542E-2</v>
      </c>
      <c r="C81" s="2">
        <f t="shared" si="96"/>
        <v>6.3927861206707542E-2</v>
      </c>
      <c r="D81" s="2">
        <f t="shared" si="96"/>
        <v>6.3927861206707542E-2</v>
      </c>
      <c r="E81" s="8">
        <f t="shared" si="60"/>
        <v>6.3927861206707542E-2</v>
      </c>
      <c r="F81" s="2">
        <f t="shared" si="61"/>
        <v>6.3927861206707542E-2</v>
      </c>
      <c r="G81" s="2">
        <f t="shared" si="62"/>
        <v>6.3927861206707542E-2</v>
      </c>
      <c r="K81" s="8" t="e">
        <f t="shared" si="63"/>
        <v>#DIV/0!</v>
      </c>
      <c r="L81" s="2" t="e">
        <f t="shared" si="64"/>
        <v>#DIV/0!</v>
      </c>
      <c r="M81" s="2" t="e">
        <f t="shared" si="65"/>
        <v>#DIV/0!</v>
      </c>
      <c r="Q81" s="8">
        <f t="shared" si="66"/>
        <v>0.15586445491256917</v>
      </c>
      <c r="R81" s="2">
        <f t="shared" si="67"/>
        <v>0.15586445491256917</v>
      </c>
      <c r="S81" s="2">
        <f t="shared" si="68"/>
        <v>0.15586445491256917</v>
      </c>
      <c r="W81" s="8">
        <f t="shared" si="69"/>
        <v>0.26666666666666661</v>
      </c>
      <c r="X81" s="2">
        <f t="shared" si="70"/>
        <v>0.26666666666666661</v>
      </c>
      <c r="Y81" s="2">
        <f t="shared" si="71"/>
        <v>0.26666666666666661</v>
      </c>
      <c r="AC81" s="8">
        <f t="shared" si="72"/>
        <v>6.392786120670757E-2</v>
      </c>
      <c r="AD81" s="2">
        <f t="shared" si="73"/>
        <v>6.392786120670757E-2</v>
      </c>
      <c r="AE81" s="2">
        <f t="shared" si="74"/>
        <v>6.392786120670757E-2</v>
      </c>
      <c r="AI81" s="8">
        <f t="shared" si="75"/>
        <v>0.15586445491256917</v>
      </c>
      <c r="AJ81" s="2">
        <f t="shared" si="76"/>
        <v>0.15586445491256917</v>
      </c>
      <c r="AK81" s="2">
        <f t="shared" si="77"/>
        <v>0.15586445491256917</v>
      </c>
      <c r="AR81" s="8" t="e">
        <f t="shared" ref="AR81:AR112" si="97">AR$43+
AS$43*LN($A81)+
AT$43*(MAX(LN($A81)-AS$9,0)^3-AT$45*MAX(LN($A81)-AR$9,0)^3-(1-AT$45)*MAX(LN($A81)-AT$9,0)^3)</f>
        <v>#DIV/0!</v>
      </c>
      <c r="AS81" s="2" t="e">
        <f t="shared" ref="AS81:AS112" si="98">AR$43+
AW$43*LN($A81)+
AY$43*(MAX(LN($A81)-AS$9,0)^3-AT$45*MAX(LN($A81)-AR$9,0)^3-(1-AT$45)*MAX(LN($A81)-AT$9,0)^3)</f>
        <v>#DIV/0!</v>
      </c>
      <c r="AT81" s="2" t="e">
        <f t="shared" ref="AT81:AT112" si="99">AR$43+
AX$43*LN($A81)+
AZ$43*(MAX(LN($A81)-AS$9,0)^3-AT$45*MAX(LN($A81)-AR$9,0)^3-(1-AT$45)*MAX(LN($A81)-AT$9,0)^3)</f>
        <v>#DIV/0!</v>
      </c>
      <c r="AU81" s="2" t="e">
        <f t="shared" si="78"/>
        <v>#DIV/0!</v>
      </c>
      <c r="AV81" s="2" t="e">
        <f t="shared" si="79"/>
        <v>#DIV/0!</v>
      </c>
      <c r="AW81" s="2" t="e">
        <f t="shared" si="80"/>
        <v>#DIV/0!</v>
      </c>
      <c r="BA81" s="8" t="e">
        <f t="shared" ref="BA81:BA112" si="100">BA$43+
BB$43*LN($A81)+
BC$43*(MAX(LN($A81)-BB$9,0)^3-BC$45*MAX(LN($A81)-BA$9,0)^3-(1-BC$45)*MAX(LN($A81)-BC$9,0)^3)</f>
        <v>#DIV/0!</v>
      </c>
      <c r="BB81" s="2" t="e">
        <f t="shared" ref="BB81:BB112" si="101">BA$43+
BF$43*LN($A81)+
BH$43*(MAX(LN($A81)-BB$9,0)^3-BC$45*MAX(LN($A81)-BA$9,0)^3-(1-BC$45)*MAX(LN($A81)-BC$9,0)^3)</f>
        <v>#DIV/0!</v>
      </c>
      <c r="BC81" s="2" t="e">
        <f t="shared" ref="BC81:BC112" si="102">BA$43+
BG$43*LN($A81)+
BI$43*(MAX(LN($A81)-BB$9,0)^3-BC$45*MAX(LN($A81)-BA$9,0)^3-(1-BC$45)*MAX(LN($A81)-BC$9,0)^3)</f>
        <v>#DIV/0!</v>
      </c>
      <c r="BD81" s="2" t="e">
        <f t="shared" si="81"/>
        <v>#DIV/0!</v>
      </c>
      <c r="BE81" s="2" t="e">
        <f t="shared" si="82"/>
        <v>#DIV/0!</v>
      </c>
      <c r="BF81" s="2" t="e">
        <f t="shared" si="83"/>
        <v>#DIV/0!</v>
      </c>
      <c r="BJ81" s="8" t="e">
        <f t="shared" ref="BJ81:BJ112" si="103">BJ$43+
BK$43*LN($A81)+
BL$43*(MAX(LN($A81)-BK$9,0)^3-BL$45*MAX(LN($A81)-BJ$9,0)^3-(1-BL$45)*MAX(LN($A81)-BL$9,0)^3)</f>
        <v>#DIV/0!</v>
      </c>
      <c r="BK81" s="2" t="e">
        <f t="shared" ref="BK81:BK112" si="104">BJ$43+
BO$43*LN($A81)+
BQ$43*(MAX(LN($A81)-BK$9,0)^3-BL$45*MAX(LN($A81)-BJ$9,0)^3-(1-BL$45)*MAX(LN($A81)-BL$9,0)^3)</f>
        <v>#DIV/0!</v>
      </c>
      <c r="BL81" s="2" t="e">
        <f t="shared" ref="BL81:BL112" si="105">BJ$43+
BP$43*LN($A81)+
BR$43*(MAX(LN($A81)-BK$9,0)^3-BL$45*MAX(LN($A81)-BJ$9,0)^3-(1-BL$45)*MAX(LN($A81)-BL$9,0)^3)</f>
        <v>#DIV/0!</v>
      </c>
      <c r="BM81" s="2" t="e">
        <f t="shared" si="84"/>
        <v>#DIV/0!</v>
      </c>
      <c r="BN81" s="2" t="e">
        <f t="shared" si="85"/>
        <v>#DIV/0!</v>
      </c>
      <c r="BO81" s="2" t="e">
        <f t="shared" si="86"/>
        <v>#DIV/0!</v>
      </c>
      <c r="BS81" s="8" t="e">
        <f t="shared" ref="BS81:BS112" si="106">BS$43+
BT$43*LN($A81)+
BU$43*(MAX(LN($A81)-BT$9,0)^3-BU$45*MAX(LN($A81)-BS$9,0)^3-(1-BU$45)*MAX(LN($A81)-BV$9,0)^3)+
BV$43*(MAX(LN($A81)-BU$9,0)^3-BV$45*MAX(LN($A81)-BS$9,0)^3-(1-BV$45)*MAX(LN($A81)-BV$9,0)^3)</f>
        <v>#DIV/0!</v>
      </c>
      <c r="BT81" s="2" t="e">
        <f t="shared" ref="BT81:BT112" si="107">BS$43+
BY$43*LN($A81)+
CA$43*(MAX(LN($A81)-BT$9,0)^3-BU$45*MAX(LN($A81)-BS$9,0)^3-(1-BU$45)*MAX(LN($A81)-BV$9,0)^3)+
CC$43*(MAX(LN($A81)-BU$9,0)^3-BV$45*MAX(LN($A81)-BS$9,0)^3-(1-BV$45)*MAX(LN($A81)-BV$9,0)^3)</f>
        <v>#DIV/0!</v>
      </c>
      <c r="BU81" s="2" t="e">
        <f t="shared" ref="BU81:BU112" si="108">BS$43+
BZ$43*LN($A81)+
CB$43*(MAX(LN($A81)-BT$9,0)^3-BU$45*MAX(LN($A81)-BS$9,0)^3-(1-BU$45)*MAX(LN($A81)-BV$9,0)^3)+
CD$43*(MAX(LN($A81)-BU$9,0)^3-BV$45*MAX(LN($A81)-BS$9,0)^3-(1-BV$45)*MAX(LN($A81)-BV$9,0)^3)</f>
        <v>#DIV/0!</v>
      </c>
      <c r="BV81" s="2" t="e">
        <f t="shared" si="87"/>
        <v>#DIV/0!</v>
      </c>
      <c r="BW81" s="2" t="e">
        <f t="shared" si="88"/>
        <v>#DIV/0!</v>
      </c>
      <c r="BX81" s="2" t="e">
        <f t="shared" si="89"/>
        <v>#DIV/0!</v>
      </c>
      <c r="CE81" s="8" t="e">
        <f t="shared" ref="CE81:CE112" si="109">CE$43+
CF$43*LN($A81)+
CG$43*(MAX(LN($A81)-CF$9,0)^3-CG$45*MAX(LN($A81)-CE$9,0)^3-(1-CG$45)*MAX(LN($A81)-CH$9,0)^3)+
CH$43*(MAX(LN($A81)-CG$9,0)^3-CH$45*MAX(LN($A81)-CE$9,0)^3-(1-CH$45)*MAX(LN($A81)-CH$9,0)^3)</f>
        <v>#DIV/0!</v>
      </c>
      <c r="CF81" s="2" t="e">
        <f t="shared" ref="CF81:CF112" si="110">CE$43+
CK$43*LN($A81)+
CM$43*(MAX(LN($A81)-CF$9,0)^3-CG$45*MAX(LN($A81)-CE$9,0)^3-(1-CG$45)*MAX(LN($A81)-CH$9,0)^3)+
CO$43*(MAX(LN($A81)-CG$9,0)^3-CH$45*MAX(LN($A81)-CE$9,0)^3-(1-CH$45)*MAX(LN($A81)-CH$9,0)^3)</f>
        <v>#DIV/0!</v>
      </c>
      <c r="CG81" s="2" t="e">
        <f t="shared" ref="CG81:CG112" si="111">CE$43+
CL$43*LN($A81)+
CN$43*(MAX(LN($A81)-CF$9,0)^3-CG$45*MAX(LN($A81)-CE$9,0)^3-(1-CG$45)*MAX(LN($A81)-CH$9,0)^3)+
CP$43*(MAX(LN($A81)-CG$9,0)^3-CH$45*MAX(LN($A81)-CE$9,0)^3-(1-CH$45)*MAX(LN($A81)-CH$9,0)^3)</f>
        <v>#DIV/0!</v>
      </c>
      <c r="CH81" s="2" t="e">
        <f t="shared" si="90"/>
        <v>#DIV/0!</v>
      </c>
      <c r="CI81" s="2" t="e">
        <f t="shared" si="91"/>
        <v>#DIV/0!</v>
      </c>
      <c r="CJ81" s="2" t="e">
        <f t="shared" si="92"/>
        <v>#DIV/0!</v>
      </c>
      <c r="CQ81" s="8" t="e">
        <f t="shared" ref="CQ81:CQ112" si="112">CQ$43+
CR$43*LN($A81)+
CS$43*(MAX(LN($A81)-CR$9,0)^3-CS$45*MAX(LN($A81)-CQ$9,0)^3-(1-CS$45)*MAX(LN($A81)-CT$9,0)^3)+
CT$43*(MAX(LN($A81)-CS$9,0)^3-CT$45*MAX(LN($A81)-CQ$9,0)^3-(1-CT$45)*MAX(LN($A81)-CT$9,0)^3)</f>
        <v>#DIV/0!</v>
      </c>
      <c r="CR81" s="2" t="e">
        <f t="shared" ref="CR81:CR112" si="113">CQ$43+
CW$43*LN($A81)+
CY$43*(MAX(LN($A81)-CR$9,0)^3-CS$45*MAX(LN($A81)-CQ$9,0)^3-(1-CS$45)*MAX(LN($A81)-CT$9,0)^3)+
DA$43*(MAX(LN($A81)-CS$9,0)^3-CT$45*MAX(LN($A81)-CQ$9,0)^3-(1-CT$45)*MAX(LN($A81)-CT$9,0)^3)</f>
        <v>#DIV/0!</v>
      </c>
      <c r="CS81" s="2" t="e">
        <f t="shared" ref="CS81:CS112" si="114">CQ$43+
CX$43*LN($A81)+
CZ$43*(MAX(LN($A81)-CR$9,0)^3-CS$45*MAX(LN($A81)-CQ$9,0)^3-(1-CS$45)*MAX(LN($A81)-CT$9,0)^3)+
DB$43*(MAX(LN($A81)-CS$9,0)^3-CT$45*MAX(LN($A81)-CQ$9,0)^3-(1-CT$45)*MAX(LN($A81)-CT$9,0)^3)</f>
        <v>#DIV/0!</v>
      </c>
      <c r="CT81" s="2" t="e">
        <f t="shared" si="93"/>
        <v>#DIV/0!</v>
      </c>
      <c r="CU81" s="2" t="e">
        <f t="shared" si="94"/>
        <v>#DIV/0!</v>
      </c>
      <c r="CV81" s="2" t="e">
        <f t="shared" si="95"/>
        <v>#DIV/0!</v>
      </c>
    </row>
    <row r="82" spans="1:100" x14ac:dyDescent="0.2">
      <c r="A82" s="2">
        <f t="shared" si="57"/>
        <v>2.8333333333333339</v>
      </c>
      <c r="B82" s="2">
        <f t="shared" si="58"/>
        <v>5.8816471642429854E-2</v>
      </c>
      <c r="C82" s="2">
        <f t="shared" si="96"/>
        <v>5.8816471642429854E-2</v>
      </c>
      <c r="D82" s="2">
        <f t="shared" si="96"/>
        <v>5.8816471642429854E-2</v>
      </c>
      <c r="E82" s="8">
        <f t="shared" si="60"/>
        <v>5.8816471642429854E-2</v>
      </c>
      <c r="F82" s="2">
        <f t="shared" si="61"/>
        <v>5.8816471642429854E-2</v>
      </c>
      <c r="G82" s="2">
        <f t="shared" si="62"/>
        <v>5.8816471642429854E-2</v>
      </c>
      <c r="K82" s="8" t="e">
        <f t="shared" si="63"/>
        <v>#DIV/0!</v>
      </c>
      <c r="L82" s="2" t="e">
        <f t="shared" si="64"/>
        <v>#DIV/0!</v>
      </c>
      <c r="M82" s="2" t="e">
        <f t="shared" si="65"/>
        <v>#DIV/0!</v>
      </c>
      <c r="Q82" s="8">
        <f t="shared" si="66"/>
        <v>0.14883247488282902</v>
      </c>
      <c r="R82" s="2">
        <f t="shared" si="67"/>
        <v>0.14883247488282902</v>
      </c>
      <c r="S82" s="2">
        <f t="shared" si="68"/>
        <v>0.14883247488282902</v>
      </c>
      <c r="W82" s="8">
        <f t="shared" si="69"/>
        <v>0.26086956521739124</v>
      </c>
      <c r="X82" s="2">
        <f t="shared" si="70"/>
        <v>0.26086956521739124</v>
      </c>
      <c r="Y82" s="2">
        <f t="shared" si="71"/>
        <v>0.26086956521739124</v>
      </c>
      <c r="AC82" s="8">
        <f t="shared" si="72"/>
        <v>5.8816471642429868E-2</v>
      </c>
      <c r="AD82" s="2">
        <f t="shared" si="73"/>
        <v>5.8816471642429868E-2</v>
      </c>
      <c r="AE82" s="2">
        <f t="shared" si="74"/>
        <v>5.8816471642429868E-2</v>
      </c>
      <c r="AI82" s="8">
        <f t="shared" si="75"/>
        <v>0.14883247488282902</v>
      </c>
      <c r="AJ82" s="2">
        <f t="shared" si="76"/>
        <v>0.14883247488282902</v>
      </c>
      <c r="AK82" s="2">
        <f t="shared" si="77"/>
        <v>0.14883247488282902</v>
      </c>
      <c r="AR82" s="8" t="e">
        <f t="shared" si="97"/>
        <v>#DIV/0!</v>
      </c>
      <c r="AS82" s="2" t="e">
        <f t="shared" si="98"/>
        <v>#DIV/0!</v>
      </c>
      <c r="AT82" s="2" t="e">
        <f t="shared" si="99"/>
        <v>#DIV/0!</v>
      </c>
      <c r="AU82" s="2" t="e">
        <f t="shared" si="78"/>
        <v>#DIV/0!</v>
      </c>
      <c r="AV82" s="2" t="e">
        <f t="shared" si="79"/>
        <v>#DIV/0!</v>
      </c>
      <c r="AW82" s="2" t="e">
        <f t="shared" si="80"/>
        <v>#DIV/0!</v>
      </c>
      <c r="BA82" s="8" t="e">
        <f t="shared" si="100"/>
        <v>#DIV/0!</v>
      </c>
      <c r="BB82" s="2" t="e">
        <f t="shared" si="101"/>
        <v>#DIV/0!</v>
      </c>
      <c r="BC82" s="2" t="e">
        <f t="shared" si="102"/>
        <v>#DIV/0!</v>
      </c>
      <c r="BD82" s="2" t="e">
        <f t="shared" si="81"/>
        <v>#DIV/0!</v>
      </c>
      <c r="BE82" s="2" t="e">
        <f t="shared" si="82"/>
        <v>#DIV/0!</v>
      </c>
      <c r="BF82" s="2" t="e">
        <f t="shared" si="83"/>
        <v>#DIV/0!</v>
      </c>
      <c r="BJ82" s="8" t="e">
        <f t="shared" si="103"/>
        <v>#DIV/0!</v>
      </c>
      <c r="BK82" s="2" t="e">
        <f t="shared" si="104"/>
        <v>#DIV/0!</v>
      </c>
      <c r="BL82" s="2" t="e">
        <f t="shared" si="105"/>
        <v>#DIV/0!</v>
      </c>
      <c r="BM82" s="2" t="e">
        <f t="shared" si="84"/>
        <v>#DIV/0!</v>
      </c>
      <c r="BN82" s="2" t="e">
        <f t="shared" si="85"/>
        <v>#DIV/0!</v>
      </c>
      <c r="BO82" s="2" t="e">
        <f t="shared" si="86"/>
        <v>#DIV/0!</v>
      </c>
      <c r="BS82" s="8" t="e">
        <f t="shared" si="106"/>
        <v>#DIV/0!</v>
      </c>
      <c r="BT82" s="2" t="e">
        <f t="shared" si="107"/>
        <v>#DIV/0!</v>
      </c>
      <c r="BU82" s="2" t="e">
        <f t="shared" si="108"/>
        <v>#DIV/0!</v>
      </c>
      <c r="BV82" s="2" t="e">
        <f t="shared" si="87"/>
        <v>#DIV/0!</v>
      </c>
      <c r="BW82" s="2" t="e">
        <f t="shared" si="88"/>
        <v>#DIV/0!</v>
      </c>
      <c r="BX82" s="2" t="e">
        <f t="shared" si="89"/>
        <v>#DIV/0!</v>
      </c>
      <c r="CE82" s="8" t="e">
        <f t="shared" si="109"/>
        <v>#DIV/0!</v>
      </c>
      <c r="CF82" s="2" t="e">
        <f t="shared" si="110"/>
        <v>#DIV/0!</v>
      </c>
      <c r="CG82" s="2" t="e">
        <f t="shared" si="111"/>
        <v>#DIV/0!</v>
      </c>
      <c r="CH82" s="2" t="e">
        <f t="shared" si="90"/>
        <v>#DIV/0!</v>
      </c>
      <c r="CI82" s="2" t="e">
        <f t="shared" si="91"/>
        <v>#DIV/0!</v>
      </c>
      <c r="CJ82" s="2" t="e">
        <f t="shared" si="92"/>
        <v>#DIV/0!</v>
      </c>
      <c r="CQ82" s="8" t="e">
        <f t="shared" si="112"/>
        <v>#DIV/0!</v>
      </c>
      <c r="CR82" s="2" t="e">
        <f t="shared" si="113"/>
        <v>#DIV/0!</v>
      </c>
      <c r="CS82" s="2" t="e">
        <f t="shared" si="114"/>
        <v>#DIV/0!</v>
      </c>
      <c r="CT82" s="2" t="e">
        <f t="shared" si="93"/>
        <v>#DIV/0!</v>
      </c>
      <c r="CU82" s="2" t="e">
        <f t="shared" si="94"/>
        <v>#DIV/0!</v>
      </c>
      <c r="CV82" s="2" t="e">
        <f t="shared" si="95"/>
        <v>#DIV/0!</v>
      </c>
    </row>
    <row r="83" spans="1:100" x14ac:dyDescent="0.2">
      <c r="A83" s="2">
        <f t="shared" si="57"/>
        <v>2.9166666666666674</v>
      </c>
      <c r="B83" s="2">
        <f t="shared" si="58"/>
        <v>5.411376622282156E-2</v>
      </c>
      <c r="C83" s="2">
        <f t="shared" si="96"/>
        <v>5.411376622282156E-2</v>
      </c>
      <c r="D83" s="2">
        <f t="shared" si="96"/>
        <v>5.411376622282156E-2</v>
      </c>
      <c r="E83" s="8">
        <f t="shared" si="60"/>
        <v>5.411376622282156E-2</v>
      </c>
      <c r="F83" s="2">
        <f t="shared" si="61"/>
        <v>5.411376622282156E-2</v>
      </c>
      <c r="G83" s="2">
        <f t="shared" si="62"/>
        <v>5.411376622282156E-2</v>
      </c>
      <c r="K83" s="8" t="e">
        <f t="shared" si="63"/>
        <v>#DIV/0!</v>
      </c>
      <c r="L83" s="2" t="e">
        <f t="shared" si="64"/>
        <v>#DIV/0!</v>
      </c>
      <c r="M83" s="2" t="e">
        <f t="shared" si="65"/>
        <v>#DIV/0!</v>
      </c>
      <c r="Q83" s="8">
        <f t="shared" si="66"/>
        <v>0.14221033372714587</v>
      </c>
      <c r="R83" s="2">
        <f t="shared" si="67"/>
        <v>0.14221033372714587</v>
      </c>
      <c r="S83" s="2">
        <f t="shared" si="68"/>
        <v>0.14221033372714587</v>
      </c>
      <c r="W83" s="8">
        <f t="shared" si="69"/>
        <v>0.25531914893617014</v>
      </c>
      <c r="X83" s="2">
        <f t="shared" si="70"/>
        <v>0.25531914893617014</v>
      </c>
      <c r="Y83" s="2">
        <f t="shared" si="71"/>
        <v>0.25531914893617014</v>
      </c>
      <c r="AC83" s="8">
        <f t="shared" si="72"/>
        <v>5.4113766222821602E-2</v>
      </c>
      <c r="AD83" s="2">
        <f t="shared" si="73"/>
        <v>5.4113766222821602E-2</v>
      </c>
      <c r="AE83" s="2">
        <f t="shared" si="74"/>
        <v>5.4113766222821602E-2</v>
      </c>
      <c r="AI83" s="8">
        <f t="shared" si="75"/>
        <v>0.14221033372714587</v>
      </c>
      <c r="AJ83" s="2">
        <f t="shared" si="76"/>
        <v>0.14221033372714587</v>
      </c>
      <c r="AK83" s="2">
        <f t="shared" si="77"/>
        <v>0.14221033372714587</v>
      </c>
      <c r="AR83" s="8" t="e">
        <f t="shared" si="97"/>
        <v>#DIV/0!</v>
      </c>
      <c r="AS83" s="2" t="e">
        <f t="shared" si="98"/>
        <v>#DIV/0!</v>
      </c>
      <c r="AT83" s="2" t="e">
        <f t="shared" si="99"/>
        <v>#DIV/0!</v>
      </c>
      <c r="AU83" s="2" t="e">
        <f t="shared" si="78"/>
        <v>#DIV/0!</v>
      </c>
      <c r="AV83" s="2" t="e">
        <f t="shared" si="79"/>
        <v>#DIV/0!</v>
      </c>
      <c r="AW83" s="2" t="e">
        <f t="shared" si="80"/>
        <v>#DIV/0!</v>
      </c>
      <c r="BA83" s="8" t="e">
        <f t="shared" si="100"/>
        <v>#DIV/0!</v>
      </c>
      <c r="BB83" s="2" t="e">
        <f t="shared" si="101"/>
        <v>#DIV/0!</v>
      </c>
      <c r="BC83" s="2" t="e">
        <f t="shared" si="102"/>
        <v>#DIV/0!</v>
      </c>
      <c r="BD83" s="2" t="e">
        <f t="shared" si="81"/>
        <v>#DIV/0!</v>
      </c>
      <c r="BE83" s="2" t="e">
        <f t="shared" si="82"/>
        <v>#DIV/0!</v>
      </c>
      <c r="BF83" s="2" t="e">
        <f t="shared" si="83"/>
        <v>#DIV/0!</v>
      </c>
      <c r="BJ83" s="8" t="e">
        <f t="shared" si="103"/>
        <v>#DIV/0!</v>
      </c>
      <c r="BK83" s="2" t="e">
        <f t="shared" si="104"/>
        <v>#DIV/0!</v>
      </c>
      <c r="BL83" s="2" t="e">
        <f t="shared" si="105"/>
        <v>#DIV/0!</v>
      </c>
      <c r="BM83" s="2" t="e">
        <f t="shared" si="84"/>
        <v>#DIV/0!</v>
      </c>
      <c r="BN83" s="2" t="e">
        <f t="shared" si="85"/>
        <v>#DIV/0!</v>
      </c>
      <c r="BO83" s="2" t="e">
        <f t="shared" si="86"/>
        <v>#DIV/0!</v>
      </c>
      <c r="BS83" s="8" t="e">
        <f t="shared" si="106"/>
        <v>#DIV/0!</v>
      </c>
      <c r="BT83" s="2" t="e">
        <f t="shared" si="107"/>
        <v>#DIV/0!</v>
      </c>
      <c r="BU83" s="2" t="e">
        <f t="shared" si="108"/>
        <v>#DIV/0!</v>
      </c>
      <c r="BV83" s="2" t="e">
        <f t="shared" si="87"/>
        <v>#DIV/0!</v>
      </c>
      <c r="BW83" s="2" t="e">
        <f t="shared" si="88"/>
        <v>#DIV/0!</v>
      </c>
      <c r="BX83" s="2" t="e">
        <f t="shared" si="89"/>
        <v>#DIV/0!</v>
      </c>
      <c r="CE83" s="8" t="e">
        <f t="shared" si="109"/>
        <v>#DIV/0!</v>
      </c>
      <c r="CF83" s="2" t="e">
        <f t="shared" si="110"/>
        <v>#DIV/0!</v>
      </c>
      <c r="CG83" s="2" t="e">
        <f t="shared" si="111"/>
        <v>#DIV/0!</v>
      </c>
      <c r="CH83" s="2" t="e">
        <f t="shared" si="90"/>
        <v>#DIV/0!</v>
      </c>
      <c r="CI83" s="2" t="e">
        <f t="shared" si="91"/>
        <v>#DIV/0!</v>
      </c>
      <c r="CJ83" s="2" t="e">
        <f t="shared" si="92"/>
        <v>#DIV/0!</v>
      </c>
      <c r="CQ83" s="8" t="e">
        <f t="shared" si="112"/>
        <v>#DIV/0!</v>
      </c>
      <c r="CR83" s="2" t="e">
        <f t="shared" si="113"/>
        <v>#DIV/0!</v>
      </c>
      <c r="CS83" s="2" t="e">
        <f t="shared" si="114"/>
        <v>#DIV/0!</v>
      </c>
      <c r="CT83" s="2" t="e">
        <f t="shared" si="93"/>
        <v>#DIV/0!</v>
      </c>
      <c r="CU83" s="2" t="e">
        <f t="shared" si="94"/>
        <v>#DIV/0!</v>
      </c>
      <c r="CV83" s="2" t="e">
        <f t="shared" si="95"/>
        <v>#DIV/0!</v>
      </c>
    </row>
    <row r="84" spans="1:100" x14ac:dyDescent="0.2">
      <c r="A84" s="2">
        <f t="shared" si="57"/>
        <v>3.0000000000000009</v>
      </c>
      <c r="B84" s="2">
        <f t="shared" si="58"/>
        <v>4.9787068367863896E-2</v>
      </c>
      <c r="C84" s="2">
        <f t="shared" si="96"/>
        <v>4.9787068367863896E-2</v>
      </c>
      <c r="D84" s="2">
        <f t="shared" si="96"/>
        <v>4.9787068367863896E-2</v>
      </c>
      <c r="E84" s="8">
        <f t="shared" si="60"/>
        <v>4.9787068367863896E-2</v>
      </c>
      <c r="F84" s="2">
        <f t="shared" si="61"/>
        <v>4.9787068367863896E-2</v>
      </c>
      <c r="G84" s="2">
        <f t="shared" si="62"/>
        <v>4.9787068367863896E-2</v>
      </c>
      <c r="K84" s="8" t="e">
        <f t="shared" si="63"/>
        <v>#DIV/0!</v>
      </c>
      <c r="L84" s="2" t="e">
        <f t="shared" si="64"/>
        <v>#DIV/0!</v>
      </c>
      <c r="M84" s="2" t="e">
        <f t="shared" si="65"/>
        <v>#DIV/0!</v>
      </c>
      <c r="Q84" s="8">
        <f t="shared" si="66"/>
        <v>0.13596860764142438</v>
      </c>
      <c r="R84" s="2">
        <f t="shared" si="67"/>
        <v>0.13596860764142438</v>
      </c>
      <c r="S84" s="2">
        <f t="shared" si="68"/>
        <v>0.13596860764142438</v>
      </c>
      <c r="W84" s="8">
        <f t="shared" si="69"/>
        <v>0.25</v>
      </c>
      <c r="X84" s="2">
        <f t="shared" si="70"/>
        <v>0.25</v>
      </c>
      <c r="Y84" s="2">
        <f t="shared" si="71"/>
        <v>0.25</v>
      </c>
      <c r="AC84" s="8">
        <f t="shared" si="72"/>
        <v>4.978706836786384E-2</v>
      </c>
      <c r="AD84" s="2">
        <f t="shared" si="73"/>
        <v>4.978706836786384E-2</v>
      </c>
      <c r="AE84" s="2">
        <f t="shared" si="74"/>
        <v>4.978706836786384E-2</v>
      </c>
      <c r="AI84" s="8">
        <f t="shared" si="75"/>
        <v>0.13596860764142438</v>
      </c>
      <c r="AJ84" s="2">
        <f t="shared" si="76"/>
        <v>0.13596860764142438</v>
      </c>
      <c r="AK84" s="2">
        <f t="shared" si="77"/>
        <v>0.13596860764142438</v>
      </c>
      <c r="AR84" s="8" t="e">
        <f t="shared" si="97"/>
        <v>#DIV/0!</v>
      </c>
      <c r="AS84" s="2" t="e">
        <f t="shared" si="98"/>
        <v>#DIV/0!</v>
      </c>
      <c r="AT84" s="2" t="e">
        <f t="shared" si="99"/>
        <v>#DIV/0!</v>
      </c>
      <c r="AU84" s="2" t="e">
        <f t="shared" si="78"/>
        <v>#DIV/0!</v>
      </c>
      <c r="AV84" s="2" t="e">
        <f t="shared" si="79"/>
        <v>#DIV/0!</v>
      </c>
      <c r="AW84" s="2" t="e">
        <f t="shared" si="80"/>
        <v>#DIV/0!</v>
      </c>
      <c r="BA84" s="8" t="e">
        <f t="shared" si="100"/>
        <v>#DIV/0!</v>
      </c>
      <c r="BB84" s="2" t="e">
        <f t="shared" si="101"/>
        <v>#DIV/0!</v>
      </c>
      <c r="BC84" s="2" t="e">
        <f t="shared" si="102"/>
        <v>#DIV/0!</v>
      </c>
      <c r="BD84" s="2" t="e">
        <f t="shared" si="81"/>
        <v>#DIV/0!</v>
      </c>
      <c r="BE84" s="2" t="e">
        <f t="shared" si="82"/>
        <v>#DIV/0!</v>
      </c>
      <c r="BF84" s="2" t="e">
        <f t="shared" si="83"/>
        <v>#DIV/0!</v>
      </c>
      <c r="BJ84" s="8" t="e">
        <f t="shared" si="103"/>
        <v>#DIV/0!</v>
      </c>
      <c r="BK84" s="2" t="e">
        <f t="shared" si="104"/>
        <v>#DIV/0!</v>
      </c>
      <c r="BL84" s="2" t="e">
        <f t="shared" si="105"/>
        <v>#DIV/0!</v>
      </c>
      <c r="BM84" s="2" t="e">
        <f t="shared" si="84"/>
        <v>#DIV/0!</v>
      </c>
      <c r="BN84" s="2" t="e">
        <f t="shared" si="85"/>
        <v>#DIV/0!</v>
      </c>
      <c r="BO84" s="2" t="e">
        <f t="shared" si="86"/>
        <v>#DIV/0!</v>
      </c>
      <c r="BS84" s="8" t="e">
        <f t="shared" si="106"/>
        <v>#DIV/0!</v>
      </c>
      <c r="BT84" s="2" t="e">
        <f t="shared" si="107"/>
        <v>#DIV/0!</v>
      </c>
      <c r="BU84" s="2" t="e">
        <f t="shared" si="108"/>
        <v>#DIV/0!</v>
      </c>
      <c r="BV84" s="2" t="e">
        <f t="shared" si="87"/>
        <v>#DIV/0!</v>
      </c>
      <c r="BW84" s="2" t="e">
        <f t="shared" si="88"/>
        <v>#DIV/0!</v>
      </c>
      <c r="BX84" s="2" t="e">
        <f t="shared" si="89"/>
        <v>#DIV/0!</v>
      </c>
      <c r="CE84" s="8" t="e">
        <f t="shared" si="109"/>
        <v>#DIV/0!</v>
      </c>
      <c r="CF84" s="2" t="e">
        <f t="shared" si="110"/>
        <v>#DIV/0!</v>
      </c>
      <c r="CG84" s="2" t="e">
        <f t="shared" si="111"/>
        <v>#DIV/0!</v>
      </c>
      <c r="CH84" s="2" t="e">
        <f t="shared" si="90"/>
        <v>#DIV/0!</v>
      </c>
      <c r="CI84" s="2" t="e">
        <f t="shared" si="91"/>
        <v>#DIV/0!</v>
      </c>
      <c r="CJ84" s="2" t="e">
        <f t="shared" si="92"/>
        <v>#DIV/0!</v>
      </c>
      <c r="CQ84" s="8" t="e">
        <f t="shared" si="112"/>
        <v>#DIV/0!</v>
      </c>
      <c r="CR84" s="2" t="e">
        <f t="shared" si="113"/>
        <v>#DIV/0!</v>
      </c>
      <c r="CS84" s="2" t="e">
        <f t="shared" si="114"/>
        <v>#DIV/0!</v>
      </c>
      <c r="CT84" s="2" t="e">
        <f t="shared" si="93"/>
        <v>#DIV/0!</v>
      </c>
      <c r="CU84" s="2" t="e">
        <f t="shared" si="94"/>
        <v>#DIV/0!</v>
      </c>
      <c r="CV84" s="2" t="e">
        <f t="shared" si="95"/>
        <v>#DIV/0!</v>
      </c>
    </row>
    <row r="85" spans="1:100" x14ac:dyDescent="0.2">
      <c r="A85" s="2">
        <f t="shared" si="57"/>
        <v>3.0833333333333344</v>
      </c>
      <c r="B85" s="2">
        <f t="shared" si="58"/>
        <v>4.5806314172621432E-2</v>
      </c>
      <c r="C85" s="2">
        <f t="shared" si="96"/>
        <v>4.5806314172621432E-2</v>
      </c>
      <c r="D85" s="2">
        <f t="shared" si="96"/>
        <v>4.5806314172621432E-2</v>
      </c>
      <c r="E85" s="8">
        <f t="shared" si="60"/>
        <v>4.5806314172621432E-2</v>
      </c>
      <c r="F85" s="2">
        <f t="shared" si="61"/>
        <v>4.5806314172621432E-2</v>
      </c>
      <c r="G85" s="2">
        <f t="shared" si="62"/>
        <v>4.5806314172621432E-2</v>
      </c>
      <c r="K85" s="8" t="e">
        <f t="shared" si="63"/>
        <v>#DIV/0!</v>
      </c>
      <c r="L85" s="2" t="e">
        <f t="shared" si="64"/>
        <v>#DIV/0!</v>
      </c>
      <c r="M85" s="2" t="e">
        <f t="shared" si="65"/>
        <v>#DIV/0!</v>
      </c>
      <c r="Q85" s="8">
        <f t="shared" si="66"/>
        <v>0.13008037602547573</v>
      </c>
      <c r="R85" s="2">
        <f t="shared" si="67"/>
        <v>0.13008037602547573</v>
      </c>
      <c r="S85" s="2">
        <f t="shared" si="68"/>
        <v>0.13008037602547573</v>
      </c>
      <c r="W85" s="8">
        <f t="shared" si="69"/>
        <v>0.24489795918367341</v>
      </c>
      <c r="X85" s="2">
        <f t="shared" si="70"/>
        <v>0.24489795918367341</v>
      </c>
      <c r="Y85" s="2">
        <f t="shared" si="71"/>
        <v>0.24489795918367341</v>
      </c>
      <c r="AC85" s="8">
        <f t="shared" si="72"/>
        <v>4.5806314172621487E-2</v>
      </c>
      <c r="AD85" s="2">
        <f t="shared" si="73"/>
        <v>4.5806314172621487E-2</v>
      </c>
      <c r="AE85" s="2">
        <f t="shared" si="74"/>
        <v>4.5806314172621487E-2</v>
      </c>
      <c r="AI85" s="8">
        <f t="shared" si="75"/>
        <v>0.13008037602547573</v>
      </c>
      <c r="AJ85" s="2">
        <f t="shared" si="76"/>
        <v>0.13008037602547573</v>
      </c>
      <c r="AK85" s="2">
        <f t="shared" si="77"/>
        <v>0.13008037602547573</v>
      </c>
      <c r="AR85" s="8" t="e">
        <f t="shared" si="97"/>
        <v>#DIV/0!</v>
      </c>
      <c r="AS85" s="2" t="e">
        <f t="shared" si="98"/>
        <v>#DIV/0!</v>
      </c>
      <c r="AT85" s="2" t="e">
        <f t="shared" si="99"/>
        <v>#DIV/0!</v>
      </c>
      <c r="AU85" s="2" t="e">
        <f t="shared" si="78"/>
        <v>#DIV/0!</v>
      </c>
      <c r="AV85" s="2" t="e">
        <f t="shared" si="79"/>
        <v>#DIV/0!</v>
      </c>
      <c r="AW85" s="2" t="e">
        <f t="shared" si="80"/>
        <v>#DIV/0!</v>
      </c>
      <c r="BA85" s="8" t="e">
        <f t="shared" si="100"/>
        <v>#DIV/0!</v>
      </c>
      <c r="BB85" s="2" t="e">
        <f t="shared" si="101"/>
        <v>#DIV/0!</v>
      </c>
      <c r="BC85" s="2" t="e">
        <f t="shared" si="102"/>
        <v>#DIV/0!</v>
      </c>
      <c r="BD85" s="2" t="e">
        <f t="shared" si="81"/>
        <v>#DIV/0!</v>
      </c>
      <c r="BE85" s="2" t="e">
        <f t="shared" si="82"/>
        <v>#DIV/0!</v>
      </c>
      <c r="BF85" s="2" t="e">
        <f t="shared" si="83"/>
        <v>#DIV/0!</v>
      </c>
      <c r="BJ85" s="8" t="e">
        <f t="shared" si="103"/>
        <v>#DIV/0!</v>
      </c>
      <c r="BK85" s="2" t="e">
        <f t="shared" si="104"/>
        <v>#DIV/0!</v>
      </c>
      <c r="BL85" s="2" t="e">
        <f t="shared" si="105"/>
        <v>#DIV/0!</v>
      </c>
      <c r="BM85" s="2" t="e">
        <f t="shared" si="84"/>
        <v>#DIV/0!</v>
      </c>
      <c r="BN85" s="2" t="e">
        <f t="shared" si="85"/>
        <v>#DIV/0!</v>
      </c>
      <c r="BO85" s="2" t="e">
        <f t="shared" si="86"/>
        <v>#DIV/0!</v>
      </c>
      <c r="BS85" s="8" t="e">
        <f t="shared" si="106"/>
        <v>#DIV/0!</v>
      </c>
      <c r="BT85" s="2" t="e">
        <f t="shared" si="107"/>
        <v>#DIV/0!</v>
      </c>
      <c r="BU85" s="2" t="e">
        <f t="shared" si="108"/>
        <v>#DIV/0!</v>
      </c>
      <c r="BV85" s="2" t="e">
        <f t="shared" si="87"/>
        <v>#DIV/0!</v>
      </c>
      <c r="BW85" s="2" t="e">
        <f t="shared" si="88"/>
        <v>#DIV/0!</v>
      </c>
      <c r="BX85" s="2" t="e">
        <f t="shared" si="89"/>
        <v>#DIV/0!</v>
      </c>
      <c r="CE85" s="8" t="e">
        <f t="shared" si="109"/>
        <v>#DIV/0!</v>
      </c>
      <c r="CF85" s="2" t="e">
        <f t="shared" si="110"/>
        <v>#DIV/0!</v>
      </c>
      <c r="CG85" s="2" t="e">
        <f t="shared" si="111"/>
        <v>#DIV/0!</v>
      </c>
      <c r="CH85" s="2" t="e">
        <f t="shared" si="90"/>
        <v>#DIV/0!</v>
      </c>
      <c r="CI85" s="2" t="e">
        <f t="shared" si="91"/>
        <v>#DIV/0!</v>
      </c>
      <c r="CJ85" s="2" t="e">
        <f t="shared" si="92"/>
        <v>#DIV/0!</v>
      </c>
      <c r="CQ85" s="8" t="e">
        <f t="shared" si="112"/>
        <v>#DIV/0!</v>
      </c>
      <c r="CR85" s="2" t="e">
        <f t="shared" si="113"/>
        <v>#DIV/0!</v>
      </c>
      <c r="CS85" s="2" t="e">
        <f t="shared" si="114"/>
        <v>#DIV/0!</v>
      </c>
      <c r="CT85" s="2" t="e">
        <f t="shared" si="93"/>
        <v>#DIV/0!</v>
      </c>
      <c r="CU85" s="2" t="e">
        <f t="shared" si="94"/>
        <v>#DIV/0!</v>
      </c>
      <c r="CV85" s="2" t="e">
        <f t="shared" si="95"/>
        <v>#DIV/0!</v>
      </c>
    </row>
    <row r="86" spans="1:100" x14ac:dyDescent="0.2">
      <c r="A86" s="2">
        <f t="shared" si="57"/>
        <v>3.1666666666666679</v>
      </c>
      <c r="B86" s="2">
        <f t="shared" si="58"/>
        <v>4.2143843509276351E-2</v>
      </c>
      <c r="C86" s="2">
        <f t="shared" si="96"/>
        <v>4.2143843509276351E-2</v>
      </c>
      <c r="D86" s="2">
        <f t="shared" si="96"/>
        <v>4.2143843509276351E-2</v>
      </c>
      <c r="E86" s="8">
        <f t="shared" si="60"/>
        <v>4.2143843509276351E-2</v>
      </c>
      <c r="F86" s="2">
        <f t="shared" si="61"/>
        <v>4.2143843509276351E-2</v>
      </c>
      <c r="G86" s="2">
        <f t="shared" si="62"/>
        <v>4.2143843509276351E-2</v>
      </c>
      <c r="K86" s="8" t="e">
        <f t="shared" si="63"/>
        <v>#DIV/0!</v>
      </c>
      <c r="L86" s="2" t="e">
        <f t="shared" si="64"/>
        <v>#DIV/0!</v>
      </c>
      <c r="M86" s="2" t="e">
        <f t="shared" si="65"/>
        <v>#DIV/0!</v>
      </c>
      <c r="Q86" s="8">
        <f t="shared" si="66"/>
        <v>0.12452097732570455</v>
      </c>
      <c r="R86" s="2">
        <f t="shared" si="67"/>
        <v>0.12452097732570455</v>
      </c>
      <c r="S86" s="2">
        <f t="shared" si="68"/>
        <v>0.12452097732570455</v>
      </c>
      <c r="W86" s="8">
        <f t="shared" si="69"/>
        <v>0.23999999999999988</v>
      </c>
      <c r="X86" s="2">
        <f t="shared" si="70"/>
        <v>0.23999999999999988</v>
      </c>
      <c r="Y86" s="2">
        <f t="shared" si="71"/>
        <v>0.23999999999999988</v>
      </c>
      <c r="AC86" s="8">
        <f t="shared" si="72"/>
        <v>4.2143843509276357E-2</v>
      </c>
      <c r="AD86" s="2">
        <f t="shared" si="73"/>
        <v>4.2143843509276357E-2</v>
      </c>
      <c r="AE86" s="2">
        <f t="shared" si="74"/>
        <v>4.2143843509276357E-2</v>
      </c>
      <c r="AI86" s="8">
        <f t="shared" si="75"/>
        <v>0.12452097732570455</v>
      </c>
      <c r="AJ86" s="2">
        <f t="shared" si="76"/>
        <v>0.12452097732570455</v>
      </c>
      <c r="AK86" s="2">
        <f t="shared" si="77"/>
        <v>0.12452097732570455</v>
      </c>
      <c r="AR86" s="8" t="e">
        <f t="shared" si="97"/>
        <v>#DIV/0!</v>
      </c>
      <c r="AS86" s="2" t="e">
        <f t="shared" si="98"/>
        <v>#DIV/0!</v>
      </c>
      <c r="AT86" s="2" t="e">
        <f t="shared" si="99"/>
        <v>#DIV/0!</v>
      </c>
      <c r="AU86" s="2" t="e">
        <f t="shared" si="78"/>
        <v>#DIV/0!</v>
      </c>
      <c r="AV86" s="2" t="e">
        <f t="shared" si="79"/>
        <v>#DIV/0!</v>
      </c>
      <c r="AW86" s="2" t="e">
        <f t="shared" si="80"/>
        <v>#DIV/0!</v>
      </c>
      <c r="BA86" s="8" t="e">
        <f t="shared" si="100"/>
        <v>#DIV/0!</v>
      </c>
      <c r="BB86" s="2" t="e">
        <f t="shared" si="101"/>
        <v>#DIV/0!</v>
      </c>
      <c r="BC86" s="2" t="e">
        <f t="shared" si="102"/>
        <v>#DIV/0!</v>
      </c>
      <c r="BD86" s="2" t="e">
        <f t="shared" si="81"/>
        <v>#DIV/0!</v>
      </c>
      <c r="BE86" s="2" t="e">
        <f t="shared" si="82"/>
        <v>#DIV/0!</v>
      </c>
      <c r="BF86" s="2" t="e">
        <f t="shared" si="83"/>
        <v>#DIV/0!</v>
      </c>
      <c r="BJ86" s="8" t="e">
        <f t="shared" si="103"/>
        <v>#DIV/0!</v>
      </c>
      <c r="BK86" s="2" t="e">
        <f t="shared" si="104"/>
        <v>#DIV/0!</v>
      </c>
      <c r="BL86" s="2" t="e">
        <f t="shared" si="105"/>
        <v>#DIV/0!</v>
      </c>
      <c r="BM86" s="2" t="e">
        <f t="shared" si="84"/>
        <v>#DIV/0!</v>
      </c>
      <c r="BN86" s="2" t="e">
        <f t="shared" si="85"/>
        <v>#DIV/0!</v>
      </c>
      <c r="BO86" s="2" t="e">
        <f t="shared" si="86"/>
        <v>#DIV/0!</v>
      </c>
      <c r="BS86" s="8" t="e">
        <f t="shared" si="106"/>
        <v>#DIV/0!</v>
      </c>
      <c r="BT86" s="2" t="e">
        <f t="shared" si="107"/>
        <v>#DIV/0!</v>
      </c>
      <c r="BU86" s="2" t="e">
        <f t="shared" si="108"/>
        <v>#DIV/0!</v>
      </c>
      <c r="BV86" s="2" t="e">
        <f t="shared" si="87"/>
        <v>#DIV/0!</v>
      </c>
      <c r="BW86" s="2" t="e">
        <f t="shared" si="88"/>
        <v>#DIV/0!</v>
      </c>
      <c r="BX86" s="2" t="e">
        <f t="shared" si="89"/>
        <v>#DIV/0!</v>
      </c>
      <c r="CE86" s="8" t="e">
        <f t="shared" si="109"/>
        <v>#DIV/0!</v>
      </c>
      <c r="CF86" s="2" t="e">
        <f t="shared" si="110"/>
        <v>#DIV/0!</v>
      </c>
      <c r="CG86" s="2" t="e">
        <f t="shared" si="111"/>
        <v>#DIV/0!</v>
      </c>
      <c r="CH86" s="2" t="e">
        <f t="shared" si="90"/>
        <v>#DIV/0!</v>
      </c>
      <c r="CI86" s="2" t="e">
        <f t="shared" si="91"/>
        <v>#DIV/0!</v>
      </c>
      <c r="CJ86" s="2" t="e">
        <f t="shared" si="92"/>
        <v>#DIV/0!</v>
      </c>
      <c r="CQ86" s="8" t="e">
        <f t="shared" si="112"/>
        <v>#DIV/0!</v>
      </c>
      <c r="CR86" s="2" t="e">
        <f t="shared" si="113"/>
        <v>#DIV/0!</v>
      </c>
      <c r="CS86" s="2" t="e">
        <f t="shared" si="114"/>
        <v>#DIV/0!</v>
      </c>
      <c r="CT86" s="2" t="e">
        <f t="shared" si="93"/>
        <v>#DIV/0!</v>
      </c>
      <c r="CU86" s="2" t="e">
        <f t="shared" si="94"/>
        <v>#DIV/0!</v>
      </c>
      <c r="CV86" s="2" t="e">
        <f t="shared" si="95"/>
        <v>#DIV/0!</v>
      </c>
    </row>
    <row r="87" spans="1:100" x14ac:dyDescent="0.2">
      <c r="A87" s="2">
        <f t="shared" si="57"/>
        <v>3.2500000000000013</v>
      </c>
      <c r="B87" s="2">
        <f t="shared" si="58"/>
        <v>3.877420783172196E-2</v>
      </c>
      <c r="C87" s="2">
        <f t="shared" si="96"/>
        <v>3.877420783172196E-2</v>
      </c>
      <c r="D87" s="2">
        <f t="shared" si="96"/>
        <v>3.877420783172196E-2</v>
      </c>
      <c r="E87" s="8">
        <f t="shared" si="60"/>
        <v>3.877420783172196E-2</v>
      </c>
      <c r="F87" s="2">
        <f t="shared" si="61"/>
        <v>3.877420783172196E-2</v>
      </c>
      <c r="G87" s="2">
        <f t="shared" si="62"/>
        <v>3.877420783172196E-2</v>
      </c>
      <c r="K87" s="8" t="e">
        <f t="shared" si="63"/>
        <v>#DIV/0!</v>
      </c>
      <c r="L87" s="2" t="e">
        <f t="shared" si="64"/>
        <v>#DIV/0!</v>
      </c>
      <c r="M87" s="2" t="e">
        <f t="shared" si="65"/>
        <v>#DIV/0!</v>
      </c>
      <c r="Q87" s="8">
        <f t="shared" si="66"/>
        <v>0.11926779136256527</v>
      </c>
      <c r="R87" s="2">
        <f t="shared" si="67"/>
        <v>0.11926779136256527</v>
      </c>
      <c r="S87" s="2">
        <f t="shared" si="68"/>
        <v>0.11926779136256527</v>
      </c>
      <c r="W87" s="8">
        <f t="shared" si="69"/>
        <v>0.23529411764705865</v>
      </c>
      <c r="X87" s="2">
        <f t="shared" si="70"/>
        <v>0.23529411764705865</v>
      </c>
      <c r="Y87" s="2">
        <f t="shared" si="71"/>
        <v>0.23529411764705865</v>
      </c>
      <c r="AC87" s="8">
        <f t="shared" si="72"/>
        <v>3.8774207831721919E-2</v>
      </c>
      <c r="AD87" s="2">
        <f t="shared" si="73"/>
        <v>3.8774207831721919E-2</v>
      </c>
      <c r="AE87" s="2">
        <f t="shared" si="74"/>
        <v>3.8774207831721919E-2</v>
      </c>
      <c r="AI87" s="8">
        <f t="shared" si="75"/>
        <v>0.11926779136256527</v>
      </c>
      <c r="AJ87" s="2">
        <f t="shared" si="76"/>
        <v>0.11926779136256527</v>
      </c>
      <c r="AK87" s="2">
        <f t="shared" si="77"/>
        <v>0.11926779136256527</v>
      </c>
      <c r="AR87" s="8" t="e">
        <f t="shared" si="97"/>
        <v>#DIV/0!</v>
      </c>
      <c r="AS87" s="2" t="e">
        <f t="shared" si="98"/>
        <v>#DIV/0!</v>
      </c>
      <c r="AT87" s="2" t="e">
        <f t="shared" si="99"/>
        <v>#DIV/0!</v>
      </c>
      <c r="AU87" s="2" t="e">
        <f t="shared" si="78"/>
        <v>#DIV/0!</v>
      </c>
      <c r="AV87" s="2" t="e">
        <f t="shared" si="79"/>
        <v>#DIV/0!</v>
      </c>
      <c r="AW87" s="2" t="e">
        <f t="shared" si="80"/>
        <v>#DIV/0!</v>
      </c>
      <c r="BA87" s="8" t="e">
        <f t="shared" si="100"/>
        <v>#DIV/0!</v>
      </c>
      <c r="BB87" s="2" t="e">
        <f t="shared" si="101"/>
        <v>#DIV/0!</v>
      </c>
      <c r="BC87" s="2" t="e">
        <f t="shared" si="102"/>
        <v>#DIV/0!</v>
      </c>
      <c r="BD87" s="2" t="e">
        <f t="shared" si="81"/>
        <v>#DIV/0!</v>
      </c>
      <c r="BE87" s="2" t="e">
        <f t="shared" si="82"/>
        <v>#DIV/0!</v>
      </c>
      <c r="BF87" s="2" t="e">
        <f t="shared" si="83"/>
        <v>#DIV/0!</v>
      </c>
      <c r="BJ87" s="8" t="e">
        <f t="shared" si="103"/>
        <v>#DIV/0!</v>
      </c>
      <c r="BK87" s="2" t="e">
        <f t="shared" si="104"/>
        <v>#DIV/0!</v>
      </c>
      <c r="BL87" s="2" t="e">
        <f t="shared" si="105"/>
        <v>#DIV/0!</v>
      </c>
      <c r="BM87" s="2" t="e">
        <f t="shared" si="84"/>
        <v>#DIV/0!</v>
      </c>
      <c r="BN87" s="2" t="e">
        <f t="shared" si="85"/>
        <v>#DIV/0!</v>
      </c>
      <c r="BO87" s="2" t="e">
        <f t="shared" si="86"/>
        <v>#DIV/0!</v>
      </c>
      <c r="BS87" s="8" t="e">
        <f t="shared" si="106"/>
        <v>#DIV/0!</v>
      </c>
      <c r="BT87" s="2" t="e">
        <f t="shared" si="107"/>
        <v>#DIV/0!</v>
      </c>
      <c r="BU87" s="2" t="e">
        <f t="shared" si="108"/>
        <v>#DIV/0!</v>
      </c>
      <c r="BV87" s="2" t="e">
        <f t="shared" si="87"/>
        <v>#DIV/0!</v>
      </c>
      <c r="BW87" s="2" t="e">
        <f t="shared" si="88"/>
        <v>#DIV/0!</v>
      </c>
      <c r="BX87" s="2" t="e">
        <f t="shared" si="89"/>
        <v>#DIV/0!</v>
      </c>
      <c r="CE87" s="8" t="e">
        <f t="shared" si="109"/>
        <v>#DIV/0!</v>
      </c>
      <c r="CF87" s="2" t="e">
        <f t="shared" si="110"/>
        <v>#DIV/0!</v>
      </c>
      <c r="CG87" s="2" t="e">
        <f t="shared" si="111"/>
        <v>#DIV/0!</v>
      </c>
      <c r="CH87" s="2" t="e">
        <f t="shared" si="90"/>
        <v>#DIV/0!</v>
      </c>
      <c r="CI87" s="2" t="e">
        <f t="shared" si="91"/>
        <v>#DIV/0!</v>
      </c>
      <c r="CJ87" s="2" t="e">
        <f t="shared" si="92"/>
        <v>#DIV/0!</v>
      </c>
      <c r="CQ87" s="8" t="e">
        <f t="shared" si="112"/>
        <v>#DIV/0!</v>
      </c>
      <c r="CR87" s="2" t="e">
        <f t="shared" si="113"/>
        <v>#DIV/0!</v>
      </c>
      <c r="CS87" s="2" t="e">
        <f t="shared" si="114"/>
        <v>#DIV/0!</v>
      </c>
      <c r="CT87" s="2" t="e">
        <f t="shared" si="93"/>
        <v>#DIV/0!</v>
      </c>
      <c r="CU87" s="2" t="e">
        <f t="shared" si="94"/>
        <v>#DIV/0!</v>
      </c>
      <c r="CV87" s="2" t="e">
        <f t="shared" si="95"/>
        <v>#DIV/0!</v>
      </c>
    </row>
    <row r="88" spans="1:100" x14ac:dyDescent="0.2">
      <c r="A88" s="2">
        <f t="shared" si="57"/>
        <v>3.3333333333333348</v>
      </c>
      <c r="B88" s="2">
        <f t="shared" si="58"/>
        <v>3.5673993347252346E-2</v>
      </c>
      <c r="C88" s="2">
        <f t="shared" si="96"/>
        <v>3.5673993347252346E-2</v>
      </c>
      <c r="D88" s="2">
        <f t="shared" si="96"/>
        <v>3.5673993347252346E-2</v>
      </c>
      <c r="E88" s="8">
        <f t="shared" si="60"/>
        <v>3.5673993347252346E-2</v>
      </c>
      <c r="F88" s="2">
        <f t="shared" si="61"/>
        <v>3.5673993347252346E-2</v>
      </c>
      <c r="G88" s="2">
        <f t="shared" si="62"/>
        <v>3.5673993347252346E-2</v>
      </c>
      <c r="K88" s="8" t="e">
        <f t="shared" si="63"/>
        <v>#DIV/0!</v>
      </c>
      <c r="L88" s="2" t="e">
        <f t="shared" si="64"/>
        <v>#DIV/0!</v>
      </c>
      <c r="M88" s="2" t="e">
        <f t="shared" si="65"/>
        <v>#DIV/0!</v>
      </c>
      <c r="Q88" s="8">
        <f t="shared" si="66"/>
        <v>0.11430004504915148</v>
      </c>
      <c r="R88" s="2">
        <f t="shared" si="67"/>
        <v>0.11430004504915148</v>
      </c>
      <c r="S88" s="2">
        <f t="shared" si="68"/>
        <v>0.11430004504915148</v>
      </c>
      <c r="W88" s="8">
        <f t="shared" si="69"/>
        <v>0.23076923076923062</v>
      </c>
      <c r="X88" s="2">
        <f t="shared" si="70"/>
        <v>0.23076923076923062</v>
      </c>
      <c r="Y88" s="2">
        <f t="shared" si="71"/>
        <v>0.23076923076923062</v>
      </c>
      <c r="AC88" s="8">
        <f t="shared" si="72"/>
        <v>3.5673993347252297E-2</v>
      </c>
      <c r="AD88" s="2">
        <f t="shared" si="73"/>
        <v>3.5673993347252297E-2</v>
      </c>
      <c r="AE88" s="2">
        <f t="shared" si="74"/>
        <v>3.5673993347252297E-2</v>
      </c>
      <c r="AI88" s="8">
        <f t="shared" si="75"/>
        <v>0.11430004504915148</v>
      </c>
      <c r="AJ88" s="2">
        <f t="shared" si="76"/>
        <v>0.11430004504915148</v>
      </c>
      <c r="AK88" s="2">
        <f t="shared" si="77"/>
        <v>0.11430004504915148</v>
      </c>
      <c r="AR88" s="8" t="e">
        <f t="shared" si="97"/>
        <v>#DIV/0!</v>
      </c>
      <c r="AS88" s="2" t="e">
        <f t="shared" si="98"/>
        <v>#DIV/0!</v>
      </c>
      <c r="AT88" s="2" t="e">
        <f t="shared" si="99"/>
        <v>#DIV/0!</v>
      </c>
      <c r="AU88" s="2" t="e">
        <f t="shared" si="78"/>
        <v>#DIV/0!</v>
      </c>
      <c r="AV88" s="2" t="e">
        <f t="shared" si="79"/>
        <v>#DIV/0!</v>
      </c>
      <c r="AW88" s="2" t="e">
        <f t="shared" si="80"/>
        <v>#DIV/0!</v>
      </c>
      <c r="BA88" s="8" t="e">
        <f t="shared" si="100"/>
        <v>#DIV/0!</v>
      </c>
      <c r="BB88" s="2" t="e">
        <f t="shared" si="101"/>
        <v>#DIV/0!</v>
      </c>
      <c r="BC88" s="2" t="e">
        <f t="shared" si="102"/>
        <v>#DIV/0!</v>
      </c>
      <c r="BD88" s="2" t="e">
        <f t="shared" si="81"/>
        <v>#DIV/0!</v>
      </c>
      <c r="BE88" s="2" t="e">
        <f t="shared" si="82"/>
        <v>#DIV/0!</v>
      </c>
      <c r="BF88" s="2" t="e">
        <f t="shared" si="83"/>
        <v>#DIV/0!</v>
      </c>
      <c r="BJ88" s="8" t="e">
        <f t="shared" si="103"/>
        <v>#DIV/0!</v>
      </c>
      <c r="BK88" s="2" t="e">
        <f t="shared" si="104"/>
        <v>#DIV/0!</v>
      </c>
      <c r="BL88" s="2" t="e">
        <f t="shared" si="105"/>
        <v>#DIV/0!</v>
      </c>
      <c r="BM88" s="2" t="e">
        <f t="shared" si="84"/>
        <v>#DIV/0!</v>
      </c>
      <c r="BN88" s="2" t="e">
        <f t="shared" si="85"/>
        <v>#DIV/0!</v>
      </c>
      <c r="BO88" s="2" t="e">
        <f t="shared" si="86"/>
        <v>#DIV/0!</v>
      </c>
      <c r="BS88" s="8" t="e">
        <f t="shared" si="106"/>
        <v>#DIV/0!</v>
      </c>
      <c r="BT88" s="2" t="e">
        <f t="shared" si="107"/>
        <v>#DIV/0!</v>
      </c>
      <c r="BU88" s="2" t="e">
        <f t="shared" si="108"/>
        <v>#DIV/0!</v>
      </c>
      <c r="BV88" s="2" t="e">
        <f t="shared" si="87"/>
        <v>#DIV/0!</v>
      </c>
      <c r="BW88" s="2" t="e">
        <f t="shared" si="88"/>
        <v>#DIV/0!</v>
      </c>
      <c r="BX88" s="2" t="e">
        <f t="shared" si="89"/>
        <v>#DIV/0!</v>
      </c>
      <c r="CE88" s="8" t="e">
        <f t="shared" si="109"/>
        <v>#DIV/0!</v>
      </c>
      <c r="CF88" s="2" t="e">
        <f t="shared" si="110"/>
        <v>#DIV/0!</v>
      </c>
      <c r="CG88" s="2" t="e">
        <f t="shared" si="111"/>
        <v>#DIV/0!</v>
      </c>
      <c r="CH88" s="2" t="e">
        <f t="shared" si="90"/>
        <v>#DIV/0!</v>
      </c>
      <c r="CI88" s="2" t="e">
        <f t="shared" si="91"/>
        <v>#DIV/0!</v>
      </c>
      <c r="CJ88" s="2" t="e">
        <f t="shared" si="92"/>
        <v>#DIV/0!</v>
      </c>
      <c r="CQ88" s="8" t="e">
        <f t="shared" si="112"/>
        <v>#DIV/0!</v>
      </c>
      <c r="CR88" s="2" t="e">
        <f t="shared" si="113"/>
        <v>#DIV/0!</v>
      </c>
      <c r="CS88" s="2" t="e">
        <f t="shared" si="114"/>
        <v>#DIV/0!</v>
      </c>
      <c r="CT88" s="2" t="e">
        <f t="shared" si="93"/>
        <v>#DIV/0!</v>
      </c>
      <c r="CU88" s="2" t="e">
        <f t="shared" si="94"/>
        <v>#DIV/0!</v>
      </c>
      <c r="CV88" s="2" t="e">
        <f t="shared" si="95"/>
        <v>#DIV/0!</v>
      </c>
    </row>
    <row r="89" spans="1:100" x14ac:dyDescent="0.2">
      <c r="A89" s="2">
        <f t="shared" si="57"/>
        <v>3.4166666666666683</v>
      </c>
      <c r="B89" s="2">
        <f t="shared" si="58"/>
        <v>3.2821658326663151E-2</v>
      </c>
      <c r="C89" s="2">
        <f t="shared" si="96"/>
        <v>3.2821658326663151E-2</v>
      </c>
      <c r="D89" s="2">
        <f t="shared" si="96"/>
        <v>3.2821658326663151E-2</v>
      </c>
      <c r="E89" s="8">
        <f t="shared" si="60"/>
        <v>3.2821658326663151E-2</v>
      </c>
      <c r="F89" s="2">
        <f t="shared" si="61"/>
        <v>3.2821658326663151E-2</v>
      </c>
      <c r="G89" s="2">
        <f t="shared" si="62"/>
        <v>3.2821658326663151E-2</v>
      </c>
      <c r="K89" s="8" t="e">
        <f t="shared" si="63"/>
        <v>#DIV/0!</v>
      </c>
      <c r="L89" s="2" t="e">
        <f t="shared" si="64"/>
        <v>#DIV/0!</v>
      </c>
      <c r="M89" s="2" t="e">
        <f t="shared" si="65"/>
        <v>#DIV/0!</v>
      </c>
      <c r="Q89" s="8">
        <f t="shared" si="66"/>
        <v>0.10959863878011067</v>
      </c>
      <c r="R89" s="2">
        <f t="shared" si="67"/>
        <v>0.10959863878011067</v>
      </c>
      <c r="S89" s="2">
        <f t="shared" si="68"/>
        <v>0.10959863878011067</v>
      </c>
      <c r="W89" s="8">
        <f t="shared" si="69"/>
        <v>0.22641509433962248</v>
      </c>
      <c r="X89" s="2">
        <f t="shared" si="70"/>
        <v>0.22641509433962248</v>
      </c>
      <c r="Y89" s="2">
        <f t="shared" si="71"/>
        <v>0.22641509433962248</v>
      </c>
      <c r="AC89" s="8">
        <f t="shared" si="72"/>
        <v>3.2821658326663172E-2</v>
      </c>
      <c r="AD89" s="2">
        <f t="shared" si="73"/>
        <v>3.2821658326663172E-2</v>
      </c>
      <c r="AE89" s="2">
        <f t="shared" si="74"/>
        <v>3.2821658326663172E-2</v>
      </c>
      <c r="AI89" s="8">
        <f t="shared" si="75"/>
        <v>0.10959863878011067</v>
      </c>
      <c r="AJ89" s="2">
        <f t="shared" si="76"/>
        <v>0.10959863878011067</v>
      </c>
      <c r="AK89" s="2">
        <f t="shared" si="77"/>
        <v>0.10959863878011067</v>
      </c>
      <c r="AR89" s="8" t="e">
        <f t="shared" si="97"/>
        <v>#DIV/0!</v>
      </c>
      <c r="AS89" s="2" t="e">
        <f t="shared" si="98"/>
        <v>#DIV/0!</v>
      </c>
      <c r="AT89" s="2" t="e">
        <f t="shared" si="99"/>
        <v>#DIV/0!</v>
      </c>
      <c r="AU89" s="2" t="e">
        <f t="shared" si="78"/>
        <v>#DIV/0!</v>
      </c>
      <c r="AV89" s="2" t="e">
        <f t="shared" si="79"/>
        <v>#DIV/0!</v>
      </c>
      <c r="AW89" s="2" t="e">
        <f t="shared" si="80"/>
        <v>#DIV/0!</v>
      </c>
      <c r="BA89" s="8" t="e">
        <f t="shared" si="100"/>
        <v>#DIV/0!</v>
      </c>
      <c r="BB89" s="2" t="e">
        <f t="shared" si="101"/>
        <v>#DIV/0!</v>
      </c>
      <c r="BC89" s="2" t="e">
        <f t="shared" si="102"/>
        <v>#DIV/0!</v>
      </c>
      <c r="BD89" s="2" t="e">
        <f t="shared" si="81"/>
        <v>#DIV/0!</v>
      </c>
      <c r="BE89" s="2" t="e">
        <f t="shared" si="82"/>
        <v>#DIV/0!</v>
      </c>
      <c r="BF89" s="2" t="e">
        <f t="shared" si="83"/>
        <v>#DIV/0!</v>
      </c>
      <c r="BJ89" s="8" t="e">
        <f t="shared" si="103"/>
        <v>#DIV/0!</v>
      </c>
      <c r="BK89" s="2" t="e">
        <f t="shared" si="104"/>
        <v>#DIV/0!</v>
      </c>
      <c r="BL89" s="2" t="e">
        <f t="shared" si="105"/>
        <v>#DIV/0!</v>
      </c>
      <c r="BM89" s="2" t="e">
        <f t="shared" si="84"/>
        <v>#DIV/0!</v>
      </c>
      <c r="BN89" s="2" t="e">
        <f t="shared" si="85"/>
        <v>#DIV/0!</v>
      </c>
      <c r="BO89" s="2" t="e">
        <f t="shared" si="86"/>
        <v>#DIV/0!</v>
      </c>
      <c r="BS89" s="8" t="e">
        <f t="shared" si="106"/>
        <v>#DIV/0!</v>
      </c>
      <c r="BT89" s="2" t="e">
        <f t="shared" si="107"/>
        <v>#DIV/0!</v>
      </c>
      <c r="BU89" s="2" t="e">
        <f t="shared" si="108"/>
        <v>#DIV/0!</v>
      </c>
      <c r="BV89" s="2" t="e">
        <f t="shared" si="87"/>
        <v>#DIV/0!</v>
      </c>
      <c r="BW89" s="2" t="e">
        <f t="shared" si="88"/>
        <v>#DIV/0!</v>
      </c>
      <c r="BX89" s="2" t="e">
        <f t="shared" si="89"/>
        <v>#DIV/0!</v>
      </c>
      <c r="CE89" s="8" t="e">
        <f t="shared" si="109"/>
        <v>#DIV/0!</v>
      </c>
      <c r="CF89" s="2" t="e">
        <f t="shared" si="110"/>
        <v>#DIV/0!</v>
      </c>
      <c r="CG89" s="2" t="e">
        <f t="shared" si="111"/>
        <v>#DIV/0!</v>
      </c>
      <c r="CH89" s="2" t="e">
        <f t="shared" si="90"/>
        <v>#DIV/0!</v>
      </c>
      <c r="CI89" s="2" t="e">
        <f t="shared" si="91"/>
        <v>#DIV/0!</v>
      </c>
      <c r="CJ89" s="2" t="e">
        <f t="shared" si="92"/>
        <v>#DIV/0!</v>
      </c>
      <c r="CQ89" s="8" t="e">
        <f t="shared" si="112"/>
        <v>#DIV/0!</v>
      </c>
      <c r="CR89" s="2" t="e">
        <f t="shared" si="113"/>
        <v>#DIV/0!</v>
      </c>
      <c r="CS89" s="2" t="e">
        <f t="shared" si="114"/>
        <v>#DIV/0!</v>
      </c>
      <c r="CT89" s="2" t="e">
        <f t="shared" si="93"/>
        <v>#DIV/0!</v>
      </c>
      <c r="CU89" s="2" t="e">
        <f t="shared" si="94"/>
        <v>#DIV/0!</v>
      </c>
      <c r="CV89" s="2" t="e">
        <f t="shared" si="95"/>
        <v>#DIV/0!</v>
      </c>
    </row>
    <row r="90" spans="1:100" x14ac:dyDescent="0.2">
      <c r="A90" s="2">
        <f t="shared" si="57"/>
        <v>3.5000000000000018</v>
      </c>
      <c r="B90" s="2">
        <f t="shared" si="58"/>
        <v>3.0197383422318449E-2</v>
      </c>
      <c r="C90" s="2">
        <f t="shared" si="96"/>
        <v>3.0197383422318449E-2</v>
      </c>
      <c r="D90" s="2">
        <f t="shared" si="96"/>
        <v>3.0197383422318449E-2</v>
      </c>
      <c r="E90" s="8">
        <f t="shared" si="60"/>
        <v>3.0197383422318449E-2</v>
      </c>
      <c r="F90" s="2">
        <f t="shared" si="61"/>
        <v>3.0197383422318449E-2</v>
      </c>
      <c r="G90" s="2">
        <f t="shared" si="62"/>
        <v>3.0197383422318449E-2</v>
      </c>
      <c r="K90" s="8" t="e">
        <f t="shared" si="63"/>
        <v>#DIV/0!</v>
      </c>
      <c r="L90" s="2" t="e">
        <f t="shared" si="64"/>
        <v>#DIV/0!</v>
      </c>
      <c r="M90" s="2" t="e">
        <f t="shared" si="65"/>
        <v>#DIV/0!</v>
      </c>
      <c r="Q90" s="8">
        <f t="shared" si="66"/>
        <v>0.10514599110011469</v>
      </c>
      <c r="R90" s="2">
        <f t="shared" si="67"/>
        <v>0.10514599110011469</v>
      </c>
      <c r="S90" s="2">
        <f t="shared" si="68"/>
        <v>0.10514599110011469</v>
      </c>
      <c r="W90" s="8">
        <f t="shared" si="69"/>
        <v>0.2222222222222221</v>
      </c>
      <c r="X90" s="2">
        <f t="shared" si="70"/>
        <v>0.2222222222222221</v>
      </c>
      <c r="Y90" s="2">
        <f t="shared" si="71"/>
        <v>0.2222222222222221</v>
      </c>
      <c r="AC90" s="8">
        <f t="shared" si="72"/>
        <v>3.019738342231848E-2</v>
      </c>
      <c r="AD90" s="2">
        <f t="shared" si="73"/>
        <v>3.019738342231848E-2</v>
      </c>
      <c r="AE90" s="2">
        <f t="shared" si="74"/>
        <v>3.019738342231848E-2</v>
      </c>
      <c r="AI90" s="8">
        <f t="shared" si="75"/>
        <v>0.10514599110011469</v>
      </c>
      <c r="AJ90" s="2">
        <f t="shared" si="76"/>
        <v>0.10514599110011469</v>
      </c>
      <c r="AK90" s="2">
        <f t="shared" si="77"/>
        <v>0.10514599110011469</v>
      </c>
      <c r="AR90" s="8" t="e">
        <f t="shared" si="97"/>
        <v>#DIV/0!</v>
      </c>
      <c r="AS90" s="2" t="e">
        <f t="shared" si="98"/>
        <v>#DIV/0!</v>
      </c>
      <c r="AT90" s="2" t="e">
        <f t="shared" si="99"/>
        <v>#DIV/0!</v>
      </c>
      <c r="AU90" s="2" t="e">
        <f t="shared" si="78"/>
        <v>#DIV/0!</v>
      </c>
      <c r="AV90" s="2" t="e">
        <f t="shared" si="79"/>
        <v>#DIV/0!</v>
      </c>
      <c r="AW90" s="2" t="e">
        <f t="shared" si="80"/>
        <v>#DIV/0!</v>
      </c>
      <c r="BA90" s="8" t="e">
        <f t="shared" si="100"/>
        <v>#DIV/0!</v>
      </c>
      <c r="BB90" s="2" t="e">
        <f t="shared" si="101"/>
        <v>#DIV/0!</v>
      </c>
      <c r="BC90" s="2" t="e">
        <f t="shared" si="102"/>
        <v>#DIV/0!</v>
      </c>
      <c r="BD90" s="2" t="e">
        <f t="shared" si="81"/>
        <v>#DIV/0!</v>
      </c>
      <c r="BE90" s="2" t="e">
        <f t="shared" si="82"/>
        <v>#DIV/0!</v>
      </c>
      <c r="BF90" s="2" t="e">
        <f t="shared" si="83"/>
        <v>#DIV/0!</v>
      </c>
      <c r="BJ90" s="8" t="e">
        <f t="shared" si="103"/>
        <v>#DIV/0!</v>
      </c>
      <c r="BK90" s="2" t="e">
        <f t="shared" si="104"/>
        <v>#DIV/0!</v>
      </c>
      <c r="BL90" s="2" t="e">
        <f t="shared" si="105"/>
        <v>#DIV/0!</v>
      </c>
      <c r="BM90" s="2" t="e">
        <f t="shared" si="84"/>
        <v>#DIV/0!</v>
      </c>
      <c r="BN90" s="2" t="e">
        <f t="shared" si="85"/>
        <v>#DIV/0!</v>
      </c>
      <c r="BO90" s="2" t="e">
        <f t="shared" si="86"/>
        <v>#DIV/0!</v>
      </c>
      <c r="BS90" s="8" t="e">
        <f t="shared" si="106"/>
        <v>#DIV/0!</v>
      </c>
      <c r="BT90" s="2" t="e">
        <f t="shared" si="107"/>
        <v>#DIV/0!</v>
      </c>
      <c r="BU90" s="2" t="e">
        <f t="shared" si="108"/>
        <v>#DIV/0!</v>
      </c>
      <c r="BV90" s="2" t="e">
        <f t="shared" si="87"/>
        <v>#DIV/0!</v>
      </c>
      <c r="BW90" s="2" t="e">
        <f t="shared" si="88"/>
        <v>#DIV/0!</v>
      </c>
      <c r="BX90" s="2" t="e">
        <f t="shared" si="89"/>
        <v>#DIV/0!</v>
      </c>
      <c r="CE90" s="8" t="e">
        <f t="shared" si="109"/>
        <v>#DIV/0!</v>
      </c>
      <c r="CF90" s="2" t="e">
        <f t="shared" si="110"/>
        <v>#DIV/0!</v>
      </c>
      <c r="CG90" s="2" t="e">
        <f t="shared" si="111"/>
        <v>#DIV/0!</v>
      </c>
      <c r="CH90" s="2" t="e">
        <f t="shared" si="90"/>
        <v>#DIV/0!</v>
      </c>
      <c r="CI90" s="2" t="e">
        <f t="shared" si="91"/>
        <v>#DIV/0!</v>
      </c>
      <c r="CJ90" s="2" t="e">
        <f t="shared" si="92"/>
        <v>#DIV/0!</v>
      </c>
      <c r="CQ90" s="8" t="e">
        <f t="shared" si="112"/>
        <v>#DIV/0!</v>
      </c>
      <c r="CR90" s="2" t="e">
        <f t="shared" si="113"/>
        <v>#DIV/0!</v>
      </c>
      <c r="CS90" s="2" t="e">
        <f t="shared" si="114"/>
        <v>#DIV/0!</v>
      </c>
      <c r="CT90" s="2" t="e">
        <f t="shared" si="93"/>
        <v>#DIV/0!</v>
      </c>
      <c r="CU90" s="2" t="e">
        <f t="shared" si="94"/>
        <v>#DIV/0!</v>
      </c>
      <c r="CV90" s="2" t="e">
        <f t="shared" si="95"/>
        <v>#DIV/0!</v>
      </c>
    </row>
    <row r="91" spans="1:100" x14ac:dyDescent="0.2">
      <c r="A91" s="2">
        <f t="shared" si="57"/>
        <v>3.5833333333333353</v>
      </c>
      <c r="B91" s="2">
        <f t="shared" si="58"/>
        <v>2.7782933954124202E-2</v>
      </c>
      <c r="C91" s="2">
        <f t="shared" si="96"/>
        <v>2.7782933954124202E-2</v>
      </c>
      <c r="D91" s="2">
        <f t="shared" si="96"/>
        <v>2.7782933954124202E-2</v>
      </c>
      <c r="E91" s="8">
        <f t="shared" si="60"/>
        <v>2.7782933954124202E-2</v>
      </c>
      <c r="F91" s="2">
        <f t="shared" si="61"/>
        <v>2.7782933954124202E-2</v>
      </c>
      <c r="G91" s="2">
        <f t="shared" si="62"/>
        <v>2.7782933954124202E-2</v>
      </c>
      <c r="K91" s="8" t="e">
        <f t="shared" si="63"/>
        <v>#DIV/0!</v>
      </c>
      <c r="L91" s="2" t="e">
        <f t="shared" si="64"/>
        <v>#DIV/0!</v>
      </c>
      <c r="M91" s="2" t="e">
        <f t="shared" si="65"/>
        <v>#DIV/0!</v>
      </c>
      <c r="Q91" s="8">
        <f t="shared" si="66"/>
        <v>0.10092589955193287</v>
      </c>
      <c r="R91" s="2">
        <f t="shared" si="67"/>
        <v>0.10092589955193287</v>
      </c>
      <c r="S91" s="2">
        <f t="shared" si="68"/>
        <v>0.10092589955193287</v>
      </c>
      <c r="W91" s="8">
        <f t="shared" si="69"/>
        <v>0.21818181818181803</v>
      </c>
      <c r="X91" s="2">
        <f t="shared" si="70"/>
        <v>0.21818181818181803</v>
      </c>
      <c r="Y91" s="2">
        <f t="shared" si="71"/>
        <v>0.21818181818181803</v>
      </c>
      <c r="AC91" s="8">
        <f t="shared" si="72"/>
        <v>2.7782933954124234E-2</v>
      </c>
      <c r="AD91" s="2">
        <f t="shared" si="73"/>
        <v>2.7782933954124234E-2</v>
      </c>
      <c r="AE91" s="2">
        <f t="shared" si="74"/>
        <v>2.7782933954124234E-2</v>
      </c>
      <c r="AI91" s="8">
        <f t="shared" si="75"/>
        <v>0.10092589955193287</v>
      </c>
      <c r="AJ91" s="2">
        <f t="shared" si="76"/>
        <v>0.10092589955193287</v>
      </c>
      <c r="AK91" s="2">
        <f t="shared" si="77"/>
        <v>0.10092589955193287</v>
      </c>
      <c r="AR91" s="8" t="e">
        <f t="shared" si="97"/>
        <v>#DIV/0!</v>
      </c>
      <c r="AS91" s="2" t="e">
        <f t="shared" si="98"/>
        <v>#DIV/0!</v>
      </c>
      <c r="AT91" s="2" t="e">
        <f t="shared" si="99"/>
        <v>#DIV/0!</v>
      </c>
      <c r="AU91" s="2" t="e">
        <f t="shared" si="78"/>
        <v>#DIV/0!</v>
      </c>
      <c r="AV91" s="2" t="e">
        <f t="shared" si="79"/>
        <v>#DIV/0!</v>
      </c>
      <c r="AW91" s="2" t="e">
        <f t="shared" si="80"/>
        <v>#DIV/0!</v>
      </c>
      <c r="BA91" s="8" t="e">
        <f t="shared" si="100"/>
        <v>#DIV/0!</v>
      </c>
      <c r="BB91" s="2" t="e">
        <f t="shared" si="101"/>
        <v>#DIV/0!</v>
      </c>
      <c r="BC91" s="2" t="e">
        <f t="shared" si="102"/>
        <v>#DIV/0!</v>
      </c>
      <c r="BD91" s="2" t="e">
        <f t="shared" si="81"/>
        <v>#DIV/0!</v>
      </c>
      <c r="BE91" s="2" t="e">
        <f t="shared" si="82"/>
        <v>#DIV/0!</v>
      </c>
      <c r="BF91" s="2" t="e">
        <f t="shared" si="83"/>
        <v>#DIV/0!</v>
      </c>
      <c r="BJ91" s="8" t="e">
        <f t="shared" si="103"/>
        <v>#DIV/0!</v>
      </c>
      <c r="BK91" s="2" t="e">
        <f t="shared" si="104"/>
        <v>#DIV/0!</v>
      </c>
      <c r="BL91" s="2" t="e">
        <f t="shared" si="105"/>
        <v>#DIV/0!</v>
      </c>
      <c r="BM91" s="2" t="e">
        <f t="shared" si="84"/>
        <v>#DIV/0!</v>
      </c>
      <c r="BN91" s="2" t="e">
        <f t="shared" si="85"/>
        <v>#DIV/0!</v>
      </c>
      <c r="BO91" s="2" t="e">
        <f t="shared" si="86"/>
        <v>#DIV/0!</v>
      </c>
      <c r="BS91" s="8" t="e">
        <f t="shared" si="106"/>
        <v>#DIV/0!</v>
      </c>
      <c r="BT91" s="2" t="e">
        <f t="shared" si="107"/>
        <v>#DIV/0!</v>
      </c>
      <c r="BU91" s="2" t="e">
        <f t="shared" si="108"/>
        <v>#DIV/0!</v>
      </c>
      <c r="BV91" s="2" t="e">
        <f t="shared" si="87"/>
        <v>#DIV/0!</v>
      </c>
      <c r="BW91" s="2" t="e">
        <f t="shared" si="88"/>
        <v>#DIV/0!</v>
      </c>
      <c r="BX91" s="2" t="e">
        <f t="shared" si="89"/>
        <v>#DIV/0!</v>
      </c>
      <c r="CE91" s="8" t="e">
        <f t="shared" si="109"/>
        <v>#DIV/0!</v>
      </c>
      <c r="CF91" s="2" t="e">
        <f t="shared" si="110"/>
        <v>#DIV/0!</v>
      </c>
      <c r="CG91" s="2" t="e">
        <f t="shared" si="111"/>
        <v>#DIV/0!</v>
      </c>
      <c r="CH91" s="2" t="e">
        <f t="shared" si="90"/>
        <v>#DIV/0!</v>
      </c>
      <c r="CI91" s="2" t="e">
        <f t="shared" si="91"/>
        <v>#DIV/0!</v>
      </c>
      <c r="CJ91" s="2" t="e">
        <f t="shared" si="92"/>
        <v>#DIV/0!</v>
      </c>
      <c r="CQ91" s="8" t="e">
        <f t="shared" si="112"/>
        <v>#DIV/0!</v>
      </c>
      <c r="CR91" s="2" t="e">
        <f t="shared" si="113"/>
        <v>#DIV/0!</v>
      </c>
      <c r="CS91" s="2" t="e">
        <f t="shared" si="114"/>
        <v>#DIV/0!</v>
      </c>
      <c r="CT91" s="2" t="e">
        <f t="shared" si="93"/>
        <v>#DIV/0!</v>
      </c>
      <c r="CU91" s="2" t="e">
        <f t="shared" si="94"/>
        <v>#DIV/0!</v>
      </c>
      <c r="CV91" s="2" t="e">
        <f t="shared" si="95"/>
        <v>#DIV/0!</v>
      </c>
    </row>
    <row r="92" spans="1:100" x14ac:dyDescent="0.2">
      <c r="A92" s="2">
        <f t="shared" si="57"/>
        <v>3.6666666666666687</v>
      </c>
      <c r="B92" s="2">
        <f t="shared" si="58"/>
        <v>2.5561533206507347E-2</v>
      </c>
      <c r="C92" s="2">
        <f t="shared" si="96"/>
        <v>2.5561533206507347E-2</v>
      </c>
      <c r="D92" s="2">
        <f t="shared" si="96"/>
        <v>2.5561533206507347E-2</v>
      </c>
      <c r="E92" s="8">
        <f t="shared" si="60"/>
        <v>2.5561533206507347E-2</v>
      </c>
      <c r="F92" s="2">
        <f t="shared" si="61"/>
        <v>2.5561533206507347E-2</v>
      </c>
      <c r="G92" s="2">
        <f t="shared" si="62"/>
        <v>2.5561533206507347E-2</v>
      </c>
      <c r="K92" s="8" t="e">
        <f t="shared" si="63"/>
        <v>#DIV/0!</v>
      </c>
      <c r="L92" s="2" t="e">
        <f t="shared" si="64"/>
        <v>#DIV/0!</v>
      </c>
      <c r="M92" s="2" t="e">
        <f t="shared" si="65"/>
        <v>#DIV/0!</v>
      </c>
      <c r="Q92" s="8">
        <f t="shared" si="66"/>
        <v>9.6923415859640039E-2</v>
      </c>
      <c r="R92" s="2">
        <f t="shared" si="67"/>
        <v>9.6923415859640039E-2</v>
      </c>
      <c r="S92" s="2">
        <f t="shared" si="68"/>
        <v>9.6923415859640039E-2</v>
      </c>
      <c r="W92" s="8">
        <f t="shared" si="69"/>
        <v>0.21428571428571419</v>
      </c>
      <c r="X92" s="2">
        <f t="shared" si="70"/>
        <v>0.21428571428571419</v>
      </c>
      <c r="Y92" s="2">
        <f t="shared" si="71"/>
        <v>0.21428571428571419</v>
      </c>
      <c r="AC92" s="8">
        <f t="shared" si="72"/>
        <v>2.5561533206507336E-2</v>
      </c>
      <c r="AD92" s="2">
        <f t="shared" si="73"/>
        <v>2.5561533206507336E-2</v>
      </c>
      <c r="AE92" s="2">
        <f t="shared" si="74"/>
        <v>2.5561533206507336E-2</v>
      </c>
      <c r="AI92" s="8">
        <f t="shared" si="75"/>
        <v>9.6923415859640039E-2</v>
      </c>
      <c r="AJ92" s="2">
        <f t="shared" si="76"/>
        <v>9.6923415859640039E-2</v>
      </c>
      <c r="AK92" s="2">
        <f t="shared" si="77"/>
        <v>9.6923415859640039E-2</v>
      </c>
      <c r="AR92" s="8" t="e">
        <f t="shared" si="97"/>
        <v>#DIV/0!</v>
      </c>
      <c r="AS92" s="2" t="e">
        <f t="shared" si="98"/>
        <v>#DIV/0!</v>
      </c>
      <c r="AT92" s="2" t="e">
        <f t="shared" si="99"/>
        <v>#DIV/0!</v>
      </c>
      <c r="AU92" s="2" t="e">
        <f t="shared" si="78"/>
        <v>#DIV/0!</v>
      </c>
      <c r="AV92" s="2" t="e">
        <f t="shared" si="79"/>
        <v>#DIV/0!</v>
      </c>
      <c r="AW92" s="2" t="e">
        <f t="shared" si="80"/>
        <v>#DIV/0!</v>
      </c>
      <c r="BA92" s="8" t="e">
        <f t="shared" si="100"/>
        <v>#DIV/0!</v>
      </c>
      <c r="BB92" s="2" t="e">
        <f t="shared" si="101"/>
        <v>#DIV/0!</v>
      </c>
      <c r="BC92" s="2" t="e">
        <f t="shared" si="102"/>
        <v>#DIV/0!</v>
      </c>
      <c r="BD92" s="2" t="e">
        <f t="shared" si="81"/>
        <v>#DIV/0!</v>
      </c>
      <c r="BE92" s="2" t="e">
        <f t="shared" si="82"/>
        <v>#DIV/0!</v>
      </c>
      <c r="BF92" s="2" t="e">
        <f t="shared" si="83"/>
        <v>#DIV/0!</v>
      </c>
      <c r="BJ92" s="8" t="e">
        <f t="shared" si="103"/>
        <v>#DIV/0!</v>
      </c>
      <c r="BK92" s="2" t="e">
        <f t="shared" si="104"/>
        <v>#DIV/0!</v>
      </c>
      <c r="BL92" s="2" t="e">
        <f t="shared" si="105"/>
        <v>#DIV/0!</v>
      </c>
      <c r="BM92" s="2" t="e">
        <f t="shared" si="84"/>
        <v>#DIV/0!</v>
      </c>
      <c r="BN92" s="2" t="e">
        <f t="shared" si="85"/>
        <v>#DIV/0!</v>
      </c>
      <c r="BO92" s="2" t="e">
        <f t="shared" si="86"/>
        <v>#DIV/0!</v>
      </c>
      <c r="BS92" s="8" t="e">
        <f t="shared" si="106"/>
        <v>#DIV/0!</v>
      </c>
      <c r="BT92" s="2" t="e">
        <f t="shared" si="107"/>
        <v>#DIV/0!</v>
      </c>
      <c r="BU92" s="2" t="e">
        <f t="shared" si="108"/>
        <v>#DIV/0!</v>
      </c>
      <c r="BV92" s="2" t="e">
        <f t="shared" si="87"/>
        <v>#DIV/0!</v>
      </c>
      <c r="BW92" s="2" t="e">
        <f t="shared" si="88"/>
        <v>#DIV/0!</v>
      </c>
      <c r="BX92" s="2" t="e">
        <f t="shared" si="89"/>
        <v>#DIV/0!</v>
      </c>
      <c r="CE92" s="8" t="e">
        <f t="shared" si="109"/>
        <v>#DIV/0!</v>
      </c>
      <c r="CF92" s="2" t="e">
        <f t="shared" si="110"/>
        <v>#DIV/0!</v>
      </c>
      <c r="CG92" s="2" t="e">
        <f t="shared" si="111"/>
        <v>#DIV/0!</v>
      </c>
      <c r="CH92" s="2" t="e">
        <f t="shared" si="90"/>
        <v>#DIV/0!</v>
      </c>
      <c r="CI92" s="2" t="e">
        <f t="shared" si="91"/>
        <v>#DIV/0!</v>
      </c>
      <c r="CJ92" s="2" t="e">
        <f t="shared" si="92"/>
        <v>#DIV/0!</v>
      </c>
      <c r="CQ92" s="8" t="e">
        <f t="shared" si="112"/>
        <v>#DIV/0!</v>
      </c>
      <c r="CR92" s="2" t="e">
        <f t="shared" si="113"/>
        <v>#DIV/0!</v>
      </c>
      <c r="CS92" s="2" t="e">
        <f t="shared" si="114"/>
        <v>#DIV/0!</v>
      </c>
      <c r="CT92" s="2" t="e">
        <f t="shared" si="93"/>
        <v>#DIV/0!</v>
      </c>
      <c r="CU92" s="2" t="e">
        <f t="shared" si="94"/>
        <v>#DIV/0!</v>
      </c>
      <c r="CV92" s="2" t="e">
        <f t="shared" si="95"/>
        <v>#DIV/0!</v>
      </c>
    </row>
    <row r="93" spans="1:100" x14ac:dyDescent="0.2">
      <c r="A93" s="2">
        <f t="shared" si="57"/>
        <v>3.7500000000000022</v>
      </c>
      <c r="B93" s="2">
        <f t="shared" si="58"/>
        <v>2.3517745856009055E-2</v>
      </c>
      <c r="C93" s="2">
        <f t="shared" si="96"/>
        <v>2.3517745856009055E-2</v>
      </c>
      <c r="D93" s="2">
        <f t="shared" si="96"/>
        <v>2.3517745856009055E-2</v>
      </c>
      <c r="E93" s="8">
        <f t="shared" si="60"/>
        <v>2.3517745856009055E-2</v>
      </c>
      <c r="F93" s="2">
        <f t="shared" si="61"/>
        <v>2.3517745856009055E-2</v>
      </c>
      <c r="G93" s="2">
        <f t="shared" si="62"/>
        <v>2.3517745856009055E-2</v>
      </c>
      <c r="K93" s="8" t="e">
        <f t="shared" si="63"/>
        <v>#DIV/0!</v>
      </c>
      <c r="L93" s="2" t="e">
        <f t="shared" si="64"/>
        <v>#DIV/0!</v>
      </c>
      <c r="M93" s="2" t="e">
        <f t="shared" si="65"/>
        <v>#DIV/0!</v>
      </c>
      <c r="Q93" s="8">
        <f t="shared" si="66"/>
        <v>9.3124733826422279E-2</v>
      </c>
      <c r="R93" s="2">
        <f t="shared" si="67"/>
        <v>9.3124733826422279E-2</v>
      </c>
      <c r="S93" s="2">
        <f t="shared" si="68"/>
        <v>9.3124733826422279E-2</v>
      </c>
      <c r="W93" s="8">
        <f t="shared" si="69"/>
        <v>0.21052631578947367</v>
      </c>
      <c r="X93" s="2">
        <f t="shared" si="70"/>
        <v>0.21052631578947367</v>
      </c>
      <c r="Y93" s="2">
        <f t="shared" si="71"/>
        <v>0.21052631578947367</v>
      </c>
      <c r="AC93" s="8">
        <f t="shared" si="72"/>
        <v>2.3517745856009076E-2</v>
      </c>
      <c r="AD93" s="2">
        <f t="shared" si="73"/>
        <v>2.3517745856009076E-2</v>
      </c>
      <c r="AE93" s="2">
        <f t="shared" si="74"/>
        <v>2.3517745856009076E-2</v>
      </c>
      <c r="AI93" s="8">
        <f t="shared" si="75"/>
        <v>9.3124733826422279E-2</v>
      </c>
      <c r="AJ93" s="2">
        <f t="shared" si="76"/>
        <v>9.3124733826422279E-2</v>
      </c>
      <c r="AK93" s="2">
        <f t="shared" si="77"/>
        <v>9.3124733826422279E-2</v>
      </c>
      <c r="AR93" s="8" t="e">
        <f t="shared" si="97"/>
        <v>#DIV/0!</v>
      </c>
      <c r="AS93" s="2" t="e">
        <f t="shared" si="98"/>
        <v>#DIV/0!</v>
      </c>
      <c r="AT93" s="2" t="e">
        <f t="shared" si="99"/>
        <v>#DIV/0!</v>
      </c>
      <c r="AU93" s="2" t="e">
        <f t="shared" si="78"/>
        <v>#DIV/0!</v>
      </c>
      <c r="AV93" s="2" t="e">
        <f t="shared" si="79"/>
        <v>#DIV/0!</v>
      </c>
      <c r="AW93" s="2" t="e">
        <f t="shared" si="80"/>
        <v>#DIV/0!</v>
      </c>
      <c r="BA93" s="8" t="e">
        <f t="shared" si="100"/>
        <v>#DIV/0!</v>
      </c>
      <c r="BB93" s="2" t="e">
        <f t="shared" si="101"/>
        <v>#DIV/0!</v>
      </c>
      <c r="BC93" s="2" t="e">
        <f t="shared" si="102"/>
        <v>#DIV/0!</v>
      </c>
      <c r="BD93" s="2" t="e">
        <f t="shared" si="81"/>
        <v>#DIV/0!</v>
      </c>
      <c r="BE93" s="2" t="e">
        <f t="shared" si="82"/>
        <v>#DIV/0!</v>
      </c>
      <c r="BF93" s="2" t="e">
        <f t="shared" si="83"/>
        <v>#DIV/0!</v>
      </c>
      <c r="BJ93" s="8" t="e">
        <f t="shared" si="103"/>
        <v>#DIV/0!</v>
      </c>
      <c r="BK93" s="2" t="e">
        <f t="shared" si="104"/>
        <v>#DIV/0!</v>
      </c>
      <c r="BL93" s="2" t="e">
        <f t="shared" si="105"/>
        <v>#DIV/0!</v>
      </c>
      <c r="BM93" s="2" t="e">
        <f t="shared" si="84"/>
        <v>#DIV/0!</v>
      </c>
      <c r="BN93" s="2" t="e">
        <f t="shared" si="85"/>
        <v>#DIV/0!</v>
      </c>
      <c r="BO93" s="2" t="e">
        <f t="shared" si="86"/>
        <v>#DIV/0!</v>
      </c>
      <c r="BS93" s="8" t="e">
        <f t="shared" si="106"/>
        <v>#DIV/0!</v>
      </c>
      <c r="BT93" s="2" t="e">
        <f t="shared" si="107"/>
        <v>#DIV/0!</v>
      </c>
      <c r="BU93" s="2" t="e">
        <f t="shared" si="108"/>
        <v>#DIV/0!</v>
      </c>
      <c r="BV93" s="2" t="e">
        <f t="shared" si="87"/>
        <v>#DIV/0!</v>
      </c>
      <c r="BW93" s="2" t="e">
        <f t="shared" si="88"/>
        <v>#DIV/0!</v>
      </c>
      <c r="BX93" s="2" t="e">
        <f t="shared" si="89"/>
        <v>#DIV/0!</v>
      </c>
      <c r="CE93" s="8" t="e">
        <f t="shared" si="109"/>
        <v>#DIV/0!</v>
      </c>
      <c r="CF93" s="2" t="e">
        <f t="shared" si="110"/>
        <v>#DIV/0!</v>
      </c>
      <c r="CG93" s="2" t="e">
        <f t="shared" si="111"/>
        <v>#DIV/0!</v>
      </c>
      <c r="CH93" s="2" t="e">
        <f t="shared" si="90"/>
        <v>#DIV/0!</v>
      </c>
      <c r="CI93" s="2" t="e">
        <f t="shared" si="91"/>
        <v>#DIV/0!</v>
      </c>
      <c r="CJ93" s="2" t="e">
        <f t="shared" si="92"/>
        <v>#DIV/0!</v>
      </c>
      <c r="CQ93" s="8" t="e">
        <f t="shared" si="112"/>
        <v>#DIV/0!</v>
      </c>
      <c r="CR93" s="2" t="e">
        <f t="shared" si="113"/>
        <v>#DIV/0!</v>
      </c>
      <c r="CS93" s="2" t="e">
        <f t="shared" si="114"/>
        <v>#DIV/0!</v>
      </c>
      <c r="CT93" s="2" t="e">
        <f t="shared" si="93"/>
        <v>#DIV/0!</v>
      </c>
      <c r="CU93" s="2" t="e">
        <f t="shared" si="94"/>
        <v>#DIV/0!</v>
      </c>
      <c r="CV93" s="2" t="e">
        <f t="shared" si="95"/>
        <v>#DIV/0!</v>
      </c>
    </row>
    <row r="94" spans="1:100" x14ac:dyDescent="0.2">
      <c r="A94" s="2">
        <f t="shared" si="57"/>
        <v>3.8333333333333357</v>
      </c>
      <c r="B94" s="2">
        <f t="shared" si="58"/>
        <v>2.1637370719493041E-2</v>
      </c>
      <c r="C94" s="2">
        <f t="shared" si="96"/>
        <v>2.1637370719493041E-2</v>
      </c>
      <c r="D94" s="2">
        <f t="shared" si="96"/>
        <v>2.1637370719493041E-2</v>
      </c>
      <c r="E94" s="8">
        <f t="shared" si="60"/>
        <v>2.1637370719493041E-2</v>
      </c>
      <c r="F94" s="2">
        <f t="shared" si="61"/>
        <v>2.1637370719493041E-2</v>
      </c>
      <c r="G94" s="2">
        <f t="shared" si="62"/>
        <v>2.1637370719493041E-2</v>
      </c>
      <c r="K94" s="8" t="e">
        <f t="shared" si="63"/>
        <v>#DIV/0!</v>
      </c>
      <c r="L94" s="2" t="e">
        <f t="shared" si="64"/>
        <v>#DIV/0!</v>
      </c>
      <c r="M94" s="2" t="e">
        <f t="shared" si="65"/>
        <v>#DIV/0!</v>
      </c>
      <c r="Q94" s="8">
        <f t="shared" si="66"/>
        <v>8.9517088522474531E-2</v>
      </c>
      <c r="R94" s="2">
        <f t="shared" si="67"/>
        <v>8.9517088522474531E-2</v>
      </c>
      <c r="S94" s="2">
        <f t="shared" si="68"/>
        <v>8.9517088522474531E-2</v>
      </c>
      <c r="W94" s="8">
        <f t="shared" si="69"/>
        <v>0.20689655172413779</v>
      </c>
      <c r="X94" s="2">
        <f t="shared" si="70"/>
        <v>0.20689655172413779</v>
      </c>
      <c r="Y94" s="2">
        <f t="shared" si="71"/>
        <v>0.20689655172413779</v>
      </c>
      <c r="AC94" s="8">
        <f t="shared" si="72"/>
        <v>2.163737071949301E-2</v>
      </c>
      <c r="AD94" s="2">
        <f t="shared" si="73"/>
        <v>2.163737071949301E-2</v>
      </c>
      <c r="AE94" s="2">
        <f t="shared" si="74"/>
        <v>2.163737071949301E-2</v>
      </c>
      <c r="AI94" s="8">
        <f t="shared" si="75"/>
        <v>8.9517088522474531E-2</v>
      </c>
      <c r="AJ94" s="2">
        <f t="shared" si="76"/>
        <v>8.9517088522474531E-2</v>
      </c>
      <c r="AK94" s="2">
        <f t="shared" si="77"/>
        <v>8.9517088522474531E-2</v>
      </c>
      <c r="AR94" s="8" t="e">
        <f t="shared" si="97"/>
        <v>#DIV/0!</v>
      </c>
      <c r="AS94" s="2" t="e">
        <f t="shared" si="98"/>
        <v>#DIV/0!</v>
      </c>
      <c r="AT94" s="2" t="e">
        <f t="shared" si="99"/>
        <v>#DIV/0!</v>
      </c>
      <c r="AU94" s="2" t="e">
        <f t="shared" si="78"/>
        <v>#DIV/0!</v>
      </c>
      <c r="AV94" s="2" t="e">
        <f t="shared" si="79"/>
        <v>#DIV/0!</v>
      </c>
      <c r="AW94" s="2" t="e">
        <f t="shared" si="80"/>
        <v>#DIV/0!</v>
      </c>
      <c r="BA94" s="8" t="e">
        <f t="shared" si="100"/>
        <v>#DIV/0!</v>
      </c>
      <c r="BB94" s="2" t="e">
        <f t="shared" si="101"/>
        <v>#DIV/0!</v>
      </c>
      <c r="BC94" s="2" t="e">
        <f t="shared" si="102"/>
        <v>#DIV/0!</v>
      </c>
      <c r="BD94" s="2" t="e">
        <f t="shared" si="81"/>
        <v>#DIV/0!</v>
      </c>
      <c r="BE94" s="2" t="e">
        <f t="shared" si="82"/>
        <v>#DIV/0!</v>
      </c>
      <c r="BF94" s="2" t="e">
        <f t="shared" si="83"/>
        <v>#DIV/0!</v>
      </c>
      <c r="BJ94" s="8" t="e">
        <f t="shared" si="103"/>
        <v>#DIV/0!</v>
      </c>
      <c r="BK94" s="2" t="e">
        <f t="shared" si="104"/>
        <v>#DIV/0!</v>
      </c>
      <c r="BL94" s="2" t="e">
        <f t="shared" si="105"/>
        <v>#DIV/0!</v>
      </c>
      <c r="BM94" s="2" t="e">
        <f t="shared" si="84"/>
        <v>#DIV/0!</v>
      </c>
      <c r="BN94" s="2" t="e">
        <f t="shared" si="85"/>
        <v>#DIV/0!</v>
      </c>
      <c r="BO94" s="2" t="e">
        <f t="shared" si="86"/>
        <v>#DIV/0!</v>
      </c>
      <c r="BS94" s="8" t="e">
        <f t="shared" si="106"/>
        <v>#DIV/0!</v>
      </c>
      <c r="BT94" s="2" t="e">
        <f t="shared" si="107"/>
        <v>#DIV/0!</v>
      </c>
      <c r="BU94" s="2" t="e">
        <f t="shared" si="108"/>
        <v>#DIV/0!</v>
      </c>
      <c r="BV94" s="2" t="e">
        <f t="shared" si="87"/>
        <v>#DIV/0!</v>
      </c>
      <c r="BW94" s="2" t="e">
        <f t="shared" si="88"/>
        <v>#DIV/0!</v>
      </c>
      <c r="BX94" s="2" t="e">
        <f t="shared" si="89"/>
        <v>#DIV/0!</v>
      </c>
      <c r="CE94" s="8" t="e">
        <f t="shared" si="109"/>
        <v>#DIV/0!</v>
      </c>
      <c r="CF94" s="2" t="e">
        <f t="shared" si="110"/>
        <v>#DIV/0!</v>
      </c>
      <c r="CG94" s="2" t="e">
        <f t="shared" si="111"/>
        <v>#DIV/0!</v>
      </c>
      <c r="CH94" s="2" t="e">
        <f t="shared" si="90"/>
        <v>#DIV/0!</v>
      </c>
      <c r="CI94" s="2" t="e">
        <f t="shared" si="91"/>
        <v>#DIV/0!</v>
      </c>
      <c r="CJ94" s="2" t="e">
        <f t="shared" si="92"/>
        <v>#DIV/0!</v>
      </c>
      <c r="CQ94" s="8" t="e">
        <f t="shared" si="112"/>
        <v>#DIV/0!</v>
      </c>
      <c r="CR94" s="2" t="e">
        <f t="shared" si="113"/>
        <v>#DIV/0!</v>
      </c>
      <c r="CS94" s="2" t="e">
        <f t="shared" si="114"/>
        <v>#DIV/0!</v>
      </c>
      <c r="CT94" s="2" t="e">
        <f t="shared" si="93"/>
        <v>#DIV/0!</v>
      </c>
      <c r="CU94" s="2" t="e">
        <f t="shared" si="94"/>
        <v>#DIV/0!</v>
      </c>
      <c r="CV94" s="2" t="e">
        <f t="shared" si="95"/>
        <v>#DIV/0!</v>
      </c>
    </row>
    <row r="95" spans="1:100" x14ac:dyDescent="0.2">
      <c r="A95" s="2">
        <f t="shared" si="57"/>
        <v>3.9166666666666692</v>
      </c>
      <c r="B95" s="2">
        <f t="shared" si="58"/>
        <v>1.990734207773363E-2</v>
      </c>
      <c r="C95" s="2">
        <f t="shared" si="96"/>
        <v>1.990734207773363E-2</v>
      </c>
      <c r="D95" s="2">
        <f t="shared" si="96"/>
        <v>1.990734207773363E-2</v>
      </c>
      <c r="E95" s="8">
        <f t="shared" si="60"/>
        <v>1.990734207773363E-2</v>
      </c>
      <c r="F95" s="2">
        <f t="shared" si="61"/>
        <v>1.990734207773363E-2</v>
      </c>
      <c r="G95" s="2">
        <f t="shared" si="62"/>
        <v>1.990734207773363E-2</v>
      </c>
      <c r="K95" s="8" t="e">
        <f t="shared" si="63"/>
        <v>#DIV/0!</v>
      </c>
      <c r="L95" s="2" t="e">
        <f t="shared" si="64"/>
        <v>#DIV/0!</v>
      </c>
      <c r="M95" s="2" t="e">
        <f t="shared" si="65"/>
        <v>#DIV/0!</v>
      </c>
      <c r="Q95" s="8">
        <f t="shared" si="66"/>
        <v>8.6088665509933771E-2</v>
      </c>
      <c r="R95" s="2">
        <f t="shared" si="67"/>
        <v>8.6088665509933771E-2</v>
      </c>
      <c r="S95" s="2">
        <f t="shared" si="68"/>
        <v>8.6088665509933771E-2</v>
      </c>
      <c r="W95" s="8">
        <f t="shared" si="69"/>
        <v>0.20338983050847448</v>
      </c>
      <c r="X95" s="2">
        <f t="shared" si="70"/>
        <v>0.20338983050847448</v>
      </c>
      <c r="Y95" s="2">
        <f t="shared" si="71"/>
        <v>0.20338983050847448</v>
      </c>
      <c r="AC95" s="8">
        <f t="shared" si="72"/>
        <v>1.9907342077733592E-2</v>
      </c>
      <c r="AD95" s="2">
        <f t="shared" si="73"/>
        <v>1.9907342077733592E-2</v>
      </c>
      <c r="AE95" s="2">
        <f t="shared" si="74"/>
        <v>1.9907342077733592E-2</v>
      </c>
      <c r="AI95" s="8">
        <f t="shared" si="75"/>
        <v>8.6088665509933771E-2</v>
      </c>
      <c r="AJ95" s="2">
        <f t="shared" si="76"/>
        <v>8.6088665509933771E-2</v>
      </c>
      <c r="AK95" s="2">
        <f t="shared" si="77"/>
        <v>8.6088665509933771E-2</v>
      </c>
      <c r="AR95" s="8" t="e">
        <f t="shared" si="97"/>
        <v>#DIV/0!</v>
      </c>
      <c r="AS95" s="2" t="e">
        <f t="shared" si="98"/>
        <v>#DIV/0!</v>
      </c>
      <c r="AT95" s="2" t="e">
        <f t="shared" si="99"/>
        <v>#DIV/0!</v>
      </c>
      <c r="AU95" s="2" t="e">
        <f t="shared" si="78"/>
        <v>#DIV/0!</v>
      </c>
      <c r="AV95" s="2" t="e">
        <f t="shared" si="79"/>
        <v>#DIV/0!</v>
      </c>
      <c r="AW95" s="2" t="e">
        <f t="shared" si="80"/>
        <v>#DIV/0!</v>
      </c>
      <c r="BA95" s="8" t="e">
        <f t="shared" si="100"/>
        <v>#DIV/0!</v>
      </c>
      <c r="BB95" s="2" t="e">
        <f t="shared" si="101"/>
        <v>#DIV/0!</v>
      </c>
      <c r="BC95" s="2" t="e">
        <f t="shared" si="102"/>
        <v>#DIV/0!</v>
      </c>
      <c r="BD95" s="2" t="e">
        <f t="shared" si="81"/>
        <v>#DIV/0!</v>
      </c>
      <c r="BE95" s="2" t="e">
        <f t="shared" si="82"/>
        <v>#DIV/0!</v>
      </c>
      <c r="BF95" s="2" t="e">
        <f t="shared" si="83"/>
        <v>#DIV/0!</v>
      </c>
      <c r="BJ95" s="8" t="e">
        <f t="shared" si="103"/>
        <v>#DIV/0!</v>
      </c>
      <c r="BK95" s="2" t="e">
        <f t="shared" si="104"/>
        <v>#DIV/0!</v>
      </c>
      <c r="BL95" s="2" t="e">
        <f t="shared" si="105"/>
        <v>#DIV/0!</v>
      </c>
      <c r="BM95" s="2" t="e">
        <f t="shared" si="84"/>
        <v>#DIV/0!</v>
      </c>
      <c r="BN95" s="2" t="e">
        <f t="shared" si="85"/>
        <v>#DIV/0!</v>
      </c>
      <c r="BO95" s="2" t="e">
        <f t="shared" si="86"/>
        <v>#DIV/0!</v>
      </c>
      <c r="BS95" s="8" t="e">
        <f t="shared" si="106"/>
        <v>#DIV/0!</v>
      </c>
      <c r="BT95" s="2" t="e">
        <f t="shared" si="107"/>
        <v>#DIV/0!</v>
      </c>
      <c r="BU95" s="2" t="e">
        <f t="shared" si="108"/>
        <v>#DIV/0!</v>
      </c>
      <c r="BV95" s="2" t="e">
        <f t="shared" si="87"/>
        <v>#DIV/0!</v>
      </c>
      <c r="BW95" s="2" t="e">
        <f t="shared" si="88"/>
        <v>#DIV/0!</v>
      </c>
      <c r="BX95" s="2" t="e">
        <f t="shared" si="89"/>
        <v>#DIV/0!</v>
      </c>
      <c r="CE95" s="8" t="e">
        <f t="shared" si="109"/>
        <v>#DIV/0!</v>
      </c>
      <c r="CF95" s="2" t="e">
        <f t="shared" si="110"/>
        <v>#DIV/0!</v>
      </c>
      <c r="CG95" s="2" t="e">
        <f t="shared" si="111"/>
        <v>#DIV/0!</v>
      </c>
      <c r="CH95" s="2" t="e">
        <f t="shared" si="90"/>
        <v>#DIV/0!</v>
      </c>
      <c r="CI95" s="2" t="e">
        <f t="shared" si="91"/>
        <v>#DIV/0!</v>
      </c>
      <c r="CJ95" s="2" t="e">
        <f t="shared" si="92"/>
        <v>#DIV/0!</v>
      </c>
      <c r="CQ95" s="8" t="e">
        <f t="shared" si="112"/>
        <v>#DIV/0!</v>
      </c>
      <c r="CR95" s="2" t="e">
        <f t="shared" si="113"/>
        <v>#DIV/0!</v>
      </c>
      <c r="CS95" s="2" t="e">
        <f t="shared" si="114"/>
        <v>#DIV/0!</v>
      </c>
      <c r="CT95" s="2" t="e">
        <f t="shared" si="93"/>
        <v>#DIV/0!</v>
      </c>
      <c r="CU95" s="2" t="e">
        <f t="shared" si="94"/>
        <v>#DIV/0!</v>
      </c>
      <c r="CV95" s="2" t="e">
        <f t="shared" si="95"/>
        <v>#DIV/0!</v>
      </c>
    </row>
    <row r="96" spans="1:100" x14ac:dyDescent="0.2">
      <c r="A96" s="2">
        <f t="shared" si="57"/>
        <v>4.0000000000000027</v>
      </c>
      <c r="B96" s="2">
        <f t="shared" si="58"/>
        <v>1.831563888873413E-2</v>
      </c>
      <c r="C96" s="2">
        <f t="shared" si="96"/>
        <v>1.831563888873413E-2</v>
      </c>
      <c r="D96" s="2">
        <f t="shared" si="96"/>
        <v>1.831563888873413E-2</v>
      </c>
      <c r="E96" s="8">
        <f t="shared" si="60"/>
        <v>1.831563888873413E-2</v>
      </c>
      <c r="F96" s="2">
        <f t="shared" si="61"/>
        <v>1.831563888873413E-2</v>
      </c>
      <c r="G96" s="2">
        <f t="shared" si="62"/>
        <v>1.831563888873413E-2</v>
      </c>
      <c r="K96" s="8" t="e">
        <f t="shared" si="63"/>
        <v>#DIV/0!</v>
      </c>
      <c r="L96" s="2" t="e">
        <f t="shared" si="64"/>
        <v>#DIV/0!</v>
      </c>
      <c r="M96" s="2" t="e">
        <f t="shared" si="65"/>
        <v>#DIV/0!</v>
      </c>
      <c r="Q96" s="8">
        <f t="shared" si="66"/>
        <v>8.2828519001698409E-2</v>
      </c>
      <c r="R96" s="2">
        <f t="shared" si="67"/>
        <v>8.2828519001698409E-2</v>
      </c>
      <c r="S96" s="2">
        <f t="shared" si="68"/>
        <v>8.2828519001698409E-2</v>
      </c>
      <c r="W96" s="8">
        <f t="shared" si="69"/>
        <v>0.19999999999999984</v>
      </c>
      <c r="X96" s="2">
        <f t="shared" si="70"/>
        <v>0.19999999999999984</v>
      </c>
      <c r="Y96" s="2">
        <f t="shared" si="71"/>
        <v>0.19999999999999984</v>
      </c>
      <c r="AC96" s="8">
        <f t="shared" si="72"/>
        <v>1.8315638888734109E-2</v>
      </c>
      <c r="AD96" s="2">
        <f t="shared" si="73"/>
        <v>1.8315638888734109E-2</v>
      </c>
      <c r="AE96" s="2">
        <f t="shared" si="74"/>
        <v>1.8315638888734109E-2</v>
      </c>
      <c r="AI96" s="8">
        <f t="shared" si="75"/>
        <v>8.2828519001698409E-2</v>
      </c>
      <c r="AJ96" s="2">
        <f t="shared" si="76"/>
        <v>8.2828519001698409E-2</v>
      </c>
      <c r="AK96" s="2">
        <f t="shared" si="77"/>
        <v>8.2828519001698409E-2</v>
      </c>
      <c r="AR96" s="8" t="e">
        <f t="shared" si="97"/>
        <v>#DIV/0!</v>
      </c>
      <c r="AS96" s="2" t="e">
        <f t="shared" si="98"/>
        <v>#DIV/0!</v>
      </c>
      <c r="AT96" s="2" t="e">
        <f t="shared" si="99"/>
        <v>#DIV/0!</v>
      </c>
      <c r="AU96" s="2" t="e">
        <f t="shared" si="78"/>
        <v>#DIV/0!</v>
      </c>
      <c r="AV96" s="2" t="e">
        <f t="shared" si="79"/>
        <v>#DIV/0!</v>
      </c>
      <c r="AW96" s="2" t="e">
        <f t="shared" si="80"/>
        <v>#DIV/0!</v>
      </c>
      <c r="BA96" s="8" t="e">
        <f t="shared" si="100"/>
        <v>#DIV/0!</v>
      </c>
      <c r="BB96" s="2" t="e">
        <f t="shared" si="101"/>
        <v>#DIV/0!</v>
      </c>
      <c r="BC96" s="2" t="e">
        <f t="shared" si="102"/>
        <v>#DIV/0!</v>
      </c>
      <c r="BD96" s="2" t="e">
        <f t="shared" si="81"/>
        <v>#DIV/0!</v>
      </c>
      <c r="BE96" s="2" t="e">
        <f t="shared" si="82"/>
        <v>#DIV/0!</v>
      </c>
      <c r="BF96" s="2" t="e">
        <f t="shared" si="83"/>
        <v>#DIV/0!</v>
      </c>
      <c r="BJ96" s="8" t="e">
        <f t="shared" si="103"/>
        <v>#DIV/0!</v>
      </c>
      <c r="BK96" s="2" t="e">
        <f t="shared" si="104"/>
        <v>#DIV/0!</v>
      </c>
      <c r="BL96" s="2" t="e">
        <f t="shared" si="105"/>
        <v>#DIV/0!</v>
      </c>
      <c r="BM96" s="2" t="e">
        <f t="shared" si="84"/>
        <v>#DIV/0!</v>
      </c>
      <c r="BN96" s="2" t="e">
        <f t="shared" si="85"/>
        <v>#DIV/0!</v>
      </c>
      <c r="BO96" s="2" t="e">
        <f t="shared" si="86"/>
        <v>#DIV/0!</v>
      </c>
      <c r="BS96" s="8" t="e">
        <f t="shared" si="106"/>
        <v>#DIV/0!</v>
      </c>
      <c r="BT96" s="2" t="e">
        <f t="shared" si="107"/>
        <v>#DIV/0!</v>
      </c>
      <c r="BU96" s="2" t="e">
        <f t="shared" si="108"/>
        <v>#DIV/0!</v>
      </c>
      <c r="BV96" s="2" t="e">
        <f t="shared" si="87"/>
        <v>#DIV/0!</v>
      </c>
      <c r="BW96" s="2" t="e">
        <f t="shared" si="88"/>
        <v>#DIV/0!</v>
      </c>
      <c r="BX96" s="2" t="e">
        <f t="shared" si="89"/>
        <v>#DIV/0!</v>
      </c>
      <c r="CE96" s="8" t="e">
        <f t="shared" si="109"/>
        <v>#DIV/0!</v>
      </c>
      <c r="CF96" s="2" t="e">
        <f t="shared" si="110"/>
        <v>#DIV/0!</v>
      </c>
      <c r="CG96" s="2" t="e">
        <f t="shared" si="111"/>
        <v>#DIV/0!</v>
      </c>
      <c r="CH96" s="2" t="e">
        <f t="shared" si="90"/>
        <v>#DIV/0!</v>
      </c>
      <c r="CI96" s="2" t="e">
        <f t="shared" si="91"/>
        <v>#DIV/0!</v>
      </c>
      <c r="CJ96" s="2" t="e">
        <f t="shared" si="92"/>
        <v>#DIV/0!</v>
      </c>
      <c r="CQ96" s="8" t="e">
        <f t="shared" si="112"/>
        <v>#DIV/0!</v>
      </c>
      <c r="CR96" s="2" t="e">
        <f t="shared" si="113"/>
        <v>#DIV/0!</v>
      </c>
      <c r="CS96" s="2" t="e">
        <f t="shared" si="114"/>
        <v>#DIV/0!</v>
      </c>
      <c r="CT96" s="2" t="e">
        <f t="shared" si="93"/>
        <v>#DIV/0!</v>
      </c>
      <c r="CU96" s="2" t="e">
        <f t="shared" si="94"/>
        <v>#DIV/0!</v>
      </c>
      <c r="CV96" s="2" t="e">
        <f t="shared" si="95"/>
        <v>#DIV/0!</v>
      </c>
    </row>
    <row r="97" spans="1:100" x14ac:dyDescent="0.2">
      <c r="A97" s="2">
        <f t="shared" si="57"/>
        <v>4.0833333333333357</v>
      </c>
      <c r="B97" s="2">
        <f t="shared" si="58"/>
        <v>1.6851201259947466E-2</v>
      </c>
      <c r="C97" s="2">
        <f t="shared" si="96"/>
        <v>1.6851201259947466E-2</v>
      </c>
      <c r="D97" s="2">
        <f t="shared" si="96"/>
        <v>1.6851201259947466E-2</v>
      </c>
      <c r="E97" s="8">
        <f t="shared" si="60"/>
        <v>1.6851201259947466E-2</v>
      </c>
      <c r="F97" s="2">
        <f t="shared" si="61"/>
        <v>1.6851201259947466E-2</v>
      </c>
      <c r="G97" s="2">
        <f t="shared" si="62"/>
        <v>1.6851201259947466E-2</v>
      </c>
      <c r="K97" s="8" t="e">
        <f t="shared" si="63"/>
        <v>#DIV/0!</v>
      </c>
      <c r="L97" s="2" t="e">
        <f t="shared" si="64"/>
        <v>#DIV/0!</v>
      </c>
      <c r="M97" s="2" t="e">
        <f t="shared" si="65"/>
        <v>#DIV/0!</v>
      </c>
      <c r="Q97" s="8">
        <f t="shared" si="66"/>
        <v>7.9726497982045785E-2</v>
      </c>
      <c r="R97" s="2">
        <f t="shared" si="67"/>
        <v>7.9726497982045785E-2</v>
      </c>
      <c r="S97" s="2">
        <f t="shared" si="68"/>
        <v>7.9726497982045785E-2</v>
      </c>
      <c r="W97" s="8">
        <f t="shared" si="69"/>
        <v>0.19672131147540972</v>
      </c>
      <c r="X97" s="2">
        <f t="shared" si="70"/>
        <v>0.19672131147540972</v>
      </c>
      <c r="Y97" s="2">
        <f t="shared" si="71"/>
        <v>0.19672131147540972</v>
      </c>
      <c r="AC97" s="8">
        <f t="shared" si="72"/>
        <v>1.6851201259947435E-2</v>
      </c>
      <c r="AD97" s="2">
        <f t="shared" si="73"/>
        <v>1.6851201259947435E-2</v>
      </c>
      <c r="AE97" s="2">
        <f t="shared" si="74"/>
        <v>1.6851201259947435E-2</v>
      </c>
      <c r="AI97" s="8">
        <f t="shared" si="75"/>
        <v>7.9726497982045785E-2</v>
      </c>
      <c r="AJ97" s="2">
        <f t="shared" si="76"/>
        <v>7.9726497982045785E-2</v>
      </c>
      <c r="AK97" s="2">
        <f t="shared" si="77"/>
        <v>7.9726497982045785E-2</v>
      </c>
      <c r="AR97" s="8" t="e">
        <f t="shared" si="97"/>
        <v>#DIV/0!</v>
      </c>
      <c r="AS97" s="2" t="e">
        <f t="shared" si="98"/>
        <v>#DIV/0!</v>
      </c>
      <c r="AT97" s="2" t="e">
        <f t="shared" si="99"/>
        <v>#DIV/0!</v>
      </c>
      <c r="AU97" s="2" t="e">
        <f t="shared" si="78"/>
        <v>#DIV/0!</v>
      </c>
      <c r="AV97" s="2" t="e">
        <f t="shared" si="79"/>
        <v>#DIV/0!</v>
      </c>
      <c r="AW97" s="2" t="e">
        <f t="shared" si="80"/>
        <v>#DIV/0!</v>
      </c>
      <c r="BA97" s="8" t="e">
        <f t="shared" si="100"/>
        <v>#DIV/0!</v>
      </c>
      <c r="BB97" s="2" t="e">
        <f t="shared" si="101"/>
        <v>#DIV/0!</v>
      </c>
      <c r="BC97" s="2" t="e">
        <f t="shared" si="102"/>
        <v>#DIV/0!</v>
      </c>
      <c r="BD97" s="2" t="e">
        <f t="shared" si="81"/>
        <v>#DIV/0!</v>
      </c>
      <c r="BE97" s="2" t="e">
        <f t="shared" si="82"/>
        <v>#DIV/0!</v>
      </c>
      <c r="BF97" s="2" t="e">
        <f t="shared" si="83"/>
        <v>#DIV/0!</v>
      </c>
      <c r="BJ97" s="8" t="e">
        <f t="shared" si="103"/>
        <v>#DIV/0!</v>
      </c>
      <c r="BK97" s="2" t="e">
        <f t="shared" si="104"/>
        <v>#DIV/0!</v>
      </c>
      <c r="BL97" s="2" t="e">
        <f t="shared" si="105"/>
        <v>#DIV/0!</v>
      </c>
      <c r="BM97" s="2" t="e">
        <f t="shared" si="84"/>
        <v>#DIV/0!</v>
      </c>
      <c r="BN97" s="2" t="e">
        <f t="shared" si="85"/>
        <v>#DIV/0!</v>
      </c>
      <c r="BO97" s="2" t="e">
        <f t="shared" si="86"/>
        <v>#DIV/0!</v>
      </c>
      <c r="BS97" s="8" t="e">
        <f t="shared" si="106"/>
        <v>#DIV/0!</v>
      </c>
      <c r="BT97" s="2" t="e">
        <f t="shared" si="107"/>
        <v>#DIV/0!</v>
      </c>
      <c r="BU97" s="2" t="e">
        <f t="shared" si="108"/>
        <v>#DIV/0!</v>
      </c>
      <c r="BV97" s="2" t="e">
        <f t="shared" si="87"/>
        <v>#DIV/0!</v>
      </c>
      <c r="BW97" s="2" t="e">
        <f t="shared" si="88"/>
        <v>#DIV/0!</v>
      </c>
      <c r="BX97" s="2" t="e">
        <f t="shared" si="89"/>
        <v>#DIV/0!</v>
      </c>
      <c r="CE97" s="8" t="e">
        <f t="shared" si="109"/>
        <v>#DIV/0!</v>
      </c>
      <c r="CF97" s="2" t="e">
        <f t="shared" si="110"/>
        <v>#DIV/0!</v>
      </c>
      <c r="CG97" s="2" t="e">
        <f t="shared" si="111"/>
        <v>#DIV/0!</v>
      </c>
      <c r="CH97" s="2" t="e">
        <f t="shared" si="90"/>
        <v>#DIV/0!</v>
      </c>
      <c r="CI97" s="2" t="e">
        <f t="shared" si="91"/>
        <v>#DIV/0!</v>
      </c>
      <c r="CJ97" s="2" t="e">
        <f t="shared" si="92"/>
        <v>#DIV/0!</v>
      </c>
      <c r="CQ97" s="8" t="e">
        <f t="shared" si="112"/>
        <v>#DIV/0!</v>
      </c>
      <c r="CR97" s="2" t="e">
        <f t="shared" si="113"/>
        <v>#DIV/0!</v>
      </c>
      <c r="CS97" s="2" t="e">
        <f t="shared" si="114"/>
        <v>#DIV/0!</v>
      </c>
      <c r="CT97" s="2" t="e">
        <f t="shared" si="93"/>
        <v>#DIV/0!</v>
      </c>
      <c r="CU97" s="2" t="e">
        <f t="shared" si="94"/>
        <v>#DIV/0!</v>
      </c>
      <c r="CV97" s="2" t="e">
        <f t="shared" si="95"/>
        <v>#DIV/0!</v>
      </c>
    </row>
    <row r="98" spans="1:100" x14ac:dyDescent="0.2">
      <c r="A98" s="2">
        <f t="shared" si="57"/>
        <v>4.1666666666666687</v>
      </c>
      <c r="B98" s="2">
        <f t="shared" si="58"/>
        <v>1.5503853599009286E-2</v>
      </c>
      <c r="C98" s="2">
        <f t="shared" si="96"/>
        <v>1.5503853599009286E-2</v>
      </c>
      <c r="D98" s="2">
        <f t="shared" si="96"/>
        <v>1.5503853599009286E-2</v>
      </c>
      <c r="E98" s="8">
        <f t="shared" si="60"/>
        <v>1.5503853599009286E-2</v>
      </c>
      <c r="F98" s="2">
        <f t="shared" si="61"/>
        <v>1.5503853599009286E-2</v>
      </c>
      <c r="G98" s="2">
        <f t="shared" si="62"/>
        <v>1.5503853599009286E-2</v>
      </c>
      <c r="K98" s="8" t="e">
        <f t="shared" si="63"/>
        <v>#DIV/0!</v>
      </c>
      <c r="L98" s="2" t="e">
        <f t="shared" si="64"/>
        <v>#DIV/0!</v>
      </c>
      <c r="M98" s="2" t="e">
        <f t="shared" si="65"/>
        <v>#DIV/0!</v>
      </c>
      <c r="Q98" s="8">
        <f t="shared" si="66"/>
        <v>7.677317943158557E-2</v>
      </c>
      <c r="R98" s="2">
        <f t="shared" si="67"/>
        <v>7.677317943158557E-2</v>
      </c>
      <c r="S98" s="2">
        <f t="shared" si="68"/>
        <v>7.677317943158557E-2</v>
      </c>
      <c r="W98" s="8">
        <f t="shared" si="69"/>
        <v>0.19354838709677402</v>
      </c>
      <c r="X98" s="2">
        <f t="shared" si="70"/>
        <v>0.19354838709677402</v>
      </c>
      <c r="Y98" s="2">
        <f t="shared" si="71"/>
        <v>0.19354838709677402</v>
      </c>
      <c r="AC98" s="8">
        <f t="shared" si="72"/>
        <v>1.5503853599009298E-2</v>
      </c>
      <c r="AD98" s="2">
        <f t="shared" si="73"/>
        <v>1.5503853599009298E-2</v>
      </c>
      <c r="AE98" s="2">
        <f t="shared" si="74"/>
        <v>1.5503853599009298E-2</v>
      </c>
      <c r="AI98" s="8">
        <f t="shared" si="75"/>
        <v>7.677317943158557E-2</v>
      </c>
      <c r="AJ98" s="2">
        <f t="shared" si="76"/>
        <v>7.677317943158557E-2</v>
      </c>
      <c r="AK98" s="2">
        <f t="shared" si="77"/>
        <v>7.677317943158557E-2</v>
      </c>
      <c r="AR98" s="8" t="e">
        <f t="shared" si="97"/>
        <v>#DIV/0!</v>
      </c>
      <c r="AS98" s="2" t="e">
        <f t="shared" si="98"/>
        <v>#DIV/0!</v>
      </c>
      <c r="AT98" s="2" t="e">
        <f t="shared" si="99"/>
        <v>#DIV/0!</v>
      </c>
      <c r="AU98" s="2" t="e">
        <f t="shared" si="78"/>
        <v>#DIV/0!</v>
      </c>
      <c r="AV98" s="2" t="e">
        <f t="shared" si="79"/>
        <v>#DIV/0!</v>
      </c>
      <c r="AW98" s="2" t="e">
        <f t="shared" si="80"/>
        <v>#DIV/0!</v>
      </c>
      <c r="BA98" s="8" t="e">
        <f t="shared" si="100"/>
        <v>#DIV/0!</v>
      </c>
      <c r="BB98" s="2" t="e">
        <f t="shared" si="101"/>
        <v>#DIV/0!</v>
      </c>
      <c r="BC98" s="2" t="e">
        <f t="shared" si="102"/>
        <v>#DIV/0!</v>
      </c>
      <c r="BD98" s="2" t="e">
        <f t="shared" si="81"/>
        <v>#DIV/0!</v>
      </c>
      <c r="BE98" s="2" t="e">
        <f t="shared" si="82"/>
        <v>#DIV/0!</v>
      </c>
      <c r="BF98" s="2" t="e">
        <f t="shared" si="83"/>
        <v>#DIV/0!</v>
      </c>
      <c r="BJ98" s="8" t="e">
        <f t="shared" si="103"/>
        <v>#DIV/0!</v>
      </c>
      <c r="BK98" s="2" t="e">
        <f t="shared" si="104"/>
        <v>#DIV/0!</v>
      </c>
      <c r="BL98" s="2" t="e">
        <f t="shared" si="105"/>
        <v>#DIV/0!</v>
      </c>
      <c r="BM98" s="2" t="e">
        <f t="shared" si="84"/>
        <v>#DIV/0!</v>
      </c>
      <c r="BN98" s="2" t="e">
        <f t="shared" si="85"/>
        <v>#DIV/0!</v>
      </c>
      <c r="BO98" s="2" t="e">
        <f t="shared" si="86"/>
        <v>#DIV/0!</v>
      </c>
      <c r="BS98" s="8" t="e">
        <f t="shared" si="106"/>
        <v>#DIV/0!</v>
      </c>
      <c r="BT98" s="2" t="e">
        <f t="shared" si="107"/>
        <v>#DIV/0!</v>
      </c>
      <c r="BU98" s="2" t="e">
        <f t="shared" si="108"/>
        <v>#DIV/0!</v>
      </c>
      <c r="BV98" s="2" t="e">
        <f t="shared" si="87"/>
        <v>#DIV/0!</v>
      </c>
      <c r="BW98" s="2" t="e">
        <f t="shared" si="88"/>
        <v>#DIV/0!</v>
      </c>
      <c r="BX98" s="2" t="e">
        <f t="shared" si="89"/>
        <v>#DIV/0!</v>
      </c>
      <c r="CE98" s="8" t="e">
        <f t="shared" si="109"/>
        <v>#DIV/0!</v>
      </c>
      <c r="CF98" s="2" t="e">
        <f t="shared" si="110"/>
        <v>#DIV/0!</v>
      </c>
      <c r="CG98" s="2" t="e">
        <f t="shared" si="111"/>
        <v>#DIV/0!</v>
      </c>
      <c r="CH98" s="2" t="e">
        <f t="shared" si="90"/>
        <v>#DIV/0!</v>
      </c>
      <c r="CI98" s="2" t="e">
        <f t="shared" si="91"/>
        <v>#DIV/0!</v>
      </c>
      <c r="CJ98" s="2" t="e">
        <f t="shared" si="92"/>
        <v>#DIV/0!</v>
      </c>
      <c r="CQ98" s="8" t="e">
        <f t="shared" si="112"/>
        <v>#DIV/0!</v>
      </c>
      <c r="CR98" s="2" t="e">
        <f t="shared" si="113"/>
        <v>#DIV/0!</v>
      </c>
      <c r="CS98" s="2" t="e">
        <f t="shared" si="114"/>
        <v>#DIV/0!</v>
      </c>
      <c r="CT98" s="2" t="e">
        <f t="shared" si="93"/>
        <v>#DIV/0!</v>
      </c>
      <c r="CU98" s="2" t="e">
        <f t="shared" si="94"/>
        <v>#DIV/0!</v>
      </c>
      <c r="CV98" s="2" t="e">
        <f t="shared" si="95"/>
        <v>#DIV/0!</v>
      </c>
    </row>
    <row r="99" spans="1:100" x14ac:dyDescent="0.2">
      <c r="A99" s="2">
        <f t="shared" si="57"/>
        <v>4.2500000000000018</v>
      </c>
      <c r="B99" s="2">
        <f t="shared" si="58"/>
        <v>1.4264233908999229E-2</v>
      </c>
      <c r="C99" s="2">
        <f t="shared" si="96"/>
        <v>1.4264233908999229E-2</v>
      </c>
      <c r="D99" s="2">
        <f t="shared" si="96"/>
        <v>1.4264233908999229E-2</v>
      </c>
      <c r="E99" s="8">
        <f t="shared" si="60"/>
        <v>1.4264233908999229E-2</v>
      </c>
      <c r="F99" s="2">
        <f t="shared" si="61"/>
        <v>1.4264233908999229E-2</v>
      </c>
      <c r="G99" s="2">
        <f t="shared" si="62"/>
        <v>1.4264233908999229E-2</v>
      </c>
      <c r="K99" s="8" t="e">
        <f t="shared" si="63"/>
        <v>#DIV/0!</v>
      </c>
      <c r="L99" s="2" t="e">
        <f t="shared" si="64"/>
        <v>#DIV/0!</v>
      </c>
      <c r="M99" s="2" t="e">
        <f t="shared" si="65"/>
        <v>#DIV/0!</v>
      </c>
      <c r="Q99" s="8">
        <f t="shared" si="66"/>
        <v>7.3959807899369845E-2</v>
      </c>
      <c r="R99" s="2">
        <f t="shared" si="67"/>
        <v>7.3959807899369845E-2</v>
      </c>
      <c r="S99" s="2">
        <f t="shared" si="68"/>
        <v>7.3959807899369845E-2</v>
      </c>
      <c r="W99" s="8">
        <f t="shared" si="69"/>
        <v>0.19047619047619035</v>
      </c>
      <c r="X99" s="2">
        <f t="shared" si="70"/>
        <v>0.19047619047619035</v>
      </c>
      <c r="Y99" s="2">
        <f t="shared" si="71"/>
        <v>0.19047619047619035</v>
      </c>
      <c r="AC99" s="8">
        <f t="shared" si="72"/>
        <v>1.4264233908999224E-2</v>
      </c>
      <c r="AD99" s="2">
        <f t="shared" si="73"/>
        <v>1.4264233908999224E-2</v>
      </c>
      <c r="AE99" s="2">
        <f t="shared" si="74"/>
        <v>1.4264233908999224E-2</v>
      </c>
      <c r="AI99" s="8">
        <f t="shared" si="75"/>
        <v>7.3959807899369845E-2</v>
      </c>
      <c r="AJ99" s="2">
        <f t="shared" si="76"/>
        <v>7.3959807899369845E-2</v>
      </c>
      <c r="AK99" s="2">
        <f t="shared" si="77"/>
        <v>7.3959807899369845E-2</v>
      </c>
      <c r="AR99" s="8" t="e">
        <f t="shared" si="97"/>
        <v>#DIV/0!</v>
      </c>
      <c r="AS99" s="2" t="e">
        <f t="shared" si="98"/>
        <v>#DIV/0!</v>
      </c>
      <c r="AT99" s="2" t="e">
        <f t="shared" si="99"/>
        <v>#DIV/0!</v>
      </c>
      <c r="AU99" s="2" t="e">
        <f t="shared" si="78"/>
        <v>#DIV/0!</v>
      </c>
      <c r="AV99" s="2" t="e">
        <f t="shared" si="79"/>
        <v>#DIV/0!</v>
      </c>
      <c r="AW99" s="2" t="e">
        <f t="shared" si="80"/>
        <v>#DIV/0!</v>
      </c>
      <c r="BA99" s="8" t="e">
        <f t="shared" si="100"/>
        <v>#DIV/0!</v>
      </c>
      <c r="BB99" s="2" t="e">
        <f t="shared" si="101"/>
        <v>#DIV/0!</v>
      </c>
      <c r="BC99" s="2" t="e">
        <f t="shared" si="102"/>
        <v>#DIV/0!</v>
      </c>
      <c r="BD99" s="2" t="e">
        <f t="shared" si="81"/>
        <v>#DIV/0!</v>
      </c>
      <c r="BE99" s="2" t="e">
        <f t="shared" si="82"/>
        <v>#DIV/0!</v>
      </c>
      <c r="BF99" s="2" t="e">
        <f t="shared" si="83"/>
        <v>#DIV/0!</v>
      </c>
      <c r="BJ99" s="8" t="e">
        <f t="shared" si="103"/>
        <v>#DIV/0!</v>
      </c>
      <c r="BK99" s="2" t="e">
        <f t="shared" si="104"/>
        <v>#DIV/0!</v>
      </c>
      <c r="BL99" s="2" t="e">
        <f t="shared" si="105"/>
        <v>#DIV/0!</v>
      </c>
      <c r="BM99" s="2" t="e">
        <f t="shared" si="84"/>
        <v>#DIV/0!</v>
      </c>
      <c r="BN99" s="2" t="e">
        <f t="shared" si="85"/>
        <v>#DIV/0!</v>
      </c>
      <c r="BO99" s="2" t="e">
        <f t="shared" si="86"/>
        <v>#DIV/0!</v>
      </c>
      <c r="BS99" s="8" t="e">
        <f t="shared" si="106"/>
        <v>#DIV/0!</v>
      </c>
      <c r="BT99" s="2" t="e">
        <f t="shared" si="107"/>
        <v>#DIV/0!</v>
      </c>
      <c r="BU99" s="2" t="e">
        <f t="shared" si="108"/>
        <v>#DIV/0!</v>
      </c>
      <c r="BV99" s="2" t="e">
        <f t="shared" si="87"/>
        <v>#DIV/0!</v>
      </c>
      <c r="BW99" s="2" t="e">
        <f t="shared" si="88"/>
        <v>#DIV/0!</v>
      </c>
      <c r="BX99" s="2" t="e">
        <f t="shared" si="89"/>
        <v>#DIV/0!</v>
      </c>
      <c r="CE99" s="8" t="e">
        <f t="shared" si="109"/>
        <v>#DIV/0!</v>
      </c>
      <c r="CF99" s="2" t="e">
        <f t="shared" si="110"/>
        <v>#DIV/0!</v>
      </c>
      <c r="CG99" s="2" t="e">
        <f t="shared" si="111"/>
        <v>#DIV/0!</v>
      </c>
      <c r="CH99" s="2" t="e">
        <f t="shared" si="90"/>
        <v>#DIV/0!</v>
      </c>
      <c r="CI99" s="2" t="e">
        <f t="shared" si="91"/>
        <v>#DIV/0!</v>
      </c>
      <c r="CJ99" s="2" t="e">
        <f t="shared" si="92"/>
        <v>#DIV/0!</v>
      </c>
      <c r="CQ99" s="8" t="e">
        <f t="shared" si="112"/>
        <v>#DIV/0!</v>
      </c>
      <c r="CR99" s="2" t="e">
        <f t="shared" si="113"/>
        <v>#DIV/0!</v>
      </c>
      <c r="CS99" s="2" t="e">
        <f t="shared" si="114"/>
        <v>#DIV/0!</v>
      </c>
      <c r="CT99" s="2" t="e">
        <f t="shared" si="93"/>
        <v>#DIV/0!</v>
      </c>
      <c r="CU99" s="2" t="e">
        <f t="shared" si="94"/>
        <v>#DIV/0!</v>
      </c>
      <c r="CV99" s="2" t="e">
        <f t="shared" si="95"/>
        <v>#DIV/0!</v>
      </c>
    </row>
    <row r="100" spans="1:100" x14ac:dyDescent="0.2">
      <c r="A100" s="2">
        <f t="shared" si="57"/>
        <v>4.3333333333333348</v>
      </c>
      <c r="B100" s="2">
        <f t="shared" si="58"/>
        <v>1.3123728736940943E-2</v>
      </c>
      <c r="C100" s="2">
        <f t="shared" si="96"/>
        <v>1.3123728736940943E-2</v>
      </c>
      <c r="D100" s="2">
        <f t="shared" si="96"/>
        <v>1.3123728736940943E-2</v>
      </c>
      <c r="E100" s="8">
        <f t="shared" si="60"/>
        <v>1.3123728736940943E-2</v>
      </c>
      <c r="F100" s="2">
        <f t="shared" si="61"/>
        <v>1.3123728736940943E-2</v>
      </c>
      <c r="G100" s="2">
        <f t="shared" si="62"/>
        <v>1.3123728736940943E-2</v>
      </c>
      <c r="K100" s="8" t="e">
        <f t="shared" si="63"/>
        <v>#DIV/0!</v>
      </c>
      <c r="L100" s="2" t="e">
        <f t="shared" si="64"/>
        <v>#DIV/0!</v>
      </c>
      <c r="M100" s="2" t="e">
        <f t="shared" si="65"/>
        <v>#DIV/0!</v>
      </c>
      <c r="Q100" s="8">
        <f t="shared" si="66"/>
        <v>7.1278240752786548E-2</v>
      </c>
      <c r="R100" s="2">
        <f t="shared" si="67"/>
        <v>7.1278240752786548E-2</v>
      </c>
      <c r="S100" s="2">
        <f t="shared" si="68"/>
        <v>7.1278240752786548E-2</v>
      </c>
      <c r="W100" s="8">
        <f t="shared" si="69"/>
        <v>0.18749999999999989</v>
      </c>
      <c r="X100" s="2">
        <f t="shared" si="70"/>
        <v>0.18749999999999989</v>
      </c>
      <c r="Y100" s="2">
        <f t="shared" si="71"/>
        <v>0.18749999999999989</v>
      </c>
      <c r="AC100" s="8">
        <f t="shared" si="72"/>
        <v>1.3123728736940898E-2</v>
      </c>
      <c r="AD100" s="2">
        <f t="shared" si="73"/>
        <v>1.3123728736940898E-2</v>
      </c>
      <c r="AE100" s="2">
        <f t="shared" si="74"/>
        <v>1.3123728736940898E-2</v>
      </c>
      <c r="AI100" s="8">
        <f t="shared" si="75"/>
        <v>7.1278240752786548E-2</v>
      </c>
      <c r="AJ100" s="2">
        <f t="shared" si="76"/>
        <v>7.1278240752786548E-2</v>
      </c>
      <c r="AK100" s="2">
        <f t="shared" si="77"/>
        <v>7.1278240752786548E-2</v>
      </c>
      <c r="AR100" s="8" t="e">
        <f t="shared" si="97"/>
        <v>#DIV/0!</v>
      </c>
      <c r="AS100" s="2" t="e">
        <f t="shared" si="98"/>
        <v>#DIV/0!</v>
      </c>
      <c r="AT100" s="2" t="e">
        <f t="shared" si="99"/>
        <v>#DIV/0!</v>
      </c>
      <c r="AU100" s="2" t="e">
        <f t="shared" si="78"/>
        <v>#DIV/0!</v>
      </c>
      <c r="AV100" s="2" t="e">
        <f t="shared" si="79"/>
        <v>#DIV/0!</v>
      </c>
      <c r="AW100" s="2" t="e">
        <f t="shared" si="80"/>
        <v>#DIV/0!</v>
      </c>
      <c r="BA100" s="8" t="e">
        <f t="shared" si="100"/>
        <v>#DIV/0!</v>
      </c>
      <c r="BB100" s="2" t="e">
        <f t="shared" si="101"/>
        <v>#DIV/0!</v>
      </c>
      <c r="BC100" s="2" t="e">
        <f t="shared" si="102"/>
        <v>#DIV/0!</v>
      </c>
      <c r="BD100" s="2" t="e">
        <f t="shared" si="81"/>
        <v>#DIV/0!</v>
      </c>
      <c r="BE100" s="2" t="e">
        <f t="shared" si="82"/>
        <v>#DIV/0!</v>
      </c>
      <c r="BF100" s="2" t="e">
        <f t="shared" si="83"/>
        <v>#DIV/0!</v>
      </c>
      <c r="BJ100" s="8" t="e">
        <f t="shared" si="103"/>
        <v>#DIV/0!</v>
      </c>
      <c r="BK100" s="2" t="e">
        <f t="shared" si="104"/>
        <v>#DIV/0!</v>
      </c>
      <c r="BL100" s="2" t="e">
        <f t="shared" si="105"/>
        <v>#DIV/0!</v>
      </c>
      <c r="BM100" s="2" t="e">
        <f t="shared" si="84"/>
        <v>#DIV/0!</v>
      </c>
      <c r="BN100" s="2" t="e">
        <f t="shared" si="85"/>
        <v>#DIV/0!</v>
      </c>
      <c r="BO100" s="2" t="e">
        <f t="shared" si="86"/>
        <v>#DIV/0!</v>
      </c>
      <c r="BS100" s="8" t="e">
        <f t="shared" si="106"/>
        <v>#DIV/0!</v>
      </c>
      <c r="BT100" s="2" t="e">
        <f t="shared" si="107"/>
        <v>#DIV/0!</v>
      </c>
      <c r="BU100" s="2" t="e">
        <f t="shared" si="108"/>
        <v>#DIV/0!</v>
      </c>
      <c r="BV100" s="2" t="e">
        <f t="shared" si="87"/>
        <v>#DIV/0!</v>
      </c>
      <c r="BW100" s="2" t="e">
        <f t="shared" si="88"/>
        <v>#DIV/0!</v>
      </c>
      <c r="BX100" s="2" t="e">
        <f t="shared" si="89"/>
        <v>#DIV/0!</v>
      </c>
      <c r="CE100" s="8" t="e">
        <f t="shared" si="109"/>
        <v>#DIV/0!</v>
      </c>
      <c r="CF100" s="2" t="e">
        <f t="shared" si="110"/>
        <v>#DIV/0!</v>
      </c>
      <c r="CG100" s="2" t="e">
        <f t="shared" si="111"/>
        <v>#DIV/0!</v>
      </c>
      <c r="CH100" s="2" t="e">
        <f t="shared" si="90"/>
        <v>#DIV/0!</v>
      </c>
      <c r="CI100" s="2" t="e">
        <f t="shared" si="91"/>
        <v>#DIV/0!</v>
      </c>
      <c r="CJ100" s="2" t="e">
        <f t="shared" si="92"/>
        <v>#DIV/0!</v>
      </c>
      <c r="CQ100" s="8" t="e">
        <f t="shared" si="112"/>
        <v>#DIV/0!</v>
      </c>
      <c r="CR100" s="2" t="e">
        <f t="shared" si="113"/>
        <v>#DIV/0!</v>
      </c>
      <c r="CS100" s="2" t="e">
        <f t="shared" si="114"/>
        <v>#DIV/0!</v>
      </c>
      <c r="CT100" s="2" t="e">
        <f t="shared" si="93"/>
        <v>#DIV/0!</v>
      </c>
      <c r="CU100" s="2" t="e">
        <f t="shared" si="94"/>
        <v>#DIV/0!</v>
      </c>
      <c r="CV100" s="2" t="e">
        <f t="shared" si="95"/>
        <v>#DIV/0!</v>
      </c>
    </row>
    <row r="101" spans="1:100" x14ac:dyDescent="0.2">
      <c r="A101" s="2">
        <f t="shared" si="57"/>
        <v>4.4166666666666679</v>
      </c>
      <c r="B101" s="2">
        <f t="shared" si="58"/>
        <v>1.2074413323532861E-2</v>
      </c>
      <c r="C101" s="2">
        <f t="shared" si="96"/>
        <v>1.2074413323532861E-2</v>
      </c>
      <c r="D101" s="2">
        <f t="shared" si="96"/>
        <v>1.2074413323532861E-2</v>
      </c>
      <c r="E101" s="8">
        <f t="shared" si="60"/>
        <v>1.2074413323532861E-2</v>
      </c>
      <c r="F101" s="2">
        <f t="shared" si="61"/>
        <v>1.2074413323532861E-2</v>
      </c>
      <c r="G101" s="2">
        <f t="shared" si="62"/>
        <v>1.2074413323532861E-2</v>
      </c>
      <c r="K101" s="8" t="e">
        <f t="shared" si="63"/>
        <v>#DIV/0!</v>
      </c>
      <c r="L101" s="2" t="e">
        <f t="shared" si="64"/>
        <v>#DIV/0!</v>
      </c>
      <c r="M101" s="2" t="e">
        <f t="shared" si="65"/>
        <v>#DIV/0!</v>
      </c>
      <c r="Q101" s="8">
        <f t="shared" si="66"/>
        <v>6.8720898512798168E-2</v>
      </c>
      <c r="R101" s="2">
        <f t="shared" si="67"/>
        <v>6.8720898512798168E-2</v>
      </c>
      <c r="S101" s="2">
        <f t="shared" si="68"/>
        <v>6.8720898512798168E-2</v>
      </c>
      <c r="W101" s="8">
        <f t="shared" si="69"/>
        <v>0.18461538461538463</v>
      </c>
      <c r="X101" s="2">
        <f t="shared" si="70"/>
        <v>0.18461538461538463</v>
      </c>
      <c r="Y101" s="2">
        <f t="shared" si="71"/>
        <v>0.18461538461538463</v>
      </c>
      <c r="AC101" s="8">
        <f t="shared" si="72"/>
        <v>1.2074413323532873E-2</v>
      </c>
      <c r="AD101" s="2">
        <f t="shared" si="73"/>
        <v>1.2074413323532873E-2</v>
      </c>
      <c r="AE101" s="2">
        <f t="shared" si="74"/>
        <v>1.2074413323532873E-2</v>
      </c>
      <c r="AI101" s="8">
        <f t="shared" si="75"/>
        <v>6.8720898512798168E-2</v>
      </c>
      <c r="AJ101" s="2">
        <f t="shared" si="76"/>
        <v>6.8720898512798168E-2</v>
      </c>
      <c r="AK101" s="2">
        <f t="shared" si="77"/>
        <v>6.8720898512798168E-2</v>
      </c>
      <c r="AR101" s="8" t="e">
        <f t="shared" si="97"/>
        <v>#DIV/0!</v>
      </c>
      <c r="AS101" s="2" t="e">
        <f t="shared" si="98"/>
        <v>#DIV/0!</v>
      </c>
      <c r="AT101" s="2" t="e">
        <f t="shared" si="99"/>
        <v>#DIV/0!</v>
      </c>
      <c r="AU101" s="2" t="e">
        <f t="shared" si="78"/>
        <v>#DIV/0!</v>
      </c>
      <c r="AV101" s="2" t="e">
        <f t="shared" si="79"/>
        <v>#DIV/0!</v>
      </c>
      <c r="AW101" s="2" t="e">
        <f t="shared" si="80"/>
        <v>#DIV/0!</v>
      </c>
      <c r="BA101" s="8" t="e">
        <f t="shared" si="100"/>
        <v>#DIV/0!</v>
      </c>
      <c r="BB101" s="2" t="e">
        <f t="shared" si="101"/>
        <v>#DIV/0!</v>
      </c>
      <c r="BC101" s="2" t="e">
        <f t="shared" si="102"/>
        <v>#DIV/0!</v>
      </c>
      <c r="BD101" s="2" t="e">
        <f t="shared" si="81"/>
        <v>#DIV/0!</v>
      </c>
      <c r="BE101" s="2" t="e">
        <f t="shared" si="82"/>
        <v>#DIV/0!</v>
      </c>
      <c r="BF101" s="2" t="e">
        <f t="shared" si="83"/>
        <v>#DIV/0!</v>
      </c>
      <c r="BJ101" s="8" t="e">
        <f t="shared" si="103"/>
        <v>#DIV/0!</v>
      </c>
      <c r="BK101" s="2" t="e">
        <f t="shared" si="104"/>
        <v>#DIV/0!</v>
      </c>
      <c r="BL101" s="2" t="e">
        <f t="shared" si="105"/>
        <v>#DIV/0!</v>
      </c>
      <c r="BM101" s="2" t="e">
        <f t="shared" si="84"/>
        <v>#DIV/0!</v>
      </c>
      <c r="BN101" s="2" t="e">
        <f t="shared" si="85"/>
        <v>#DIV/0!</v>
      </c>
      <c r="BO101" s="2" t="e">
        <f t="shared" si="86"/>
        <v>#DIV/0!</v>
      </c>
      <c r="BS101" s="8" t="e">
        <f t="shared" si="106"/>
        <v>#DIV/0!</v>
      </c>
      <c r="BT101" s="2" t="e">
        <f t="shared" si="107"/>
        <v>#DIV/0!</v>
      </c>
      <c r="BU101" s="2" t="e">
        <f t="shared" si="108"/>
        <v>#DIV/0!</v>
      </c>
      <c r="BV101" s="2" t="e">
        <f t="shared" si="87"/>
        <v>#DIV/0!</v>
      </c>
      <c r="BW101" s="2" t="e">
        <f t="shared" si="88"/>
        <v>#DIV/0!</v>
      </c>
      <c r="BX101" s="2" t="e">
        <f t="shared" si="89"/>
        <v>#DIV/0!</v>
      </c>
      <c r="CE101" s="8" t="e">
        <f t="shared" si="109"/>
        <v>#DIV/0!</v>
      </c>
      <c r="CF101" s="2" t="e">
        <f t="shared" si="110"/>
        <v>#DIV/0!</v>
      </c>
      <c r="CG101" s="2" t="e">
        <f t="shared" si="111"/>
        <v>#DIV/0!</v>
      </c>
      <c r="CH101" s="2" t="e">
        <f t="shared" si="90"/>
        <v>#DIV/0!</v>
      </c>
      <c r="CI101" s="2" t="e">
        <f t="shared" si="91"/>
        <v>#DIV/0!</v>
      </c>
      <c r="CJ101" s="2" t="e">
        <f t="shared" si="92"/>
        <v>#DIV/0!</v>
      </c>
      <c r="CQ101" s="8" t="e">
        <f t="shared" si="112"/>
        <v>#DIV/0!</v>
      </c>
      <c r="CR101" s="2" t="e">
        <f t="shared" si="113"/>
        <v>#DIV/0!</v>
      </c>
      <c r="CS101" s="2" t="e">
        <f t="shared" si="114"/>
        <v>#DIV/0!</v>
      </c>
      <c r="CT101" s="2" t="e">
        <f t="shared" si="93"/>
        <v>#DIV/0!</v>
      </c>
      <c r="CU101" s="2" t="e">
        <f t="shared" si="94"/>
        <v>#DIV/0!</v>
      </c>
      <c r="CV101" s="2" t="e">
        <f t="shared" si="95"/>
        <v>#DIV/0!</v>
      </c>
    </row>
    <row r="102" spans="1:100" x14ac:dyDescent="0.2">
      <c r="A102" s="2">
        <f t="shared" si="57"/>
        <v>4.5000000000000009</v>
      </c>
      <c r="B102" s="2">
        <f t="shared" si="58"/>
        <v>1.1108996538242297E-2</v>
      </c>
      <c r="C102" s="2">
        <f t="shared" si="96"/>
        <v>1.1108996538242297E-2</v>
      </c>
      <c r="D102" s="2">
        <f t="shared" si="96"/>
        <v>1.1108996538242297E-2</v>
      </c>
      <c r="E102" s="8">
        <f t="shared" si="60"/>
        <v>1.1108996538242297E-2</v>
      </c>
      <c r="F102" s="2">
        <f t="shared" si="61"/>
        <v>1.1108996538242297E-2</v>
      </c>
      <c r="G102" s="2">
        <f t="shared" si="62"/>
        <v>1.1108996538242297E-2</v>
      </c>
      <c r="K102" s="8" t="e">
        <f t="shared" si="63"/>
        <v>#DIV/0!</v>
      </c>
      <c r="L102" s="2" t="e">
        <f t="shared" si="64"/>
        <v>#DIV/0!</v>
      </c>
      <c r="M102" s="2" t="e">
        <f t="shared" si="65"/>
        <v>#DIV/0!</v>
      </c>
      <c r="Q102" s="8">
        <f t="shared" si="66"/>
        <v>6.6280719749549299E-2</v>
      </c>
      <c r="R102" s="2">
        <f t="shared" si="67"/>
        <v>6.6280719749549299E-2</v>
      </c>
      <c r="S102" s="2">
        <f t="shared" si="68"/>
        <v>6.6280719749549299E-2</v>
      </c>
      <c r="W102" s="8">
        <f t="shared" si="69"/>
        <v>0.18181818181818177</v>
      </c>
      <c r="X102" s="2">
        <f t="shared" si="70"/>
        <v>0.18181818181818177</v>
      </c>
      <c r="Y102" s="2">
        <f t="shared" si="71"/>
        <v>0.18181818181818177</v>
      </c>
      <c r="AC102" s="8">
        <f t="shared" si="72"/>
        <v>1.1108996538242266E-2</v>
      </c>
      <c r="AD102" s="2">
        <f t="shared" si="73"/>
        <v>1.1108996538242266E-2</v>
      </c>
      <c r="AE102" s="2">
        <f t="shared" si="74"/>
        <v>1.1108996538242266E-2</v>
      </c>
      <c r="AI102" s="8">
        <f t="shared" si="75"/>
        <v>6.6280719749549299E-2</v>
      </c>
      <c r="AJ102" s="2">
        <f t="shared" si="76"/>
        <v>6.6280719749549299E-2</v>
      </c>
      <c r="AK102" s="2">
        <f t="shared" si="77"/>
        <v>6.6280719749549299E-2</v>
      </c>
      <c r="AR102" s="8" t="e">
        <f t="shared" si="97"/>
        <v>#DIV/0!</v>
      </c>
      <c r="AS102" s="2" t="e">
        <f t="shared" si="98"/>
        <v>#DIV/0!</v>
      </c>
      <c r="AT102" s="2" t="e">
        <f t="shared" si="99"/>
        <v>#DIV/0!</v>
      </c>
      <c r="AU102" s="2" t="e">
        <f t="shared" si="78"/>
        <v>#DIV/0!</v>
      </c>
      <c r="AV102" s="2" t="e">
        <f t="shared" si="79"/>
        <v>#DIV/0!</v>
      </c>
      <c r="AW102" s="2" t="e">
        <f t="shared" si="80"/>
        <v>#DIV/0!</v>
      </c>
      <c r="BA102" s="8" t="e">
        <f t="shared" si="100"/>
        <v>#DIV/0!</v>
      </c>
      <c r="BB102" s="2" t="e">
        <f t="shared" si="101"/>
        <v>#DIV/0!</v>
      </c>
      <c r="BC102" s="2" t="e">
        <f t="shared" si="102"/>
        <v>#DIV/0!</v>
      </c>
      <c r="BD102" s="2" t="e">
        <f t="shared" si="81"/>
        <v>#DIV/0!</v>
      </c>
      <c r="BE102" s="2" t="e">
        <f t="shared" si="82"/>
        <v>#DIV/0!</v>
      </c>
      <c r="BF102" s="2" t="e">
        <f t="shared" si="83"/>
        <v>#DIV/0!</v>
      </c>
      <c r="BJ102" s="8" t="e">
        <f t="shared" si="103"/>
        <v>#DIV/0!</v>
      </c>
      <c r="BK102" s="2" t="e">
        <f t="shared" si="104"/>
        <v>#DIV/0!</v>
      </c>
      <c r="BL102" s="2" t="e">
        <f t="shared" si="105"/>
        <v>#DIV/0!</v>
      </c>
      <c r="BM102" s="2" t="e">
        <f t="shared" si="84"/>
        <v>#DIV/0!</v>
      </c>
      <c r="BN102" s="2" t="e">
        <f t="shared" si="85"/>
        <v>#DIV/0!</v>
      </c>
      <c r="BO102" s="2" t="e">
        <f t="shared" si="86"/>
        <v>#DIV/0!</v>
      </c>
      <c r="BS102" s="8" t="e">
        <f t="shared" si="106"/>
        <v>#DIV/0!</v>
      </c>
      <c r="BT102" s="2" t="e">
        <f t="shared" si="107"/>
        <v>#DIV/0!</v>
      </c>
      <c r="BU102" s="2" t="e">
        <f t="shared" si="108"/>
        <v>#DIV/0!</v>
      </c>
      <c r="BV102" s="2" t="e">
        <f t="shared" si="87"/>
        <v>#DIV/0!</v>
      </c>
      <c r="BW102" s="2" t="e">
        <f t="shared" si="88"/>
        <v>#DIV/0!</v>
      </c>
      <c r="BX102" s="2" t="e">
        <f t="shared" si="89"/>
        <v>#DIV/0!</v>
      </c>
      <c r="CE102" s="8" t="e">
        <f t="shared" si="109"/>
        <v>#DIV/0!</v>
      </c>
      <c r="CF102" s="2" t="e">
        <f t="shared" si="110"/>
        <v>#DIV/0!</v>
      </c>
      <c r="CG102" s="2" t="e">
        <f t="shared" si="111"/>
        <v>#DIV/0!</v>
      </c>
      <c r="CH102" s="2" t="e">
        <f t="shared" si="90"/>
        <v>#DIV/0!</v>
      </c>
      <c r="CI102" s="2" t="e">
        <f t="shared" si="91"/>
        <v>#DIV/0!</v>
      </c>
      <c r="CJ102" s="2" t="e">
        <f t="shared" si="92"/>
        <v>#DIV/0!</v>
      </c>
      <c r="CQ102" s="8" t="e">
        <f t="shared" si="112"/>
        <v>#DIV/0!</v>
      </c>
      <c r="CR102" s="2" t="e">
        <f t="shared" si="113"/>
        <v>#DIV/0!</v>
      </c>
      <c r="CS102" s="2" t="e">
        <f t="shared" si="114"/>
        <v>#DIV/0!</v>
      </c>
      <c r="CT102" s="2" t="e">
        <f t="shared" si="93"/>
        <v>#DIV/0!</v>
      </c>
      <c r="CU102" s="2" t="e">
        <f t="shared" si="94"/>
        <v>#DIV/0!</v>
      </c>
      <c r="CV102" s="2" t="e">
        <f t="shared" si="95"/>
        <v>#DIV/0!</v>
      </c>
    </row>
    <row r="103" spans="1:100" x14ac:dyDescent="0.2">
      <c r="A103" s="2">
        <f t="shared" si="57"/>
        <v>4.5833333333333339</v>
      </c>
      <c r="B103" s="2">
        <f t="shared" si="58"/>
        <v>1.0220770217146315E-2</v>
      </c>
      <c r="C103" s="2">
        <f t="shared" si="96"/>
        <v>1.0220770217146315E-2</v>
      </c>
      <c r="D103" s="2">
        <f t="shared" si="96"/>
        <v>1.0220770217146315E-2</v>
      </c>
      <c r="E103" s="8">
        <f t="shared" si="60"/>
        <v>1.0220770217146315E-2</v>
      </c>
      <c r="F103" s="2">
        <f t="shared" si="61"/>
        <v>1.0220770217146315E-2</v>
      </c>
      <c r="G103" s="2">
        <f t="shared" si="62"/>
        <v>1.0220770217146315E-2</v>
      </c>
      <c r="K103" s="8" t="e">
        <f t="shared" si="63"/>
        <v>#DIV/0!</v>
      </c>
      <c r="L103" s="2" t="e">
        <f t="shared" si="64"/>
        <v>#DIV/0!</v>
      </c>
      <c r="M103" s="2" t="e">
        <f t="shared" si="65"/>
        <v>#DIV/0!</v>
      </c>
      <c r="Q103" s="8">
        <f t="shared" si="66"/>
        <v>6.3951120072597178E-2</v>
      </c>
      <c r="R103" s="2">
        <f t="shared" si="67"/>
        <v>6.3951120072597178E-2</v>
      </c>
      <c r="S103" s="2">
        <f t="shared" si="68"/>
        <v>6.3951120072597178E-2</v>
      </c>
      <c r="W103" s="8">
        <f t="shared" si="69"/>
        <v>0.17910447761194037</v>
      </c>
      <c r="X103" s="2">
        <f t="shared" si="70"/>
        <v>0.17910447761194037</v>
      </c>
      <c r="Y103" s="2">
        <f t="shared" si="71"/>
        <v>0.17910447761194037</v>
      </c>
      <c r="AC103" s="8">
        <f t="shared" si="72"/>
        <v>1.0220770217146291E-2</v>
      </c>
      <c r="AD103" s="2">
        <f t="shared" si="73"/>
        <v>1.0220770217146291E-2</v>
      </c>
      <c r="AE103" s="2">
        <f t="shared" si="74"/>
        <v>1.0220770217146291E-2</v>
      </c>
      <c r="AI103" s="8">
        <f t="shared" si="75"/>
        <v>6.3951120072597178E-2</v>
      </c>
      <c r="AJ103" s="2">
        <f t="shared" si="76"/>
        <v>6.3951120072597178E-2</v>
      </c>
      <c r="AK103" s="2">
        <f t="shared" si="77"/>
        <v>6.3951120072597178E-2</v>
      </c>
      <c r="AR103" s="8" t="e">
        <f t="shared" si="97"/>
        <v>#DIV/0!</v>
      </c>
      <c r="AS103" s="2" t="e">
        <f t="shared" si="98"/>
        <v>#DIV/0!</v>
      </c>
      <c r="AT103" s="2" t="e">
        <f t="shared" si="99"/>
        <v>#DIV/0!</v>
      </c>
      <c r="AU103" s="2" t="e">
        <f t="shared" si="78"/>
        <v>#DIV/0!</v>
      </c>
      <c r="AV103" s="2" t="e">
        <f t="shared" si="79"/>
        <v>#DIV/0!</v>
      </c>
      <c r="AW103" s="2" t="e">
        <f t="shared" si="80"/>
        <v>#DIV/0!</v>
      </c>
      <c r="BA103" s="8" t="e">
        <f t="shared" si="100"/>
        <v>#DIV/0!</v>
      </c>
      <c r="BB103" s="2" t="e">
        <f t="shared" si="101"/>
        <v>#DIV/0!</v>
      </c>
      <c r="BC103" s="2" t="e">
        <f t="shared" si="102"/>
        <v>#DIV/0!</v>
      </c>
      <c r="BD103" s="2" t="e">
        <f t="shared" si="81"/>
        <v>#DIV/0!</v>
      </c>
      <c r="BE103" s="2" t="e">
        <f t="shared" si="82"/>
        <v>#DIV/0!</v>
      </c>
      <c r="BF103" s="2" t="e">
        <f t="shared" si="83"/>
        <v>#DIV/0!</v>
      </c>
      <c r="BJ103" s="8" t="e">
        <f t="shared" si="103"/>
        <v>#DIV/0!</v>
      </c>
      <c r="BK103" s="2" t="e">
        <f t="shared" si="104"/>
        <v>#DIV/0!</v>
      </c>
      <c r="BL103" s="2" t="e">
        <f t="shared" si="105"/>
        <v>#DIV/0!</v>
      </c>
      <c r="BM103" s="2" t="e">
        <f t="shared" si="84"/>
        <v>#DIV/0!</v>
      </c>
      <c r="BN103" s="2" t="e">
        <f t="shared" si="85"/>
        <v>#DIV/0!</v>
      </c>
      <c r="BO103" s="2" t="e">
        <f t="shared" si="86"/>
        <v>#DIV/0!</v>
      </c>
      <c r="BS103" s="8" t="e">
        <f t="shared" si="106"/>
        <v>#DIV/0!</v>
      </c>
      <c r="BT103" s="2" t="e">
        <f t="shared" si="107"/>
        <v>#DIV/0!</v>
      </c>
      <c r="BU103" s="2" t="e">
        <f t="shared" si="108"/>
        <v>#DIV/0!</v>
      </c>
      <c r="BV103" s="2" t="e">
        <f t="shared" si="87"/>
        <v>#DIV/0!</v>
      </c>
      <c r="BW103" s="2" t="e">
        <f t="shared" si="88"/>
        <v>#DIV/0!</v>
      </c>
      <c r="BX103" s="2" t="e">
        <f t="shared" si="89"/>
        <v>#DIV/0!</v>
      </c>
      <c r="CE103" s="8" t="e">
        <f t="shared" si="109"/>
        <v>#DIV/0!</v>
      </c>
      <c r="CF103" s="2" t="e">
        <f t="shared" si="110"/>
        <v>#DIV/0!</v>
      </c>
      <c r="CG103" s="2" t="e">
        <f t="shared" si="111"/>
        <v>#DIV/0!</v>
      </c>
      <c r="CH103" s="2" t="e">
        <f t="shared" si="90"/>
        <v>#DIV/0!</v>
      </c>
      <c r="CI103" s="2" t="e">
        <f t="shared" si="91"/>
        <v>#DIV/0!</v>
      </c>
      <c r="CJ103" s="2" t="e">
        <f t="shared" si="92"/>
        <v>#DIV/0!</v>
      </c>
      <c r="CQ103" s="8" t="e">
        <f t="shared" si="112"/>
        <v>#DIV/0!</v>
      </c>
      <c r="CR103" s="2" t="e">
        <f t="shared" si="113"/>
        <v>#DIV/0!</v>
      </c>
      <c r="CS103" s="2" t="e">
        <f t="shared" si="114"/>
        <v>#DIV/0!</v>
      </c>
      <c r="CT103" s="2" t="e">
        <f t="shared" si="93"/>
        <v>#DIV/0!</v>
      </c>
      <c r="CU103" s="2" t="e">
        <f t="shared" si="94"/>
        <v>#DIV/0!</v>
      </c>
      <c r="CV103" s="2" t="e">
        <f t="shared" si="95"/>
        <v>#DIV/0!</v>
      </c>
    </row>
    <row r="104" spans="1:100" x14ac:dyDescent="0.2">
      <c r="A104" s="2">
        <f t="shared" si="57"/>
        <v>4.666666666666667</v>
      </c>
      <c r="B104" s="2">
        <f t="shared" si="58"/>
        <v>9.4035625514952061E-3</v>
      </c>
      <c r="C104" s="2">
        <f t="shared" si="96"/>
        <v>9.4035625514952061E-3</v>
      </c>
      <c r="D104" s="2">
        <f t="shared" si="96"/>
        <v>9.4035625514952061E-3</v>
      </c>
      <c r="E104" s="8">
        <f t="shared" si="60"/>
        <v>9.4035625514952061E-3</v>
      </c>
      <c r="F104" s="2">
        <f t="shared" si="61"/>
        <v>9.4035625514952061E-3</v>
      </c>
      <c r="G104" s="2">
        <f t="shared" si="62"/>
        <v>9.4035625514952061E-3</v>
      </c>
      <c r="K104" s="8" t="e">
        <f t="shared" si="63"/>
        <v>#DIV/0!</v>
      </c>
      <c r="L104" s="2" t="e">
        <f t="shared" si="64"/>
        <v>#DIV/0!</v>
      </c>
      <c r="M104" s="2" t="e">
        <f t="shared" si="65"/>
        <v>#DIV/0!</v>
      </c>
      <c r="Q104" s="8">
        <f t="shared" si="66"/>
        <v>6.1725954802054339E-2</v>
      </c>
      <c r="R104" s="2">
        <f t="shared" si="67"/>
        <v>6.1725954802054339E-2</v>
      </c>
      <c r="S104" s="2">
        <f t="shared" si="68"/>
        <v>6.1725954802054339E-2</v>
      </c>
      <c r="W104" s="8">
        <f t="shared" si="69"/>
        <v>0.17647058823529405</v>
      </c>
      <c r="X104" s="2">
        <f t="shared" si="70"/>
        <v>0.17647058823529405</v>
      </c>
      <c r="Y104" s="2">
        <f t="shared" si="71"/>
        <v>0.17647058823529405</v>
      </c>
      <c r="AC104" s="8">
        <f t="shared" si="72"/>
        <v>9.4035625514952148E-3</v>
      </c>
      <c r="AD104" s="2">
        <f t="shared" si="73"/>
        <v>9.4035625514952148E-3</v>
      </c>
      <c r="AE104" s="2">
        <f t="shared" si="74"/>
        <v>9.4035625514952148E-3</v>
      </c>
      <c r="AI104" s="8">
        <f t="shared" si="75"/>
        <v>6.1725954802054339E-2</v>
      </c>
      <c r="AJ104" s="2">
        <f t="shared" si="76"/>
        <v>6.1725954802054339E-2</v>
      </c>
      <c r="AK104" s="2">
        <f t="shared" si="77"/>
        <v>6.1725954802054339E-2</v>
      </c>
      <c r="AR104" s="8" t="e">
        <f t="shared" si="97"/>
        <v>#DIV/0!</v>
      </c>
      <c r="AS104" s="2" t="e">
        <f t="shared" si="98"/>
        <v>#DIV/0!</v>
      </c>
      <c r="AT104" s="2" t="e">
        <f t="shared" si="99"/>
        <v>#DIV/0!</v>
      </c>
      <c r="AU104" s="2" t="e">
        <f t="shared" si="78"/>
        <v>#DIV/0!</v>
      </c>
      <c r="AV104" s="2" t="e">
        <f t="shared" si="79"/>
        <v>#DIV/0!</v>
      </c>
      <c r="AW104" s="2" t="e">
        <f t="shared" si="80"/>
        <v>#DIV/0!</v>
      </c>
      <c r="BA104" s="8" t="e">
        <f t="shared" si="100"/>
        <v>#DIV/0!</v>
      </c>
      <c r="BB104" s="2" t="e">
        <f t="shared" si="101"/>
        <v>#DIV/0!</v>
      </c>
      <c r="BC104" s="2" t="e">
        <f t="shared" si="102"/>
        <v>#DIV/0!</v>
      </c>
      <c r="BD104" s="2" t="e">
        <f t="shared" si="81"/>
        <v>#DIV/0!</v>
      </c>
      <c r="BE104" s="2" t="e">
        <f t="shared" si="82"/>
        <v>#DIV/0!</v>
      </c>
      <c r="BF104" s="2" t="e">
        <f t="shared" si="83"/>
        <v>#DIV/0!</v>
      </c>
      <c r="BJ104" s="8" t="e">
        <f t="shared" si="103"/>
        <v>#DIV/0!</v>
      </c>
      <c r="BK104" s="2" t="e">
        <f t="shared" si="104"/>
        <v>#DIV/0!</v>
      </c>
      <c r="BL104" s="2" t="e">
        <f t="shared" si="105"/>
        <v>#DIV/0!</v>
      </c>
      <c r="BM104" s="2" t="e">
        <f t="shared" si="84"/>
        <v>#DIV/0!</v>
      </c>
      <c r="BN104" s="2" t="e">
        <f t="shared" si="85"/>
        <v>#DIV/0!</v>
      </c>
      <c r="BO104" s="2" t="e">
        <f t="shared" si="86"/>
        <v>#DIV/0!</v>
      </c>
      <c r="BS104" s="8" t="e">
        <f t="shared" si="106"/>
        <v>#DIV/0!</v>
      </c>
      <c r="BT104" s="2" t="e">
        <f t="shared" si="107"/>
        <v>#DIV/0!</v>
      </c>
      <c r="BU104" s="2" t="e">
        <f t="shared" si="108"/>
        <v>#DIV/0!</v>
      </c>
      <c r="BV104" s="2" t="e">
        <f t="shared" si="87"/>
        <v>#DIV/0!</v>
      </c>
      <c r="BW104" s="2" t="e">
        <f t="shared" si="88"/>
        <v>#DIV/0!</v>
      </c>
      <c r="BX104" s="2" t="e">
        <f t="shared" si="89"/>
        <v>#DIV/0!</v>
      </c>
      <c r="CE104" s="8" t="e">
        <f t="shared" si="109"/>
        <v>#DIV/0!</v>
      </c>
      <c r="CF104" s="2" t="e">
        <f t="shared" si="110"/>
        <v>#DIV/0!</v>
      </c>
      <c r="CG104" s="2" t="e">
        <f t="shared" si="111"/>
        <v>#DIV/0!</v>
      </c>
      <c r="CH104" s="2" t="e">
        <f t="shared" si="90"/>
        <v>#DIV/0!</v>
      </c>
      <c r="CI104" s="2" t="e">
        <f t="shared" si="91"/>
        <v>#DIV/0!</v>
      </c>
      <c r="CJ104" s="2" t="e">
        <f t="shared" si="92"/>
        <v>#DIV/0!</v>
      </c>
      <c r="CQ104" s="8" t="e">
        <f t="shared" si="112"/>
        <v>#DIV/0!</v>
      </c>
      <c r="CR104" s="2" t="e">
        <f t="shared" si="113"/>
        <v>#DIV/0!</v>
      </c>
      <c r="CS104" s="2" t="e">
        <f t="shared" si="114"/>
        <v>#DIV/0!</v>
      </c>
      <c r="CT104" s="2" t="e">
        <f t="shared" si="93"/>
        <v>#DIV/0!</v>
      </c>
      <c r="CU104" s="2" t="e">
        <f t="shared" si="94"/>
        <v>#DIV/0!</v>
      </c>
      <c r="CV104" s="2" t="e">
        <f t="shared" si="95"/>
        <v>#DIV/0!</v>
      </c>
    </row>
    <row r="105" spans="1:100" x14ac:dyDescent="0.2">
      <c r="A105" s="2">
        <f t="shared" si="57"/>
        <v>4.75</v>
      </c>
      <c r="B105" s="2">
        <f t="shared" si="58"/>
        <v>8.6516952031206341E-3</v>
      </c>
      <c r="C105" s="2">
        <f t="shared" si="96"/>
        <v>8.6516952031206341E-3</v>
      </c>
      <c r="D105" s="2">
        <f t="shared" si="96"/>
        <v>8.6516952031206341E-3</v>
      </c>
      <c r="E105" s="8">
        <f t="shared" si="60"/>
        <v>8.6516952031206341E-3</v>
      </c>
      <c r="F105" s="2">
        <f t="shared" si="61"/>
        <v>8.6516952031206341E-3</v>
      </c>
      <c r="G105" s="2">
        <f t="shared" si="62"/>
        <v>8.6516952031206341E-3</v>
      </c>
      <c r="K105" s="8" t="e">
        <f t="shared" si="63"/>
        <v>#DIV/0!</v>
      </c>
      <c r="L105" s="2" t="e">
        <f t="shared" si="64"/>
        <v>#DIV/0!</v>
      </c>
      <c r="M105" s="2" t="e">
        <f t="shared" si="65"/>
        <v>#DIV/0!</v>
      </c>
      <c r="Q105" s="8">
        <f t="shared" si="66"/>
        <v>5.9599484952713833E-2</v>
      </c>
      <c r="R105" s="2">
        <f t="shared" si="67"/>
        <v>5.9599484952713833E-2</v>
      </c>
      <c r="S105" s="2">
        <f t="shared" si="68"/>
        <v>5.9599484952713833E-2</v>
      </c>
      <c r="W105" s="8">
        <f t="shared" si="69"/>
        <v>0.17391304347826086</v>
      </c>
      <c r="X105" s="2">
        <f t="shared" si="70"/>
        <v>0.17391304347826086</v>
      </c>
      <c r="Y105" s="2">
        <f t="shared" si="71"/>
        <v>0.17391304347826086</v>
      </c>
      <c r="AC105" s="8">
        <f t="shared" si="72"/>
        <v>8.6516952031205907E-3</v>
      </c>
      <c r="AD105" s="2">
        <f t="shared" si="73"/>
        <v>8.6516952031205907E-3</v>
      </c>
      <c r="AE105" s="2">
        <f t="shared" si="74"/>
        <v>8.6516952031205907E-3</v>
      </c>
      <c r="AI105" s="8">
        <f t="shared" si="75"/>
        <v>5.9599484952713833E-2</v>
      </c>
      <c r="AJ105" s="2">
        <f t="shared" si="76"/>
        <v>5.9599484952713833E-2</v>
      </c>
      <c r="AK105" s="2">
        <f t="shared" si="77"/>
        <v>5.9599484952713833E-2</v>
      </c>
      <c r="AR105" s="8" t="e">
        <f t="shared" si="97"/>
        <v>#DIV/0!</v>
      </c>
      <c r="AS105" s="2" t="e">
        <f t="shared" si="98"/>
        <v>#DIV/0!</v>
      </c>
      <c r="AT105" s="2" t="e">
        <f t="shared" si="99"/>
        <v>#DIV/0!</v>
      </c>
      <c r="AU105" s="2" t="e">
        <f t="shared" si="78"/>
        <v>#DIV/0!</v>
      </c>
      <c r="AV105" s="2" t="e">
        <f t="shared" si="79"/>
        <v>#DIV/0!</v>
      </c>
      <c r="AW105" s="2" t="e">
        <f t="shared" si="80"/>
        <v>#DIV/0!</v>
      </c>
      <c r="BA105" s="8" t="e">
        <f t="shared" si="100"/>
        <v>#DIV/0!</v>
      </c>
      <c r="BB105" s="2" t="e">
        <f t="shared" si="101"/>
        <v>#DIV/0!</v>
      </c>
      <c r="BC105" s="2" t="e">
        <f t="shared" si="102"/>
        <v>#DIV/0!</v>
      </c>
      <c r="BD105" s="2" t="e">
        <f t="shared" si="81"/>
        <v>#DIV/0!</v>
      </c>
      <c r="BE105" s="2" t="e">
        <f t="shared" si="82"/>
        <v>#DIV/0!</v>
      </c>
      <c r="BF105" s="2" t="e">
        <f t="shared" si="83"/>
        <v>#DIV/0!</v>
      </c>
      <c r="BJ105" s="8" t="e">
        <f t="shared" si="103"/>
        <v>#DIV/0!</v>
      </c>
      <c r="BK105" s="2" t="e">
        <f t="shared" si="104"/>
        <v>#DIV/0!</v>
      </c>
      <c r="BL105" s="2" t="e">
        <f t="shared" si="105"/>
        <v>#DIV/0!</v>
      </c>
      <c r="BM105" s="2" t="e">
        <f t="shared" si="84"/>
        <v>#DIV/0!</v>
      </c>
      <c r="BN105" s="2" t="e">
        <f t="shared" si="85"/>
        <v>#DIV/0!</v>
      </c>
      <c r="BO105" s="2" t="e">
        <f t="shared" si="86"/>
        <v>#DIV/0!</v>
      </c>
      <c r="BS105" s="8" t="e">
        <f t="shared" si="106"/>
        <v>#DIV/0!</v>
      </c>
      <c r="BT105" s="2" t="e">
        <f t="shared" si="107"/>
        <v>#DIV/0!</v>
      </c>
      <c r="BU105" s="2" t="e">
        <f t="shared" si="108"/>
        <v>#DIV/0!</v>
      </c>
      <c r="BV105" s="2" t="e">
        <f t="shared" si="87"/>
        <v>#DIV/0!</v>
      </c>
      <c r="BW105" s="2" t="e">
        <f t="shared" si="88"/>
        <v>#DIV/0!</v>
      </c>
      <c r="BX105" s="2" t="e">
        <f t="shared" si="89"/>
        <v>#DIV/0!</v>
      </c>
      <c r="CE105" s="8" t="e">
        <f t="shared" si="109"/>
        <v>#DIV/0!</v>
      </c>
      <c r="CF105" s="2" t="e">
        <f t="shared" si="110"/>
        <v>#DIV/0!</v>
      </c>
      <c r="CG105" s="2" t="e">
        <f t="shared" si="111"/>
        <v>#DIV/0!</v>
      </c>
      <c r="CH105" s="2" t="e">
        <f t="shared" si="90"/>
        <v>#DIV/0!</v>
      </c>
      <c r="CI105" s="2" t="e">
        <f t="shared" si="91"/>
        <v>#DIV/0!</v>
      </c>
      <c r="CJ105" s="2" t="e">
        <f t="shared" si="92"/>
        <v>#DIV/0!</v>
      </c>
      <c r="CQ105" s="8" t="e">
        <f t="shared" si="112"/>
        <v>#DIV/0!</v>
      </c>
      <c r="CR105" s="2" t="e">
        <f t="shared" si="113"/>
        <v>#DIV/0!</v>
      </c>
      <c r="CS105" s="2" t="e">
        <f t="shared" si="114"/>
        <v>#DIV/0!</v>
      </c>
      <c r="CT105" s="2" t="e">
        <f t="shared" si="93"/>
        <v>#DIV/0!</v>
      </c>
      <c r="CU105" s="2" t="e">
        <f t="shared" si="94"/>
        <v>#DIV/0!</v>
      </c>
      <c r="CV105" s="2" t="e">
        <f t="shared" si="95"/>
        <v>#DIV/0!</v>
      </c>
    </row>
    <row r="106" spans="1:100" x14ac:dyDescent="0.2">
      <c r="A106" s="2">
        <f t="shared" si="57"/>
        <v>4.833333333333333</v>
      </c>
      <c r="B106" s="2">
        <f t="shared" si="58"/>
        <v>7.9599438487064494E-3</v>
      </c>
      <c r="C106" s="2">
        <f t="shared" si="96"/>
        <v>7.9599438487064494E-3</v>
      </c>
      <c r="D106" s="2">
        <f t="shared" si="96"/>
        <v>7.9599438487064494E-3</v>
      </c>
      <c r="E106" s="8">
        <f t="shared" si="60"/>
        <v>7.9599438487064494E-3</v>
      </c>
      <c r="F106" s="2">
        <f t="shared" si="61"/>
        <v>7.9599438487064494E-3</v>
      </c>
      <c r="G106" s="2">
        <f t="shared" si="62"/>
        <v>7.9599438487064494E-3</v>
      </c>
      <c r="K106" s="8" t="e">
        <f t="shared" si="63"/>
        <v>#DIV/0!</v>
      </c>
      <c r="L106" s="2" t="e">
        <f t="shared" si="64"/>
        <v>#DIV/0!</v>
      </c>
      <c r="M106" s="2" t="e">
        <f t="shared" si="65"/>
        <v>#DIV/0!</v>
      </c>
      <c r="Q106" s="8">
        <f t="shared" si="66"/>
        <v>5.7566346203538954E-2</v>
      </c>
      <c r="R106" s="2">
        <f t="shared" si="67"/>
        <v>5.7566346203538954E-2</v>
      </c>
      <c r="S106" s="2">
        <f t="shared" si="68"/>
        <v>5.7566346203538954E-2</v>
      </c>
      <c r="W106" s="8">
        <f t="shared" si="69"/>
        <v>0.17142857142857137</v>
      </c>
      <c r="X106" s="2">
        <f t="shared" si="70"/>
        <v>0.17142857142857137</v>
      </c>
      <c r="Y106" s="2">
        <f t="shared" si="71"/>
        <v>0.17142857142857137</v>
      </c>
      <c r="AC106" s="8">
        <f t="shared" si="72"/>
        <v>7.9599438487064633E-3</v>
      </c>
      <c r="AD106" s="2">
        <f t="shared" si="73"/>
        <v>7.9599438487064633E-3</v>
      </c>
      <c r="AE106" s="2">
        <f t="shared" si="74"/>
        <v>7.9599438487064633E-3</v>
      </c>
      <c r="AI106" s="8">
        <f t="shared" si="75"/>
        <v>5.7566346203538954E-2</v>
      </c>
      <c r="AJ106" s="2">
        <f t="shared" si="76"/>
        <v>5.7566346203538954E-2</v>
      </c>
      <c r="AK106" s="2">
        <f t="shared" si="77"/>
        <v>5.7566346203538954E-2</v>
      </c>
      <c r="AR106" s="8" t="e">
        <f t="shared" si="97"/>
        <v>#DIV/0!</v>
      </c>
      <c r="AS106" s="2" t="e">
        <f t="shared" si="98"/>
        <v>#DIV/0!</v>
      </c>
      <c r="AT106" s="2" t="e">
        <f t="shared" si="99"/>
        <v>#DIV/0!</v>
      </c>
      <c r="AU106" s="2" t="e">
        <f t="shared" si="78"/>
        <v>#DIV/0!</v>
      </c>
      <c r="AV106" s="2" t="e">
        <f t="shared" si="79"/>
        <v>#DIV/0!</v>
      </c>
      <c r="AW106" s="2" t="e">
        <f t="shared" si="80"/>
        <v>#DIV/0!</v>
      </c>
      <c r="BA106" s="8" t="e">
        <f t="shared" si="100"/>
        <v>#DIV/0!</v>
      </c>
      <c r="BB106" s="2" t="e">
        <f t="shared" si="101"/>
        <v>#DIV/0!</v>
      </c>
      <c r="BC106" s="2" t="e">
        <f t="shared" si="102"/>
        <v>#DIV/0!</v>
      </c>
      <c r="BD106" s="2" t="e">
        <f t="shared" si="81"/>
        <v>#DIV/0!</v>
      </c>
      <c r="BE106" s="2" t="e">
        <f t="shared" si="82"/>
        <v>#DIV/0!</v>
      </c>
      <c r="BF106" s="2" t="e">
        <f t="shared" si="83"/>
        <v>#DIV/0!</v>
      </c>
      <c r="BJ106" s="8" t="e">
        <f t="shared" si="103"/>
        <v>#DIV/0!</v>
      </c>
      <c r="BK106" s="2" t="e">
        <f t="shared" si="104"/>
        <v>#DIV/0!</v>
      </c>
      <c r="BL106" s="2" t="e">
        <f t="shared" si="105"/>
        <v>#DIV/0!</v>
      </c>
      <c r="BM106" s="2" t="e">
        <f t="shared" si="84"/>
        <v>#DIV/0!</v>
      </c>
      <c r="BN106" s="2" t="e">
        <f t="shared" si="85"/>
        <v>#DIV/0!</v>
      </c>
      <c r="BO106" s="2" t="e">
        <f t="shared" si="86"/>
        <v>#DIV/0!</v>
      </c>
      <c r="BS106" s="8" t="e">
        <f t="shared" si="106"/>
        <v>#DIV/0!</v>
      </c>
      <c r="BT106" s="2" t="e">
        <f t="shared" si="107"/>
        <v>#DIV/0!</v>
      </c>
      <c r="BU106" s="2" t="e">
        <f t="shared" si="108"/>
        <v>#DIV/0!</v>
      </c>
      <c r="BV106" s="2" t="e">
        <f t="shared" si="87"/>
        <v>#DIV/0!</v>
      </c>
      <c r="BW106" s="2" t="e">
        <f t="shared" si="88"/>
        <v>#DIV/0!</v>
      </c>
      <c r="BX106" s="2" t="e">
        <f t="shared" si="89"/>
        <v>#DIV/0!</v>
      </c>
      <c r="CE106" s="8" t="e">
        <f t="shared" si="109"/>
        <v>#DIV/0!</v>
      </c>
      <c r="CF106" s="2" t="e">
        <f t="shared" si="110"/>
        <v>#DIV/0!</v>
      </c>
      <c r="CG106" s="2" t="e">
        <f t="shared" si="111"/>
        <v>#DIV/0!</v>
      </c>
      <c r="CH106" s="2" t="e">
        <f t="shared" si="90"/>
        <v>#DIV/0!</v>
      </c>
      <c r="CI106" s="2" t="e">
        <f t="shared" si="91"/>
        <v>#DIV/0!</v>
      </c>
      <c r="CJ106" s="2" t="e">
        <f t="shared" si="92"/>
        <v>#DIV/0!</v>
      </c>
      <c r="CQ106" s="8" t="e">
        <f t="shared" si="112"/>
        <v>#DIV/0!</v>
      </c>
      <c r="CR106" s="2" t="e">
        <f t="shared" si="113"/>
        <v>#DIV/0!</v>
      </c>
      <c r="CS106" s="2" t="e">
        <f t="shared" si="114"/>
        <v>#DIV/0!</v>
      </c>
      <c r="CT106" s="2" t="e">
        <f t="shared" si="93"/>
        <v>#DIV/0!</v>
      </c>
      <c r="CU106" s="2" t="e">
        <f t="shared" si="94"/>
        <v>#DIV/0!</v>
      </c>
      <c r="CV106" s="2" t="e">
        <f t="shared" si="95"/>
        <v>#DIV/0!</v>
      </c>
    </row>
    <row r="107" spans="1:100" x14ac:dyDescent="0.2">
      <c r="A107" s="2">
        <f t="shared" si="57"/>
        <v>4.9166666666666661</v>
      </c>
      <c r="B107" s="2">
        <f t="shared" si="58"/>
        <v>7.3235018787654108E-3</v>
      </c>
      <c r="C107" s="2">
        <f t="shared" si="96"/>
        <v>7.3235018787654108E-3</v>
      </c>
      <c r="D107" s="2">
        <f t="shared" si="96"/>
        <v>7.3235018787654108E-3</v>
      </c>
      <c r="E107" s="8">
        <f t="shared" si="60"/>
        <v>7.3235018787654108E-3</v>
      </c>
      <c r="F107" s="2">
        <f t="shared" si="61"/>
        <v>7.3235018787654108E-3</v>
      </c>
      <c r="G107" s="2">
        <f t="shared" si="62"/>
        <v>7.3235018787654108E-3</v>
      </c>
      <c r="K107" s="8" t="e">
        <f t="shared" si="63"/>
        <v>#DIV/0!</v>
      </c>
      <c r="L107" s="2" t="e">
        <f t="shared" si="64"/>
        <v>#DIV/0!</v>
      </c>
      <c r="M107" s="2" t="e">
        <f t="shared" si="65"/>
        <v>#DIV/0!</v>
      </c>
      <c r="Q107" s="8">
        <f t="shared" si="66"/>
        <v>5.5621520560444115E-2</v>
      </c>
      <c r="R107" s="2">
        <f t="shared" si="67"/>
        <v>5.5621520560444115E-2</v>
      </c>
      <c r="S107" s="2">
        <f t="shared" si="68"/>
        <v>5.5621520560444115E-2</v>
      </c>
      <c r="W107" s="8">
        <f t="shared" si="69"/>
        <v>0.16901408450704214</v>
      </c>
      <c r="X107" s="2">
        <f t="shared" si="70"/>
        <v>0.16901408450704214</v>
      </c>
      <c r="Y107" s="2">
        <f t="shared" si="71"/>
        <v>0.16901408450704214</v>
      </c>
      <c r="AC107" s="8">
        <f t="shared" si="72"/>
        <v>7.3235018787654038E-3</v>
      </c>
      <c r="AD107" s="2">
        <f t="shared" si="73"/>
        <v>7.3235018787654038E-3</v>
      </c>
      <c r="AE107" s="2">
        <f t="shared" si="74"/>
        <v>7.3235018787654038E-3</v>
      </c>
      <c r="AI107" s="8">
        <f t="shared" si="75"/>
        <v>5.5621520560444115E-2</v>
      </c>
      <c r="AJ107" s="2">
        <f t="shared" si="76"/>
        <v>5.5621520560444115E-2</v>
      </c>
      <c r="AK107" s="2">
        <f t="shared" si="77"/>
        <v>5.5621520560444115E-2</v>
      </c>
      <c r="AR107" s="8" t="e">
        <f t="shared" si="97"/>
        <v>#DIV/0!</v>
      </c>
      <c r="AS107" s="2" t="e">
        <f t="shared" si="98"/>
        <v>#DIV/0!</v>
      </c>
      <c r="AT107" s="2" t="e">
        <f t="shared" si="99"/>
        <v>#DIV/0!</v>
      </c>
      <c r="AU107" s="2" t="e">
        <f t="shared" si="78"/>
        <v>#DIV/0!</v>
      </c>
      <c r="AV107" s="2" t="e">
        <f t="shared" si="79"/>
        <v>#DIV/0!</v>
      </c>
      <c r="AW107" s="2" t="e">
        <f t="shared" si="80"/>
        <v>#DIV/0!</v>
      </c>
      <c r="BA107" s="8" t="e">
        <f t="shared" si="100"/>
        <v>#DIV/0!</v>
      </c>
      <c r="BB107" s="2" t="e">
        <f t="shared" si="101"/>
        <v>#DIV/0!</v>
      </c>
      <c r="BC107" s="2" t="e">
        <f t="shared" si="102"/>
        <v>#DIV/0!</v>
      </c>
      <c r="BD107" s="2" t="e">
        <f t="shared" si="81"/>
        <v>#DIV/0!</v>
      </c>
      <c r="BE107" s="2" t="e">
        <f t="shared" si="82"/>
        <v>#DIV/0!</v>
      </c>
      <c r="BF107" s="2" t="e">
        <f t="shared" si="83"/>
        <v>#DIV/0!</v>
      </c>
      <c r="BJ107" s="8" t="e">
        <f t="shared" si="103"/>
        <v>#DIV/0!</v>
      </c>
      <c r="BK107" s="2" t="e">
        <f t="shared" si="104"/>
        <v>#DIV/0!</v>
      </c>
      <c r="BL107" s="2" t="e">
        <f t="shared" si="105"/>
        <v>#DIV/0!</v>
      </c>
      <c r="BM107" s="2" t="e">
        <f t="shared" si="84"/>
        <v>#DIV/0!</v>
      </c>
      <c r="BN107" s="2" t="e">
        <f t="shared" si="85"/>
        <v>#DIV/0!</v>
      </c>
      <c r="BO107" s="2" t="e">
        <f t="shared" si="86"/>
        <v>#DIV/0!</v>
      </c>
      <c r="BS107" s="8" t="e">
        <f t="shared" si="106"/>
        <v>#DIV/0!</v>
      </c>
      <c r="BT107" s="2" t="e">
        <f t="shared" si="107"/>
        <v>#DIV/0!</v>
      </c>
      <c r="BU107" s="2" t="e">
        <f t="shared" si="108"/>
        <v>#DIV/0!</v>
      </c>
      <c r="BV107" s="2" t="e">
        <f t="shared" si="87"/>
        <v>#DIV/0!</v>
      </c>
      <c r="BW107" s="2" t="e">
        <f t="shared" si="88"/>
        <v>#DIV/0!</v>
      </c>
      <c r="BX107" s="2" t="e">
        <f t="shared" si="89"/>
        <v>#DIV/0!</v>
      </c>
      <c r="CE107" s="8" t="e">
        <f t="shared" si="109"/>
        <v>#DIV/0!</v>
      </c>
      <c r="CF107" s="2" t="e">
        <f t="shared" si="110"/>
        <v>#DIV/0!</v>
      </c>
      <c r="CG107" s="2" t="e">
        <f t="shared" si="111"/>
        <v>#DIV/0!</v>
      </c>
      <c r="CH107" s="2" t="e">
        <f t="shared" si="90"/>
        <v>#DIV/0!</v>
      </c>
      <c r="CI107" s="2" t="e">
        <f t="shared" si="91"/>
        <v>#DIV/0!</v>
      </c>
      <c r="CJ107" s="2" t="e">
        <f t="shared" si="92"/>
        <v>#DIV/0!</v>
      </c>
      <c r="CQ107" s="8" t="e">
        <f t="shared" si="112"/>
        <v>#DIV/0!</v>
      </c>
      <c r="CR107" s="2" t="e">
        <f t="shared" si="113"/>
        <v>#DIV/0!</v>
      </c>
      <c r="CS107" s="2" t="e">
        <f t="shared" si="114"/>
        <v>#DIV/0!</v>
      </c>
      <c r="CT107" s="2" t="e">
        <f t="shared" si="93"/>
        <v>#DIV/0!</v>
      </c>
      <c r="CU107" s="2" t="e">
        <f t="shared" si="94"/>
        <v>#DIV/0!</v>
      </c>
      <c r="CV107" s="2" t="e">
        <f t="shared" si="95"/>
        <v>#DIV/0!</v>
      </c>
    </row>
    <row r="108" spans="1:100" x14ac:dyDescent="0.2">
      <c r="A108" s="2">
        <f t="shared" si="57"/>
        <v>4.9999999999999991</v>
      </c>
      <c r="B108" s="2">
        <f t="shared" si="58"/>
        <v>6.7379469990854731E-3</v>
      </c>
      <c r="C108" s="2">
        <f t="shared" si="96"/>
        <v>6.7379469990854731E-3</v>
      </c>
      <c r="D108" s="2">
        <f t="shared" si="96"/>
        <v>6.7379469990854731E-3</v>
      </c>
      <c r="E108" s="8">
        <f t="shared" si="60"/>
        <v>6.7379469990854731E-3</v>
      </c>
      <c r="F108" s="2">
        <f t="shared" si="61"/>
        <v>6.7379469990854731E-3</v>
      </c>
      <c r="G108" s="2">
        <f t="shared" si="62"/>
        <v>6.7379469990854731E-3</v>
      </c>
      <c r="K108" s="8" t="e">
        <f t="shared" si="63"/>
        <v>#DIV/0!</v>
      </c>
      <c r="L108" s="2" t="e">
        <f t="shared" si="64"/>
        <v>#DIV/0!</v>
      </c>
      <c r="M108" s="2" t="e">
        <f t="shared" si="65"/>
        <v>#DIV/0!</v>
      </c>
      <c r="Q108" s="8">
        <f t="shared" si="66"/>
        <v>5.3760310451663185E-2</v>
      </c>
      <c r="R108" s="2">
        <f t="shared" si="67"/>
        <v>5.3760310451663185E-2</v>
      </c>
      <c r="S108" s="2">
        <f t="shared" si="68"/>
        <v>5.3760310451663185E-2</v>
      </c>
      <c r="W108" s="8">
        <f t="shared" si="69"/>
        <v>0.16666666666666663</v>
      </c>
      <c r="X108" s="2">
        <f t="shared" si="70"/>
        <v>0.16666666666666663</v>
      </c>
      <c r="Y108" s="2">
        <f t="shared" si="71"/>
        <v>0.16666666666666663</v>
      </c>
      <c r="AC108" s="8">
        <f t="shared" si="72"/>
        <v>6.7379469990854757E-3</v>
      </c>
      <c r="AD108" s="2">
        <f t="shared" si="73"/>
        <v>6.7379469990854757E-3</v>
      </c>
      <c r="AE108" s="2">
        <f t="shared" si="74"/>
        <v>6.7379469990854757E-3</v>
      </c>
      <c r="AI108" s="8">
        <f t="shared" si="75"/>
        <v>5.3760310451663185E-2</v>
      </c>
      <c r="AJ108" s="2">
        <f t="shared" si="76"/>
        <v>5.3760310451663185E-2</v>
      </c>
      <c r="AK108" s="2">
        <f t="shared" si="77"/>
        <v>5.3760310451663185E-2</v>
      </c>
      <c r="AR108" s="8" t="e">
        <f t="shared" si="97"/>
        <v>#DIV/0!</v>
      </c>
      <c r="AS108" s="2" t="e">
        <f t="shared" si="98"/>
        <v>#DIV/0!</v>
      </c>
      <c r="AT108" s="2" t="e">
        <f t="shared" si="99"/>
        <v>#DIV/0!</v>
      </c>
      <c r="AU108" s="2" t="e">
        <f t="shared" si="78"/>
        <v>#DIV/0!</v>
      </c>
      <c r="AV108" s="2" t="e">
        <f t="shared" si="79"/>
        <v>#DIV/0!</v>
      </c>
      <c r="AW108" s="2" t="e">
        <f t="shared" si="80"/>
        <v>#DIV/0!</v>
      </c>
      <c r="BA108" s="8" t="e">
        <f t="shared" si="100"/>
        <v>#DIV/0!</v>
      </c>
      <c r="BB108" s="2" t="e">
        <f t="shared" si="101"/>
        <v>#DIV/0!</v>
      </c>
      <c r="BC108" s="2" t="e">
        <f t="shared" si="102"/>
        <v>#DIV/0!</v>
      </c>
      <c r="BD108" s="2" t="e">
        <f t="shared" si="81"/>
        <v>#DIV/0!</v>
      </c>
      <c r="BE108" s="2" t="e">
        <f t="shared" si="82"/>
        <v>#DIV/0!</v>
      </c>
      <c r="BF108" s="2" t="e">
        <f t="shared" si="83"/>
        <v>#DIV/0!</v>
      </c>
      <c r="BJ108" s="8" t="e">
        <f t="shared" si="103"/>
        <v>#DIV/0!</v>
      </c>
      <c r="BK108" s="2" t="e">
        <f t="shared" si="104"/>
        <v>#DIV/0!</v>
      </c>
      <c r="BL108" s="2" t="e">
        <f t="shared" si="105"/>
        <v>#DIV/0!</v>
      </c>
      <c r="BM108" s="2" t="e">
        <f t="shared" si="84"/>
        <v>#DIV/0!</v>
      </c>
      <c r="BN108" s="2" t="e">
        <f t="shared" si="85"/>
        <v>#DIV/0!</v>
      </c>
      <c r="BO108" s="2" t="e">
        <f t="shared" si="86"/>
        <v>#DIV/0!</v>
      </c>
      <c r="BS108" s="8" t="e">
        <f t="shared" si="106"/>
        <v>#DIV/0!</v>
      </c>
      <c r="BT108" s="2" t="e">
        <f t="shared" si="107"/>
        <v>#DIV/0!</v>
      </c>
      <c r="BU108" s="2" t="e">
        <f t="shared" si="108"/>
        <v>#DIV/0!</v>
      </c>
      <c r="BV108" s="2" t="e">
        <f t="shared" si="87"/>
        <v>#DIV/0!</v>
      </c>
      <c r="BW108" s="2" t="e">
        <f t="shared" si="88"/>
        <v>#DIV/0!</v>
      </c>
      <c r="BX108" s="2" t="e">
        <f t="shared" si="89"/>
        <v>#DIV/0!</v>
      </c>
      <c r="CE108" s="8" t="e">
        <f t="shared" si="109"/>
        <v>#DIV/0!</v>
      </c>
      <c r="CF108" s="2" t="e">
        <f t="shared" si="110"/>
        <v>#DIV/0!</v>
      </c>
      <c r="CG108" s="2" t="e">
        <f t="shared" si="111"/>
        <v>#DIV/0!</v>
      </c>
      <c r="CH108" s="2" t="e">
        <f t="shared" si="90"/>
        <v>#DIV/0!</v>
      </c>
      <c r="CI108" s="2" t="e">
        <f t="shared" si="91"/>
        <v>#DIV/0!</v>
      </c>
      <c r="CJ108" s="2" t="e">
        <f t="shared" si="92"/>
        <v>#DIV/0!</v>
      </c>
      <c r="CQ108" s="8" t="e">
        <f t="shared" si="112"/>
        <v>#DIV/0!</v>
      </c>
      <c r="CR108" s="2" t="e">
        <f t="shared" si="113"/>
        <v>#DIV/0!</v>
      </c>
      <c r="CS108" s="2" t="e">
        <f t="shared" si="114"/>
        <v>#DIV/0!</v>
      </c>
      <c r="CT108" s="2" t="e">
        <f t="shared" si="93"/>
        <v>#DIV/0!</v>
      </c>
      <c r="CU108" s="2" t="e">
        <f t="shared" si="94"/>
        <v>#DIV/0!</v>
      </c>
      <c r="CV108" s="2" t="e">
        <f t="shared" si="95"/>
        <v>#DIV/0!</v>
      </c>
    </row>
    <row r="109" spans="1:100" x14ac:dyDescent="0.2">
      <c r="A109" s="2">
        <f t="shared" si="57"/>
        <v>5.0833333333333321</v>
      </c>
      <c r="B109" s="2">
        <f t="shared" si="58"/>
        <v>6.199210502577001E-3</v>
      </c>
      <c r="C109" s="2">
        <f t="shared" si="96"/>
        <v>6.199210502577001E-3</v>
      </c>
      <c r="D109" s="2">
        <f t="shared" si="96"/>
        <v>6.199210502577001E-3</v>
      </c>
      <c r="E109" s="8">
        <f t="shared" si="60"/>
        <v>6.199210502577001E-3</v>
      </c>
      <c r="F109" s="2">
        <f t="shared" si="61"/>
        <v>6.199210502577001E-3</v>
      </c>
      <c r="G109" s="2">
        <f t="shared" si="62"/>
        <v>6.199210502577001E-3</v>
      </c>
      <c r="K109" s="8" t="e">
        <f t="shared" si="63"/>
        <v>#DIV/0!</v>
      </c>
      <c r="L109" s="2" t="e">
        <f t="shared" si="64"/>
        <v>#DIV/0!</v>
      </c>
      <c r="M109" s="2" t="e">
        <f t="shared" si="65"/>
        <v>#DIV/0!</v>
      </c>
      <c r="Q109" s="8">
        <f t="shared" si="66"/>
        <v>5.1978315022725319E-2</v>
      </c>
      <c r="R109" s="2">
        <f t="shared" si="67"/>
        <v>5.1978315022725319E-2</v>
      </c>
      <c r="S109" s="2">
        <f t="shared" si="68"/>
        <v>5.1978315022725319E-2</v>
      </c>
      <c r="W109" s="8">
        <f t="shared" si="69"/>
        <v>0.16438356164383561</v>
      </c>
      <c r="X109" s="2">
        <f t="shared" si="70"/>
        <v>0.16438356164383561</v>
      </c>
      <c r="Y109" s="2">
        <f t="shared" si="71"/>
        <v>0.16438356164383561</v>
      </c>
      <c r="AC109" s="8">
        <f t="shared" si="72"/>
        <v>6.1992105025769906E-3</v>
      </c>
      <c r="AD109" s="2">
        <f t="shared" si="73"/>
        <v>6.1992105025769906E-3</v>
      </c>
      <c r="AE109" s="2">
        <f t="shared" si="74"/>
        <v>6.1992105025769906E-3</v>
      </c>
      <c r="AI109" s="8">
        <f t="shared" si="75"/>
        <v>5.1978315022725319E-2</v>
      </c>
      <c r="AJ109" s="2">
        <f t="shared" si="76"/>
        <v>5.1978315022725319E-2</v>
      </c>
      <c r="AK109" s="2">
        <f t="shared" si="77"/>
        <v>5.1978315022725319E-2</v>
      </c>
      <c r="AR109" s="8" t="e">
        <f t="shared" si="97"/>
        <v>#DIV/0!</v>
      </c>
      <c r="AS109" s="2" t="e">
        <f t="shared" si="98"/>
        <v>#DIV/0!</v>
      </c>
      <c r="AT109" s="2" t="e">
        <f t="shared" si="99"/>
        <v>#DIV/0!</v>
      </c>
      <c r="AU109" s="2" t="e">
        <f t="shared" si="78"/>
        <v>#DIV/0!</v>
      </c>
      <c r="AV109" s="2" t="e">
        <f t="shared" si="79"/>
        <v>#DIV/0!</v>
      </c>
      <c r="AW109" s="2" t="e">
        <f t="shared" si="80"/>
        <v>#DIV/0!</v>
      </c>
      <c r="BA109" s="8" t="e">
        <f t="shared" si="100"/>
        <v>#DIV/0!</v>
      </c>
      <c r="BB109" s="2" t="e">
        <f t="shared" si="101"/>
        <v>#DIV/0!</v>
      </c>
      <c r="BC109" s="2" t="e">
        <f t="shared" si="102"/>
        <v>#DIV/0!</v>
      </c>
      <c r="BD109" s="2" t="e">
        <f t="shared" si="81"/>
        <v>#DIV/0!</v>
      </c>
      <c r="BE109" s="2" t="e">
        <f t="shared" si="82"/>
        <v>#DIV/0!</v>
      </c>
      <c r="BF109" s="2" t="e">
        <f t="shared" si="83"/>
        <v>#DIV/0!</v>
      </c>
      <c r="BJ109" s="8" t="e">
        <f t="shared" si="103"/>
        <v>#DIV/0!</v>
      </c>
      <c r="BK109" s="2" t="e">
        <f t="shared" si="104"/>
        <v>#DIV/0!</v>
      </c>
      <c r="BL109" s="2" t="e">
        <f t="shared" si="105"/>
        <v>#DIV/0!</v>
      </c>
      <c r="BM109" s="2" t="e">
        <f t="shared" si="84"/>
        <v>#DIV/0!</v>
      </c>
      <c r="BN109" s="2" t="e">
        <f t="shared" si="85"/>
        <v>#DIV/0!</v>
      </c>
      <c r="BO109" s="2" t="e">
        <f t="shared" si="86"/>
        <v>#DIV/0!</v>
      </c>
      <c r="BS109" s="8" t="e">
        <f t="shared" si="106"/>
        <v>#DIV/0!</v>
      </c>
      <c r="BT109" s="2" t="e">
        <f t="shared" si="107"/>
        <v>#DIV/0!</v>
      </c>
      <c r="BU109" s="2" t="e">
        <f t="shared" si="108"/>
        <v>#DIV/0!</v>
      </c>
      <c r="BV109" s="2" t="e">
        <f t="shared" si="87"/>
        <v>#DIV/0!</v>
      </c>
      <c r="BW109" s="2" t="e">
        <f t="shared" si="88"/>
        <v>#DIV/0!</v>
      </c>
      <c r="BX109" s="2" t="e">
        <f t="shared" si="89"/>
        <v>#DIV/0!</v>
      </c>
      <c r="CE109" s="8" t="e">
        <f t="shared" si="109"/>
        <v>#DIV/0!</v>
      </c>
      <c r="CF109" s="2" t="e">
        <f t="shared" si="110"/>
        <v>#DIV/0!</v>
      </c>
      <c r="CG109" s="2" t="e">
        <f t="shared" si="111"/>
        <v>#DIV/0!</v>
      </c>
      <c r="CH109" s="2" t="e">
        <f t="shared" si="90"/>
        <v>#DIV/0!</v>
      </c>
      <c r="CI109" s="2" t="e">
        <f t="shared" si="91"/>
        <v>#DIV/0!</v>
      </c>
      <c r="CJ109" s="2" t="e">
        <f t="shared" si="92"/>
        <v>#DIV/0!</v>
      </c>
      <c r="CQ109" s="8" t="e">
        <f t="shared" si="112"/>
        <v>#DIV/0!</v>
      </c>
      <c r="CR109" s="2" t="e">
        <f t="shared" si="113"/>
        <v>#DIV/0!</v>
      </c>
      <c r="CS109" s="2" t="e">
        <f t="shared" si="114"/>
        <v>#DIV/0!</v>
      </c>
      <c r="CT109" s="2" t="e">
        <f t="shared" si="93"/>
        <v>#DIV/0!</v>
      </c>
      <c r="CU109" s="2" t="e">
        <f t="shared" si="94"/>
        <v>#DIV/0!</v>
      </c>
      <c r="CV109" s="2" t="e">
        <f t="shared" si="95"/>
        <v>#DIV/0!</v>
      </c>
    </row>
    <row r="110" spans="1:100" x14ac:dyDescent="0.2">
      <c r="A110" s="2">
        <f t="shared" si="57"/>
        <v>5.1666666666666652</v>
      </c>
      <c r="B110" s="2">
        <f t="shared" si="58"/>
        <v>5.7035489980074112E-3</v>
      </c>
      <c r="C110" s="2">
        <f t="shared" si="96"/>
        <v>5.7035489980074112E-3</v>
      </c>
      <c r="D110" s="2">
        <f t="shared" si="96"/>
        <v>5.7035489980074112E-3</v>
      </c>
      <c r="E110" s="8">
        <f t="shared" si="60"/>
        <v>5.7035489980074112E-3</v>
      </c>
      <c r="F110" s="2">
        <f t="shared" si="61"/>
        <v>5.7035489980074112E-3</v>
      </c>
      <c r="G110" s="2">
        <f t="shared" si="62"/>
        <v>5.7035489980074112E-3</v>
      </c>
      <c r="K110" s="8" t="e">
        <f t="shared" si="63"/>
        <v>#DIV/0!</v>
      </c>
      <c r="L110" s="2" t="e">
        <f t="shared" si="64"/>
        <v>#DIV/0!</v>
      </c>
      <c r="M110" s="2" t="e">
        <f t="shared" si="65"/>
        <v>#DIV/0!</v>
      </c>
      <c r="Q110" s="8">
        <f t="shared" si="66"/>
        <v>5.0271408422590702E-2</v>
      </c>
      <c r="R110" s="2">
        <f t="shared" si="67"/>
        <v>5.0271408422590702E-2</v>
      </c>
      <c r="S110" s="2">
        <f t="shared" si="68"/>
        <v>5.0271408422590702E-2</v>
      </c>
      <c r="W110" s="8">
        <f t="shared" si="69"/>
        <v>0.16216216216216217</v>
      </c>
      <c r="X110" s="2">
        <f t="shared" si="70"/>
        <v>0.16216216216216217</v>
      </c>
      <c r="Y110" s="2">
        <f t="shared" si="71"/>
        <v>0.16216216216216217</v>
      </c>
      <c r="AC110" s="8">
        <f t="shared" si="72"/>
        <v>5.7035489980074017E-3</v>
      </c>
      <c r="AD110" s="2">
        <f t="shared" si="73"/>
        <v>5.7035489980074017E-3</v>
      </c>
      <c r="AE110" s="2">
        <f t="shared" si="74"/>
        <v>5.7035489980074017E-3</v>
      </c>
      <c r="AI110" s="8">
        <f t="shared" si="75"/>
        <v>5.0271408422590702E-2</v>
      </c>
      <c r="AJ110" s="2">
        <f t="shared" si="76"/>
        <v>5.0271408422590702E-2</v>
      </c>
      <c r="AK110" s="2">
        <f t="shared" si="77"/>
        <v>5.0271408422590702E-2</v>
      </c>
      <c r="AR110" s="8" t="e">
        <f t="shared" si="97"/>
        <v>#DIV/0!</v>
      </c>
      <c r="AS110" s="2" t="e">
        <f t="shared" si="98"/>
        <v>#DIV/0!</v>
      </c>
      <c r="AT110" s="2" t="e">
        <f t="shared" si="99"/>
        <v>#DIV/0!</v>
      </c>
      <c r="AU110" s="2" t="e">
        <f t="shared" si="78"/>
        <v>#DIV/0!</v>
      </c>
      <c r="AV110" s="2" t="e">
        <f t="shared" si="79"/>
        <v>#DIV/0!</v>
      </c>
      <c r="AW110" s="2" t="e">
        <f t="shared" si="80"/>
        <v>#DIV/0!</v>
      </c>
      <c r="BA110" s="8" t="e">
        <f t="shared" si="100"/>
        <v>#DIV/0!</v>
      </c>
      <c r="BB110" s="2" t="e">
        <f t="shared" si="101"/>
        <v>#DIV/0!</v>
      </c>
      <c r="BC110" s="2" t="e">
        <f t="shared" si="102"/>
        <v>#DIV/0!</v>
      </c>
      <c r="BD110" s="2" t="e">
        <f t="shared" si="81"/>
        <v>#DIV/0!</v>
      </c>
      <c r="BE110" s="2" t="e">
        <f t="shared" si="82"/>
        <v>#DIV/0!</v>
      </c>
      <c r="BF110" s="2" t="e">
        <f t="shared" si="83"/>
        <v>#DIV/0!</v>
      </c>
      <c r="BJ110" s="8" t="e">
        <f t="shared" si="103"/>
        <v>#DIV/0!</v>
      </c>
      <c r="BK110" s="2" t="e">
        <f t="shared" si="104"/>
        <v>#DIV/0!</v>
      </c>
      <c r="BL110" s="2" t="e">
        <f t="shared" si="105"/>
        <v>#DIV/0!</v>
      </c>
      <c r="BM110" s="2" t="e">
        <f t="shared" si="84"/>
        <v>#DIV/0!</v>
      </c>
      <c r="BN110" s="2" t="e">
        <f t="shared" si="85"/>
        <v>#DIV/0!</v>
      </c>
      <c r="BO110" s="2" t="e">
        <f t="shared" si="86"/>
        <v>#DIV/0!</v>
      </c>
      <c r="BS110" s="8" t="e">
        <f t="shared" si="106"/>
        <v>#DIV/0!</v>
      </c>
      <c r="BT110" s="2" t="e">
        <f t="shared" si="107"/>
        <v>#DIV/0!</v>
      </c>
      <c r="BU110" s="2" t="e">
        <f t="shared" si="108"/>
        <v>#DIV/0!</v>
      </c>
      <c r="BV110" s="2" t="e">
        <f t="shared" si="87"/>
        <v>#DIV/0!</v>
      </c>
      <c r="BW110" s="2" t="e">
        <f t="shared" si="88"/>
        <v>#DIV/0!</v>
      </c>
      <c r="BX110" s="2" t="e">
        <f t="shared" si="89"/>
        <v>#DIV/0!</v>
      </c>
      <c r="CE110" s="8" t="e">
        <f t="shared" si="109"/>
        <v>#DIV/0!</v>
      </c>
      <c r="CF110" s="2" t="e">
        <f t="shared" si="110"/>
        <v>#DIV/0!</v>
      </c>
      <c r="CG110" s="2" t="e">
        <f t="shared" si="111"/>
        <v>#DIV/0!</v>
      </c>
      <c r="CH110" s="2" t="e">
        <f t="shared" si="90"/>
        <v>#DIV/0!</v>
      </c>
      <c r="CI110" s="2" t="e">
        <f t="shared" si="91"/>
        <v>#DIV/0!</v>
      </c>
      <c r="CJ110" s="2" t="e">
        <f t="shared" si="92"/>
        <v>#DIV/0!</v>
      </c>
      <c r="CQ110" s="8" t="e">
        <f t="shared" si="112"/>
        <v>#DIV/0!</v>
      </c>
      <c r="CR110" s="2" t="e">
        <f t="shared" si="113"/>
        <v>#DIV/0!</v>
      </c>
      <c r="CS110" s="2" t="e">
        <f t="shared" si="114"/>
        <v>#DIV/0!</v>
      </c>
      <c r="CT110" s="2" t="e">
        <f t="shared" si="93"/>
        <v>#DIV/0!</v>
      </c>
      <c r="CU110" s="2" t="e">
        <f t="shared" si="94"/>
        <v>#DIV/0!</v>
      </c>
      <c r="CV110" s="2" t="e">
        <f t="shared" si="95"/>
        <v>#DIV/0!</v>
      </c>
    </row>
    <row r="111" spans="1:100" x14ac:dyDescent="0.2">
      <c r="A111" s="2">
        <f t="shared" si="57"/>
        <v>5.2499999999999982</v>
      </c>
      <c r="B111" s="2">
        <f t="shared" si="58"/>
        <v>5.2475183991813933E-3</v>
      </c>
      <c r="C111" s="2">
        <f t="shared" si="96"/>
        <v>5.2475183991813933E-3</v>
      </c>
      <c r="D111" s="2">
        <f t="shared" si="96"/>
        <v>5.2475183991813933E-3</v>
      </c>
      <c r="E111" s="8">
        <f t="shared" si="60"/>
        <v>5.2475183991813933E-3</v>
      </c>
      <c r="F111" s="2">
        <f t="shared" si="61"/>
        <v>5.2475183991813933E-3</v>
      </c>
      <c r="G111" s="2">
        <f t="shared" si="62"/>
        <v>5.2475183991813933E-3</v>
      </c>
      <c r="K111" s="8" t="e">
        <f t="shared" si="63"/>
        <v>#DIV/0!</v>
      </c>
      <c r="L111" s="2" t="e">
        <f t="shared" si="64"/>
        <v>#DIV/0!</v>
      </c>
      <c r="M111" s="2" t="e">
        <f t="shared" si="65"/>
        <v>#DIV/0!</v>
      </c>
      <c r="Q111" s="8">
        <f t="shared" si="66"/>
        <v>4.8635719894219109E-2</v>
      </c>
      <c r="R111" s="2">
        <f t="shared" si="67"/>
        <v>4.8635719894219109E-2</v>
      </c>
      <c r="S111" s="2">
        <f t="shared" si="68"/>
        <v>4.8635719894219109E-2</v>
      </c>
      <c r="W111" s="8">
        <f t="shared" si="69"/>
        <v>0.16000000000000003</v>
      </c>
      <c r="X111" s="2">
        <f t="shared" si="70"/>
        <v>0.16000000000000003</v>
      </c>
      <c r="Y111" s="2">
        <f t="shared" si="71"/>
        <v>0.16000000000000003</v>
      </c>
      <c r="AC111" s="8">
        <f t="shared" si="72"/>
        <v>5.2475183991813612E-3</v>
      </c>
      <c r="AD111" s="2">
        <f t="shared" si="73"/>
        <v>5.2475183991813612E-3</v>
      </c>
      <c r="AE111" s="2">
        <f t="shared" si="74"/>
        <v>5.2475183991813612E-3</v>
      </c>
      <c r="AI111" s="8">
        <f t="shared" si="75"/>
        <v>4.8635719894219109E-2</v>
      </c>
      <c r="AJ111" s="2">
        <f t="shared" si="76"/>
        <v>4.8635719894219109E-2</v>
      </c>
      <c r="AK111" s="2">
        <f t="shared" si="77"/>
        <v>4.8635719894219109E-2</v>
      </c>
      <c r="AR111" s="8" t="e">
        <f t="shared" si="97"/>
        <v>#DIV/0!</v>
      </c>
      <c r="AS111" s="2" t="e">
        <f t="shared" si="98"/>
        <v>#DIV/0!</v>
      </c>
      <c r="AT111" s="2" t="e">
        <f t="shared" si="99"/>
        <v>#DIV/0!</v>
      </c>
      <c r="AU111" s="2" t="e">
        <f t="shared" si="78"/>
        <v>#DIV/0!</v>
      </c>
      <c r="AV111" s="2" t="e">
        <f t="shared" si="79"/>
        <v>#DIV/0!</v>
      </c>
      <c r="AW111" s="2" t="e">
        <f t="shared" si="80"/>
        <v>#DIV/0!</v>
      </c>
      <c r="BA111" s="8" t="e">
        <f t="shared" si="100"/>
        <v>#DIV/0!</v>
      </c>
      <c r="BB111" s="2" t="e">
        <f t="shared" si="101"/>
        <v>#DIV/0!</v>
      </c>
      <c r="BC111" s="2" t="e">
        <f t="shared" si="102"/>
        <v>#DIV/0!</v>
      </c>
      <c r="BD111" s="2" t="e">
        <f t="shared" si="81"/>
        <v>#DIV/0!</v>
      </c>
      <c r="BE111" s="2" t="e">
        <f t="shared" si="82"/>
        <v>#DIV/0!</v>
      </c>
      <c r="BF111" s="2" t="e">
        <f t="shared" si="83"/>
        <v>#DIV/0!</v>
      </c>
      <c r="BJ111" s="8" t="e">
        <f t="shared" si="103"/>
        <v>#DIV/0!</v>
      </c>
      <c r="BK111" s="2" t="e">
        <f t="shared" si="104"/>
        <v>#DIV/0!</v>
      </c>
      <c r="BL111" s="2" t="e">
        <f t="shared" si="105"/>
        <v>#DIV/0!</v>
      </c>
      <c r="BM111" s="2" t="e">
        <f t="shared" si="84"/>
        <v>#DIV/0!</v>
      </c>
      <c r="BN111" s="2" t="e">
        <f t="shared" si="85"/>
        <v>#DIV/0!</v>
      </c>
      <c r="BO111" s="2" t="e">
        <f t="shared" si="86"/>
        <v>#DIV/0!</v>
      </c>
      <c r="BS111" s="8" t="e">
        <f t="shared" si="106"/>
        <v>#DIV/0!</v>
      </c>
      <c r="BT111" s="2" t="e">
        <f t="shared" si="107"/>
        <v>#DIV/0!</v>
      </c>
      <c r="BU111" s="2" t="e">
        <f t="shared" si="108"/>
        <v>#DIV/0!</v>
      </c>
      <c r="BV111" s="2" t="e">
        <f t="shared" si="87"/>
        <v>#DIV/0!</v>
      </c>
      <c r="BW111" s="2" t="e">
        <f t="shared" si="88"/>
        <v>#DIV/0!</v>
      </c>
      <c r="BX111" s="2" t="e">
        <f t="shared" si="89"/>
        <v>#DIV/0!</v>
      </c>
      <c r="CE111" s="8" t="e">
        <f t="shared" si="109"/>
        <v>#DIV/0!</v>
      </c>
      <c r="CF111" s="2" t="e">
        <f t="shared" si="110"/>
        <v>#DIV/0!</v>
      </c>
      <c r="CG111" s="2" t="e">
        <f t="shared" si="111"/>
        <v>#DIV/0!</v>
      </c>
      <c r="CH111" s="2" t="e">
        <f t="shared" si="90"/>
        <v>#DIV/0!</v>
      </c>
      <c r="CI111" s="2" t="e">
        <f t="shared" si="91"/>
        <v>#DIV/0!</v>
      </c>
      <c r="CJ111" s="2" t="e">
        <f t="shared" si="92"/>
        <v>#DIV/0!</v>
      </c>
      <c r="CQ111" s="8" t="e">
        <f t="shared" si="112"/>
        <v>#DIV/0!</v>
      </c>
      <c r="CR111" s="2" t="e">
        <f t="shared" si="113"/>
        <v>#DIV/0!</v>
      </c>
      <c r="CS111" s="2" t="e">
        <f t="shared" si="114"/>
        <v>#DIV/0!</v>
      </c>
      <c r="CT111" s="2" t="e">
        <f t="shared" si="93"/>
        <v>#DIV/0!</v>
      </c>
      <c r="CU111" s="2" t="e">
        <f t="shared" si="94"/>
        <v>#DIV/0!</v>
      </c>
      <c r="CV111" s="2" t="e">
        <f t="shared" si="95"/>
        <v>#DIV/0!</v>
      </c>
    </row>
    <row r="112" spans="1:100" x14ac:dyDescent="0.2">
      <c r="A112" s="2">
        <f t="shared" si="57"/>
        <v>5.3333333333333313</v>
      </c>
      <c r="B112" s="2">
        <f t="shared" si="58"/>
        <v>4.8279499938314501E-3</v>
      </c>
      <c r="C112" s="2">
        <f t="shared" si="96"/>
        <v>4.8279499938314501E-3</v>
      </c>
      <c r="D112" s="2">
        <f t="shared" si="96"/>
        <v>4.8279499938314501E-3</v>
      </c>
      <c r="E112" s="8">
        <f t="shared" si="60"/>
        <v>4.8279499938314501E-3</v>
      </c>
      <c r="F112" s="2">
        <f t="shared" si="61"/>
        <v>4.8279499938314501E-3</v>
      </c>
      <c r="G112" s="2">
        <f t="shared" si="62"/>
        <v>4.8279499938314501E-3</v>
      </c>
      <c r="K112" s="8" t="e">
        <f t="shared" si="63"/>
        <v>#DIV/0!</v>
      </c>
      <c r="L112" s="2" t="e">
        <f t="shared" si="64"/>
        <v>#DIV/0!</v>
      </c>
      <c r="M112" s="2" t="e">
        <f t="shared" si="65"/>
        <v>#DIV/0!</v>
      </c>
      <c r="Q112" s="8">
        <f t="shared" si="66"/>
        <v>4.7067615502118132E-2</v>
      </c>
      <c r="R112" s="2">
        <f t="shared" si="67"/>
        <v>4.7067615502118132E-2</v>
      </c>
      <c r="S112" s="2">
        <f t="shared" si="68"/>
        <v>4.7067615502118132E-2</v>
      </c>
      <c r="W112" s="8">
        <f t="shared" si="69"/>
        <v>0.15789473684210531</v>
      </c>
      <c r="X112" s="2">
        <f t="shared" si="70"/>
        <v>0.15789473684210531</v>
      </c>
      <c r="Y112" s="2">
        <f t="shared" si="71"/>
        <v>0.15789473684210531</v>
      </c>
      <c r="AC112" s="8">
        <f t="shared" si="72"/>
        <v>4.8279499938314041E-3</v>
      </c>
      <c r="AD112" s="2">
        <f t="shared" si="73"/>
        <v>4.8279499938314041E-3</v>
      </c>
      <c r="AE112" s="2">
        <f t="shared" si="74"/>
        <v>4.8279499938314041E-3</v>
      </c>
      <c r="AI112" s="8">
        <f t="shared" si="75"/>
        <v>4.7067615502118132E-2</v>
      </c>
      <c r="AJ112" s="2">
        <f t="shared" si="76"/>
        <v>4.7067615502118132E-2</v>
      </c>
      <c r="AK112" s="2">
        <f t="shared" si="77"/>
        <v>4.7067615502118132E-2</v>
      </c>
      <c r="AR112" s="8" t="e">
        <f t="shared" si="97"/>
        <v>#DIV/0!</v>
      </c>
      <c r="AS112" s="2" t="e">
        <f t="shared" si="98"/>
        <v>#DIV/0!</v>
      </c>
      <c r="AT112" s="2" t="e">
        <f t="shared" si="99"/>
        <v>#DIV/0!</v>
      </c>
      <c r="AU112" s="2" t="e">
        <f t="shared" si="78"/>
        <v>#DIV/0!</v>
      </c>
      <c r="AV112" s="2" t="e">
        <f t="shared" si="79"/>
        <v>#DIV/0!</v>
      </c>
      <c r="AW112" s="2" t="e">
        <f t="shared" si="80"/>
        <v>#DIV/0!</v>
      </c>
      <c r="BA112" s="8" t="e">
        <f t="shared" si="100"/>
        <v>#DIV/0!</v>
      </c>
      <c r="BB112" s="2" t="e">
        <f t="shared" si="101"/>
        <v>#DIV/0!</v>
      </c>
      <c r="BC112" s="2" t="e">
        <f t="shared" si="102"/>
        <v>#DIV/0!</v>
      </c>
      <c r="BD112" s="2" t="e">
        <f t="shared" si="81"/>
        <v>#DIV/0!</v>
      </c>
      <c r="BE112" s="2" t="e">
        <f t="shared" si="82"/>
        <v>#DIV/0!</v>
      </c>
      <c r="BF112" s="2" t="e">
        <f t="shared" si="83"/>
        <v>#DIV/0!</v>
      </c>
      <c r="BJ112" s="8" t="e">
        <f t="shared" si="103"/>
        <v>#DIV/0!</v>
      </c>
      <c r="BK112" s="2" t="e">
        <f t="shared" si="104"/>
        <v>#DIV/0!</v>
      </c>
      <c r="BL112" s="2" t="e">
        <f t="shared" si="105"/>
        <v>#DIV/0!</v>
      </c>
      <c r="BM112" s="2" t="e">
        <f t="shared" si="84"/>
        <v>#DIV/0!</v>
      </c>
      <c r="BN112" s="2" t="e">
        <f t="shared" si="85"/>
        <v>#DIV/0!</v>
      </c>
      <c r="BO112" s="2" t="e">
        <f t="shared" si="86"/>
        <v>#DIV/0!</v>
      </c>
      <c r="BS112" s="8" t="e">
        <f t="shared" si="106"/>
        <v>#DIV/0!</v>
      </c>
      <c r="BT112" s="2" t="e">
        <f t="shared" si="107"/>
        <v>#DIV/0!</v>
      </c>
      <c r="BU112" s="2" t="e">
        <f t="shared" si="108"/>
        <v>#DIV/0!</v>
      </c>
      <c r="BV112" s="2" t="e">
        <f t="shared" si="87"/>
        <v>#DIV/0!</v>
      </c>
      <c r="BW112" s="2" t="e">
        <f t="shared" si="88"/>
        <v>#DIV/0!</v>
      </c>
      <c r="BX112" s="2" t="e">
        <f t="shared" si="89"/>
        <v>#DIV/0!</v>
      </c>
      <c r="CE112" s="8" t="e">
        <f t="shared" si="109"/>
        <v>#DIV/0!</v>
      </c>
      <c r="CF112" s="2" t="e">
        <f t="shared" si="110"/>
        <v>#DIV/0!</v>
      </c>
      <c r="CG112" s="2" t="e">
        <f t="shared" si="111"/>
        <v>#DIV/0!</v>
      </c>
      <c r="CH112" s="2" t="e">
        <f t="shared" si="90"/>
        <v>#DIV/0!</v>
      </c>
      <c r="CI112" s="2" t="e">
        <f t="shared" si="91"/>
        <v>#DIV/0!</v>
      </c>
      <c r="CJ112" s="2" t="e">
        <f t="shared" si="92"/>
        <v>#DIV/0!</v>
      </c>
      <c r="CQ112" s="8" t="e">
        <f t="shared" si="112"/>
        <v>#DIV/0!</v>
      </c>
      <c r="CR112" s="2" t="e">
        <f t="shared" si="113"/>
        <v>#DIV/0!</v>
      </c>
      <c r="CS112" s="2" t="e">
        <f t="shared" si="114"/>
        <v>#DIV/0!</v>
      </c>
      <c r="CT112" s="2" t="e">
        <f t="shared" si="93"/>
        <v>#DIV/0!</v>
      </c>
      <c r="CU112" s="2" t="e">
        <f t="shared" si="94"/>
        <v>#DIV/0!</v>
      </c>
      <c r="CV112" s="2" t="e">
        <f t="shared" si="95"/>
        <v>#DIV/0!</v>
      </c>
    </row>
    <row r="113" spans="1:100" x14ac:dyDescent="0.2">
      <c r="A113" s="2">
        <f t="shared" si="57"/>
        <v>5.4166666666666643</v>
      </c>
      <c r="B113" s="2">
        <f t="shared" si="58"/>
        <v>4.441928425934303E-3</v>
      </c>
      <c r="C113" s="2">
        <f t="shared" si="96"/>
        <v>4.441928425934303E-3</v>
      </c>
      <c r="D113" s="2">
        <f t="shared" si="96"/>
        <v>4.441928425934303E-3</v>
      </c>
      <c r="E113" s="8">
        <f t="shared" si="60"/>
        <v>4.441928425934303E-3</v>
      </c>
      <c r="F113" s="2">
        <f t="shared" si="61"/>
        <v>4.441928425934303E-3</v>
      </c>
      <c r="G113" s="2">
        <f t="shared" si="62"/>
        <v>4.441928425934303E-3</v>
      </c>
      <c r="K113" s="8" t="e">
        <f t="shared" si="63"/>
        <v>#DIV/0!</v>
      </c>
      <c r="L113" s="2" t="e">
        <f t="shared" si="64"/>
        <v>#DIV/0!</v>
      </c>
      <c r="M113" s="2" t="e">
        <f t="shared" si="65"/>
        <v>#DIV/0!</v>
      </c>
      <c r="Q113" s="8">
        <f t="shared" si="66"/>
        <v>4.5563681346523777E-2</v>
      </c>
      <c r="R113" s="2">
        <f t="shared" si="67"/>
        <v>4.5563681346523777E-2</v>
      </c>
      <c r="S113" s="2">
        <f t="shared" si="68"/>
        <v>4.5563681346523777E-2</v>
      </c>
      <c r="W113" s="8">
        <f t="shared" si="69"/>
        <v>0.1558441558441559</v>
      </c>
      <c r="X113" s="2">
        <f t="shared" si="70"/>
        <v>0.1558441558441559</v>
      </c>
      <c r="Y113" s="2">
        <f t="shared" si="71"/>
        <v>0.1558441558441559</v>
      </c>
      <c r="AC113" s="8">
        <f t="shared" si="72"/>
        <v>4.4419284259342717E-3</v>
      </c>
      <c r="AD113" s="2">
        <f t="shared" si="73"/>
        <v>4.4419284259342717E-3</v>
      </c>
      <c r="AE113" s="2">
        <f t="shared" si="74"/>
        <v>4.4419284259342717E-3</v>
      </c>
      <c r="AI113" s="8">
        <f t="shared" si="75"/>
        <v>4.5563681346523777E-2</v>
      </c>
      <c r="AJ113" s="2">
        <f t="shared" si="76"/>
        <v>4.5563681346523777E-2</v>
      </c>
      <c r="AK113" s="2">
        <f t="shared" si="77"/>
        <v>4.5563681346523777E-2</v>
      </c>
      <c r="AR113" s="8" t="e">
        <f t="shared" ref="AR113:AR144" si="115">AR$43+
AS$43*LN($A113)+
AT$43*(MAX(LN($A113)-AS$9,0)^3-AT$45*MAX(LN($A113)-AR$9,0)^3-(1-AT$45)*MAX(LN($A113)-AT$9,0)^3)</f>
        <v>#DIV/0!</v>
      </c>
      <c r="AS113" s="2" t="e">
        <f t="shared" ref="AS113:AS144" si="116">AR$43+
AW$43*LN($A113)+
AY$43*(MAX(LN($A113)-AS$9,0)^3-AT$45*MAX(LN($A113)-AR$9,0)^3-(1-AT$45)*MAX(LN($A113)-AT$9,0)^3)</f>
        <v>#DIV/0!</v>
      </c>
      <c r="AT113" s="2" t="e">
        <f t="shared" ref="AT113:AT144" si="117">AR$43+
AX$43*LN($A113)+
AZ$43*(MAX(LN($A113)-AS$9,0)^3-AT$45*MAX(LN($A113)-AR$9,0)^3-(1-AT$45)*MAX(LN($A113)-AT$9,0)^3)</f>
        <v>#DIV/0!</v>
      </c>
      <c r="AU113" s="2" t="e">
        <f t="shared" si="78"/>
        <v>#DIV/0!</v>
      </c>
      <c r="AV113" s="2" t="e">
        <f t="shared" si="79"/>
        <v>#DIV/0!</v>
      </c>
      <c r="AW113" s="2" t="e">
        <f t="shared" si="80"/>
        <v>#DIV/0!</v>
      </c>
      <c r="BA113" s="8" t="e">
        <f t="shared" ref="BA113:BA144" si="118">BA$43+
BB$43*LN($A113)+
BC$43*(MAX(LN($A113)-BB$9,0)^3-BC$45*MAX(LN($A113)-BA$9,0)^3-(1-BC$45)*MAX(LN($A113)-BC$9,0)^3)</f>
        <v>#DIV/0!</v>
      </c>
      <c r="BB113" s="2" t="e">
        <f t="shared" ref="BB113:BB144" si="119">BA$43+
BF$43*LN($A113)+
BH$43*(MAX(LN($A113)-BB$9,0)^3-BC$45*MAX(LN($A113)-BA$9,0)^3-(1-BC$45)*MAX(LN($A113)-BC$9,0)^3)</f>
        <v>#DIV/0!</v>
      </c>
      <c r="BC113" s="2" t="e">
        <f t="shared" ref="BC113:BC144" si="120">BA$43+
BG$43*LN($A113)+
BI$43*(MAX(LN($A113)-BB$9,0)^3-BC$45*MAX(LN($A113)-BA$9,0)^3-(1-BC$45)*MAX(LN($A113)-BC$9,0)^3)</f>
        <v>#DIV/0!</v>
      </c>
      <c r="BD113" s="2" t="e">
        <f t="shared" si="81"/>
        <v>#DIV/0!</v>
      </c>
      <c r="BE113" s="2" t="e">
        <f t="shared" si="82"/>
        <v>#DIV/0!</v>
      </c>
      <c r="BF113" s="2" t="e">
        <f t="shared" si="83"/>
        <v>#DIV/0!</v>
      </c>
      <c r="BJ113" s="8" t="e">
        <f t="shared" ref="BJ113:BJ144" si="121">BJ$43+
BK$43*LN($A113)+
BL$43*(MAX(LN($A113)-BK$9,0)^3-BL$45*MAX(LN($A113)-BJ$9,0)^3-(1-BL$45)*MAX(LN($A113)-BL$9,0)^3)</f>
        <v>#DIV/0!</v>
      </c>
      <c r="BK113" s="2" t="e">
        <f t="shared" ref="BK113:BK144" si="122">BJ$43+
BO$43*LN($A113)+
BQ$43*(MAX(LN($A113)-BK$9,0)^3-BL$45*MAX(LN($A113)-BJ$9,0)^3-(1-BL$45)*MAX(LN($A113)-BL$9,0)^3)</f>
        <v>#DIV/0!</v>
      </c>
      <c r="BL113" s="2" t="e">
        <f t="shared" ref="BL113:BL144" si="123">BJ$43+
BP$43*LN($A113)+
BR$43*(MAX(LN($A113)-BK$9,0)^3-BL$45*MAX(LN($A113)-BJ$9,0)^3-(1-BL$45)*MAX(LN($A113)-BL$9,0)^3)</f>
        <v>#DIV/0!</v>
      </c>
      <c r="BM113" s="2" t="e">
        <f t="shared" si="84"/>
        <v>#DIV/0!</v>
      </c>
      <c r="BN113" s="2" t="e">
        <f t="shared" si="85"/>
        <v>#DIV/0!</v>
      </c>
      <c r="BO113" s="2" t="e">
        <f t="shared" si="86"/>
        <v>#DIV/0!</v>
      </c>
      <c r="BS113" s="8" t="e">
        <f t="shared" ref="BS113:BS144" si="124">BS$43+
BT$43*LN($A113)+
BU$43*(MAX(LN($A113)-BT$9,0)^3-BU$45*MAX(LN($A113)-BS$9,0)^3-(1-BU$45)*MAX(LN($A113)-BV$9,0)^3)+
BV$43*(MAX(LN($A113)-BU$9,0)^3-BV$45*MAX(LN($A113)-BS$9,0)^3-(1-BV$45)*MAX(LN($A113)-BV$9,0)^3)</f>
        <v>#DIV/0!</v>
      </c>
      <c r="BT113" s="2" t="e">
        <f t="shared" ref="BT113:BT144" si="125">BS$43+
BY$43*LN($A113)+
CA$43*(MAX(LN($A113)-BT$9,0)^3-BU$45*MAX(LN($A113)-BS$9,0)^3-(1-BU$45)*MAX(LN($A113)-BV$9,0)^3)+
CC$43*(MAX(LN($A113)-BU$9,0)^3-BV$45*MAX(LN($A113)-BS$9,0)^3-(1-BV$45)*MAX(LN($A113)-BV$9,0)^3)</f>
        <v>#DIV/0!</v>
      </c>
      <c r="BU113" s="2" t="e">
        <f t="shared" ref="BU113:BU144" si="126">BS$43+
BZ$43*LN($A113)+
CB$43*(MAX(LN($A113)-BT$9,0)^3-BU$45*MAX(LN($A113)-BS$9,0)^3-(1-BU$45)*MAX(LN($A113)-BV$9,0)^3)+
CD$43*(MAX(LN($A113)-BU$9,0)^3-BV$45*MAX(LN($A113)-BS$9,0)^3-(1-BV$45)*MAX(LN($A113)-BV$9,0)^3)</f>
        <v>#DIV/0!</v>
      </c>
      <c r="BV113" s="2" t="e">
        <f t="shared" si="87"/>
        <v>#DIV/0!</v>
      </c>
      <c r="BW113" s="2" t="e">
        <f t="shared" si="88"/>
        <v>#DIV/0!</v>
      </c>
      <c r="BX113" s="2" t="e">
        <f t="shared" si="89"/>
        <v>#DIV/0!</v>
      </c>
      <c r="CE113" s="8" t="e">
        <f t="shared" ref="CE113:CE144" si="127">CE$43+
CF$43*LN($A113)+
CG$43*(MAX(LN($A113)-CF$9,0)^3-CG$45*MAX(LN($A113)-CE$9,0)^3-(1-CG$45)*MAX(LN($A113)-CH$9,0)^3)+
CH$43*(MAX(LN($A113)-CG$9,0)^3-CH$45*MAX(LN($A113)-CE$9,0)^3-(1-CH$45)*MAX(LN($A113)-CH$9,0)^3)</f>
        <v>#DIV/0!</v>
      </c>
      <c r="CF113" s="2" t="e">
        <f t="shared" ref="CF113:CF144" si="128">CE$43+
CK$43*LN($A113)+
CM$43*(MAX(LN($A113)-CF$9,0)^3-CG$45*MAX(LN($A113)-CE$9,0)^3-(1-CG$45)*MAX(LN($A113)-CH$9,0)^3)+
CO$43*(MAX(LN($A113)-CG$9,0)^3-CH$45*MAX(LN($A113)-CE$9,0)^3-(1-CH$45)*MAX(LN($A113)-CH$9,0)^3)</f>
        <v>#DIV/0!</v>
      </c>
      <c r="CG113" s="2" t="e">
        <f t="shared" ref="CG113:CG144" si="129">CE$43+
CL$43*LN($A113)+
CN$43*(MAX(LN($A113)-CF$9,0)^3-CG$45*MAX(LN($A113)-CE$9,0)^3-(1-CG$45)*MAX(LN($A113)-CH$9,0)^3)+
CP$43*(MAX(LN($A113)-CG$9,0)^3-CH$45*MAX(LN($A113)-CE$9,0)^3-(1-CH$45)*MAX(LN($A113)-CH$9,0)^3)</f>
        <v>#DIV/0!</v>
      </c>
      <c r="CH113" s="2" t="e">
        <f t="shared" si="90"/>
        <v>#DIV/0!</v>
      </c>
      <c r="CI113" s="2" t="e">
        <f t="shared" si="91"/>
        <v>#DIV/0!</v>
      </c>
      <c r="CJ113" s="2" t="e">
        <f t="shared" si="92"/>
        <v>#DIV/0!</v>
      </c>
      <c r="CQ113" s="8" t="e">
        <f t="shared" ref="CQ113:CQ144" si="130">CQ$43+
CR$43*LN($A113)+
CS$43*(MAX(LN($A113)-CR$9,0)^3-CS$45*MAX(LN($A113)-CQ$9,0)^3-(1-CS$45)*MAX(LN($A113)-CT$9,0)^3)+
CT$43*(MAX(LN($A113)-CS$9,0)^3-CT$45*MAX(LN($A113)-CQ$9,0)^3-(1-CT$45)*MAX(LN($A113)-CT$9,0)^3)</f>
        <v>#DIV/0!</v>
      </c>
      <c r="CR113" s="2" t="e">
        <f t="shared" ref="CR113:CR144" si="131">CQ$43+
CW$43*LN($A113)+
CY$43*(MAX(LN($A113)-CR$9,0)^3-CS$45*MAX(LN($A113)-CQ$9,0)^3-(1-CS$45)*MAX(LN($A113)-CT$9,0)^3)+
DA$43*(MAX(LN($A113)-CS$9,0)^3-CT$45*MAX(LN($A113)-CQ$9,0)^3-(1-CT$45)*MAX(LN($A113)-CT$9,0)^3)</f>
        <v>#DIV/0!</v>
      </c>
      <c r="CS113" s="2" t="e">
        <f t="shared" ref="CS113:CS144" si="132">CQ$43+
CX$43*LN($A113)+
CZ$43*(MAX(LN($A113)-CR$9,0)^3-CS$45*MAX(LN($A113)-CQ$9,0)^3-(1-CS$45)*MAX(LN($A113)-CT$9,0)^3)+
DB$43*(MAX(LN($A113)-CS$9,0)^3-CT$45*MAX(LN($A113)-CQ$9,0)^3-(1-CT$45)*MAX(LN($A113)-CT$9,0)^3)</f>
        <v>#DIV/0!</v>
      </c>
      <c r="CT113" s="2" t="e">
        <f t="shared" si="93"/>
        <v>#DIV/0!</v>
      </c>
      <c r="CU113" s="2" t="e">
        <f t="shared" si="94"/>
        <v>#DIV/0!</v>
      </c>
      <c r="CV113" s="2" t="e">
        <f t="shared" si="95"/>
        <v>#DIV/0!</v>
      </c>
    </row>
    <row r="114" spans="1:100" x14ac:dyDescent="0.2">
      <c r="A114" s="2">
        <f t="shared" ref="A114:A168" si="133">A113+$A$47</f>
        <v>5.4999999999999973</v>
      </c>
      <c r="B114" s="2">
        <f t="shared" ref="B114:B168" si="134">EXP(-$A114*$B$43)</f>
        <v>4.0867714384640779E-3</v>
      </c>
      <c r="C114" s="2">
        <f t="shared" si="96"/>
        <v>4.0867714384640779E-3</v>
      </c>
      <c r="D114" s="2">
        <f t="shared" si="96"/>
        <v>4.0867714384640779E-3</v>
      </c>
      <c r="E114" s="8">
        <f t="shared" ref="E114:E168" si="135">EXP(-(($A114*$F$43)^$E$43))</f>
        <v>4.0867714384640779E-3</v>
      </c>
      <c r="F114" s="2">
        <f t="shared" ref="F114:F168" si="136">EXP(-(($A114*$F$43*G$43)^$I$43))</f>
        <v>4.0867714384640779E-3</v>
      </c>
      <c r="G114" s="2">
        <f t="shared" ref="G114:G168" si="137">EXP(-(($A114*$F$43*H$43)^$J$43))</f>
        <v>4.0867714384640779E-3</v>
      </c>
      <c r="K114" s="8" t="e">
        <f t="shared" ref="K114:K168" si="138">EXP(-(($L$43)/$K$43)*(EXP($K$43*$A114)-1))</f>
        <v>#DIV/0!</v>
      </c>
      <c r="L114" s="2" t="e">
        <f t="shared" ref="L114:L168" si="139">EXP(-(($L$43*M$43)/$O$43)*(EXP($O$43*$A114)-1))</f>
        <v>#DIV/0!</v>
      </c>
      <c r="M114" s="2" t="e">
        <f t="shared" ref="M114:M168" si="140">EXP(-(($L$43*N$43)/$P$43)*(EXP($P$43*$A114)-1))</f>
        <v>#DIV/0!</v>
      </c>
      <c r="Q114" s="8">
        <f t="shared" ref="Q114:Q168" si="141">1-_xlfn.NORM.S.DIST((LN($A114)-$Q$43)/$R$43,TRUE)</f>
        <v>4.4120708129076203E-2</v>
      </c>
      <c r="R114" s="2">
        <f t="shared" ref="R114:R168" si="142">1-_xlfn.NORM.S.DIST((LN($A114)-$Q$43-S$43)/$U$43,TRUE)</f>
        <v>4.4120708129076203E-2</v>
      </c>
      <c r="S114" s="2">
        <f t="shared" ref="S114:S168" si="143">1-_xlfn.NORM.S.DIST((LN($A114)-$Q$43-T$43)/$V$43,TRUE)</f>
        <v>4.4120708129076203E-2</v>
      </c>
      <c r="W114" s="8">
        <f t="shared" ref="W114:W168" si="144">1-(1/(1+($A114/($X$43))^(-$W$43)))</f>
        <v>0.15384615384615385</v>
      </c>
      <c r="X114" s="2">
        <f t="shared" ref="X114:X168" si="145">1-(1/(1+($A114/($X$43*Y$43))^(-$AA$43)))</f>
        <v>0.15384615384615385</v>
      </c>
      <c r="Y114" s="2">
        <f t="shared" ref="Y114:Y168" si="146">1-(1/(1+($A114/($X$43*Z$43))^(-$AB$43)))</f>
        <v>0.15384615384615385</v>
      </c>
      <c r="AC114" s="8">
        <f t="shared" ref="AC114:AC168" si="147">1-(_xlfn.GAMMA.DIST($AD$43*$A114,$AC$43,1,TRUE)*EXP(GAMMALN($AC$43)))/EXP(GAMMALN($AC$43))</f>
        <v>4.0867714384640319E-3</v>
      </c>
      <c r="AD114" s="2">
        <f t="shared" ref="AD114:AD168" si="148">1-(_xlfn.GAMMA.DIST($AD$43*AE$43*$A114,$AG$43,1,TRUE)*EXP(GAMMALN($AG$43)))/EXP(GAMMALN($AG$43))</f>
        <v>4.0867714384640319E-3</v>
      </c>
      <c r="AE114" s="2">
        <f t="shared" ref="AE114:AE168" si="149">1-(_xlfn.GAMMA.DIST($AD$43*AF$43*$A114,$AH$43,1,TRUE)*EXP(GAMMALN($AH$43)))/EXP(GAMMALN($AH$43))</f>
        <v>4.0867714384640319E-3</v>
      </c>
      <c r="AI114" s="8">
        <f t="shared" ref="AI114:AI168" si="150">IF(ABS($AK$43)&lt;0.05,
        1-_xlfn.NORM.S.DIST((LN($A114)-$AI$43)/$AJ$43,TRUE),
        IF(0=1-
            IF($AK$43&gt;0,
                    _xlfn.GAMMA.DIST(EXP($AK$43*((LN($A114)-$AI$43)/$AJ$43))*($AK$43^(-2)),($AK$43^(-2)),1, TRUE),
                    1-_xlfn.GAMMA.DIST(EXP($AK$43*((LN($A114)-$AI$43)/$AJ$43))*($AK$43^(-2)),($AK$43^(-2)),1, TRUE)),
            0,
            EXP(LN(1-
                IF($AK$43&gt;0,
                    _xlfn.GAMMA.DIST(EXP($AK$43*((LN($A114)-$AI$43)/$AJ$43))*($AK$43^(-2)),($AK$43^(-2)),1, TRUE),
                    1-_xlfn.GAMMA.DIST(EXP($AK$43*((LN($A114)-$AI$43)/$AJ$43))*($AK$43^(-2)),($AK$43^(-2)),1, TRUE))))))</f>
        <v>4.4120708129076203E-2</v>
      </c>
      <c r="AJ114" s="2">
        <f t="shared" ref="AJ114:AJ168" si="151">IF(ABS($AP$43)&lt;0.05,
        1-_xlfn.NORM.S.DIST((LN($A114)-($AI$43+AL$43))/$AN$43,TRUE),
        IF(0=1-
            IF($AP$43&gt;0,
                    _xlfn.GAMMA.DIST(EXP($AP$43*((LN($A114)-($AI$43+AL$43))/$AN$43))*($AP$43^(-2)),($AP$43^(-2)),1, TRUE),
                    1-_xlfn.GAMMA.DIST(EXP($AP$43*((LN($A114)-($AI$43+AL$43))/$AN$43))*($AP$43^(-2)),($AP$43^(-2)),1, TRUE)),
            0,
            EXP(LN(1-
                IF($AP$43&gt;0,
                    _xlfn.GAMMA.DIST(EXP($AP$43*((LN($A114)-($AI$43+AL$43))/$AN$43))*($AP$43^(-2)),($AP$43^(-2)),1, TRUE),
                    1-_xlfn.GAMMA.DIST(EXP($AP$43*((LN($A114)-($AI$43+AL$43))/$AN$43))*($AP$43^(-2)),($AP$43^(-2)),1, TRUE))))))</f>
        <v>4.4120708129076203E-2</v>
      </c>
      <c r="AK114" s="2">
        <f t="shared" ref="AK114:AK168" si="152">IF(ABS($AQ$43)&lt;0.05,
        1-_xlfn.NORM.S.DIST((LN($A114)-($AI$43+AM$43))/$AO$43,TRUE),
        IF(0=1-
            IF($AQ$43&gt;0,
                    _xlfn.GAMMA.DIST(EXP($AQ$43*((LN($A114)-($AI$43+AM$43))/$AO$43))*($AQ$43^(-2)),($AQ$43^(-2)),1, TRUE),
                    1-_xlfn.GAMMA.DIST(EXP($AQ$43*((LN($A114)-($AI$43+AM$43))/$AO$43))*($AQ$43^(-2)),($AQ$43^(-2)),1, TRUE)),
            0,
            EXP(LN(1-
                IF($AQ$43&gt;0,
                    _xlfn.GAMMA.DIST(EXP($AQ$43*((LN($A114)-($AI$43+AM$43))/$AO$43))*($AQ$43^(-2)),($AQ$43^(-2)),1, TRUE),
                    1-_xlfn.GAMMA.DIST(EXP($AQ$43*((LN($A114)-($AI$43+AM$43))/$AO$43))*($AQ$43^(-2)),($AQ$43^(-2)),1, TRUE))))))</f>
        <v>4.4120708129076203E-2</v>
      </c>
      <c r="AR114" s="8" t="e">
        <f t="shared" si="115"/>
        <v>#DIV/0!</v>
      </c>
      <c r="AS114" s="2" t="e">
        <f t="shared" si="116"/>
        <v>#DIV/0!</v>
      </c>
      <c r="AT114" s="2" t="e">
        <f t="shared" si="117"/>
        <v>#DIV/0!</v>
      </c>
      <c r="AU114" s="2" t="e">
        <f t="shared" ref="AU114:AU168" si="153">EXP(-EXP($AR114))</f>
        <v>#DIV/0!</v>
      </c>
      <c r="AV114" s="2" t="e">
        <f t="shared" ref="AV114:AV168" si="154">EXP(-EXP($AS114+AU$43))</f>
        <v>#DIV/0!</v>
      </c>
      <c r="AW114" s="2" t="e">
        <f t="shared" ref="AW114:AW168" si="155">EXP(-EXP($AT114+AV$43))</f>
        <v>#DIV/0!</v>
      </c>
      <c r="BA114" s="8" t="e">
        <f t="shared" si="118"/>
        <v>#DIV/0!</v>
      </c>
      <c r="BB114" s="2" t="e">
        <f t="shared" si="119"/>
        <v>#DIV/0!</v>
      </c>
      <c r="BC114" s="2" t="e">
        <f t="shared" si="120"/>
        <v>#DIV/0!</v>
      </c>
      <c r="BD114" s="2" t="e">
        <f t="shared" ref="BD114:BD168" si="156">1-(EXP($BA114)/(1 + EXP($BA114)))</f>
        <v>#DIV/0!</v>
      </c>
      <c r="BE114" s="2" t="e">
        <f t="shared" ref="BE114:BE168" si="157">1-(EXP($BB114+BD$43)/(1 + EXP($BB114+BD$43)))</f>
        <v>#DIV/0!</v>
      </c>
      <c r="BF114" s="2" t="e">
        <f t="shared" ref="BF114:BF168" si="158">1-(EXP($BC114+BE$43)/(1 + EXP($BC114+BE$43)))</f>
        <v>#DIV/0!</v>
      </c>
      <c r="BJ114" s="8" t="e">
        <f t="shared" si="121"/>
        <v>#DIV/0!</v>
      </c>
      <c r="BK114" s="2" t="e">
        <f t="shared" si="122"/>
        <v>#DIV/0!</v>
      </c>
      <c r="BL114" s="2" t="e">
        <f t="shared" si="123"/>
        <v>#DIV/0!</v>
      </c>
      <c r="BM114" s="2" t="e">
        <f t="shared" ref="BM114:BM168" si="159">1-NORMSDIST($BJ114)</f>
        <v>#DIV/0!</v>
      </c>
      <c r="BN114" s="2" t="e">
        <f t="shared" ref="BN114:BN168" si="160">1-NORMSDIST($BK114+BM$43)</f>
        <v>#DIV/0!</v>
      </c>
      <c r="BO114" s="2" t="e">
        <f t="shared" ref="BO114:BO168" si="161">1-NORMSDIST($BL114+BN$43)</f>
        <v>#DIV/0!</v>
      </c>
      <c r="BS114" s="8" t="e">
        <f t="shared" si="124"/>
        <v>#DIV/0!</v>
      </c>
      <c r="BT114" s="2" t="e">
        <f t="shared" si="125"/>
        <v>#DIV/0!</v>
      </c>
      <c r="BU114" s="2" t="e">
        <f t="shared" si="126"/>
        <v>#DIV/0!</v>
      </c>
      <c r="BV114" s="2" t="e">
        <f t="shared" ref="BV114:BV168" si="162">EXP(-EXP($BS114))</f>
        <v>#DIV/0!</v>
      </c>
      <c r="BW114" s="2" t="e">
        <f t="shared" ref="BW114:BW168" si="163">EXP(-EXP($BT114+BW$43))</f>
        <v>#DIV/0!</v>
      </c>
      <c r="BX114" s="2" t="e">
        <f t="shared" ref="BX114:BX168" si="164">EXP(-EXP($BU114+BX$43))</f>
        <v>#DIV/0!</v>
      </c>
      <c r="CE114" s="8" t="e">
        <f t="shared" si="127"/>
        <v>#DIV/0!</v>
      </c>
      <c r="CF114" s="2" t="e">
        <f t="shared" si="128"/>
        <v>#DIV/0!</v>
      </c>
      <c r="CG114" s="2" t="e">
        <f t="shared" si="129"/>
        <v>#DIV/0!</v>
      </c>
      <c r="CH114" s="2" t="e">
        <f t="shared" ref="CH114:CH168" si="165">1-(EXP($CE114)/(1 + EXP($CE114)))</f>
        <v>#DIV/0!</v>
      </c>
      <c r="CI114" s="2" t="e">
        <f t="shared" ref="CI114:CI168" si="166">1-(EXP($CF114+CI$43)/(1 + EXP($CF114+CI$43)))</f>
        <v>#DIV/0!</v>
      </c>
      <c r="CJ114" s="2" t="e">
        <f t="shared" ref="CJ114:CJ168" si="167">1-(EXP($CG114+CJ$43)/(1 + EXP($CG114+CJ$43)))</f>
        <v>#DIV/0!</v>
      </c>
      <c r="CQ114" s="8" t="e">
        <f t="shared" si="130"/>
        <v>#DIV/0!</v>
      </c>
      <c r="CR114" s="2" t="e">
        <f t="shared" si="131"/>
        <v>#DIV/0!</v>
      </c>
      <c r="CS114" s="2" t="e">
        <f t="shared" si="132"/>
        <v>#DIV/0!</v>
      </c>
      <c r="CT114" s="2" t="e">
        <f t="shared" ref="CT114:CT168" si="168">1-NORMSDIST($CQ114)</f>
        <v>#DIV/0!</v>
      </c>
      <c r="CU114" s="2" t="e">
        <f t="shared" ref="CU114:CU168" si="169">1-NORMSDIST($CR114+CU$43)</f>
        <v>#DIV/0!</v>
      </c>
      <c r="CV114" s="2" t="e">
        <f t="shared" ref="CV114:CV168" si="170">1-NORMSDIST($CS114+CV$43)</f>
        <v>#DIV/0!</v>
      </c>
    </row>
    <row r="115" spans="1:100" x14ac:dyDescent="0.2">
      <c r="A115" s="2">
        <f t="shared" si="133"/>
        <v>5.5833333333333304</v>
      </c>
      <c r="B115" s="2">
        <f t="shared" si="134"/>
        <v>3.7600112358255212E-3</v>
      </c>
      <c r="C115" s="2">
        <f t="shared" si="96"/>
        <v>3.7600112358255212E-3</v>
      </c>
      <c r="D115" s="2">
        <f t="shared" si="96"/>
        <v>3.7600112358255212E-3</v>
      </c>
      <c r="E115" s="8">
        <f t="shared" si="135"/>
        <v>3.7600112358255212E-3</v>
      </c>
      <c r="F115" s="2">
        <f t="shared" si="136"/>
        <v>3.7600112358255212E-3</v>
      </c>
      <c r="G115" s="2">
        <f t="shared" si="137"/>
        <v>3.7600112358255212E-3</v>
      </c>
      <c r="K115" s="8" t="e">
        <f t="shared" si="138"/>
        <v>#DIV/0!</v>
      </c>
      <c r="L115" s="2" t="e">
        <f t="shared" si="139"/>
        <v>#DIV/0!</v>
      </c>
      <c r="M115" s="2" t="e">
        <f t="shared" si="140"/>
        <v>#DIV/0!</v>
      </c>
      <c r="Q115" s="8">
        <f t="shared" si="141"/>
        <v>4.2735676948384538E-2</v>
      </c>
      <c r="R115" s="2">
        <f t="shared" si="142"/>
        <v>4.2735676948384538E-2</v>
      </c>
      <c r="S115" s="2">
        <f t="shared" si="143"/>
        <v>4.2735676948384538E-2</v>
      </c>
      <c r="W115" s="8">
        <f t="shared" si="144"/>
        <v>0.15189873417721522</v>
      </c>
      <c r="X115" s="2">
        <f t="shared" si="145"/>
        <v>0.15189873417721522</v>
      </c>
      <c r="Y115" s="2">
        <f t="shared" si="146"/>
        <v>0.15189873417721522</v>
      </c>
      <c r="AC115" s="8">
        <f t="shared" si="147"/>
        <v>3.7600112358254778E-3</v>
      </c>
      <c r="AD115" s="2">
        <f t="shared" si="148"/>
        <v>3.7600112358254778E-3</v>
      </c>
      <c r="AE115" s="2">
        <f t="shared" si="149"/>
        <v>3.7600112358254778E-3</v>
      </c>
      <c r="AI115" s="8">
        <f t="shared" si="150"/>
        <v>4.2735676948384538E-2</v>
      </c>
      <c r="AJ115" s="2">
        <f t="shared" si="151"/>
        <v>4.2735676948384538E-2</v>
      </c>
      <c r="AK115" s="2">
        <f t="shared" si="152"/>
        <v>4.2735676948384538E-2</v>
      </c>
      <c r="AR115" s="8" t="e">
        <f t="shared" si="115"/>
        <v>#DIV/0!</v>
      </c>
      <c r="AS115" s="2" t="e">
        <f t="shared" si="116"/>
        <v>#DIV/0!</v>
      </c>
      <c r="AT115" s="2" t="e">
        <f t="shared" si="117"/>
        <v>#DIV/0!</v>
      </c>
      <c r="AU115" s="2" t="e">
        <f t="shared" si="153"/>
        <v>#DIV/0!</v>
      </c>
      <c r="AV115" s="2" t="e">
        <f t="shared" si="154"/>
        <v>#DIV/0!</v>
      </c>
      <c r="AW115" s="2" t="e">
        <f t="shared" si="155"/>
        <v>#DIV/0!</v>
      </c>
      <c r="BA115" s="8" t="e">
        <f t="shared" si="118"/>
        <v>#DIV/0!</v>
      </c>
      <c r="BB115" s="2" t="e">
        <f t="shared" si="119"/>
        <v>#DIV/0!</v>
      </c>
      <c r="BC115" s="2" t="e">
        <f t="shared" si="120"/>
        <v>#DIV/0!</v>
      </c>
      <c r="BD115" s="2" t="e">
        <f t="shared" si="156"/>
        <v>#DIV/0!</v>
      </c>
      <c r="BE115" s="2" t="e">
        <f t="shared" si="157"/>
        <v>#DIV/0!</v>
      </c>
      <c r="BF115" s="2" t="e">
        <f t="shared" si="158"/>
        <v>#DIV/0!</v>
      </c>
      <c r="BJ115" s="8" t="e">
        <f t="shared" si="121"/>
        <v>#DIV/0!</v>
      </c>
      <c r="BK115" s="2" t="e">
        <f t="shared" si="122"/>
        <v>#DIV/0!</v>
      </c>
      <c r="BL115" s="2" t="e">
        <f t="shared" si="123"/>
        <v>#DIV/0!</v>
      </c>
      <c r="BM115" s="2" t="e">
        <f t="shared" si="159"/>
        <v>#DIV/0!</v>
      </c>
      <c r="BN115" s="2" t="e">
        <f t="shared" si="160"/>
        <v>#DIV/0!</v>
      </c>
      <c r="BO115" s="2" t="e">
        <f t="shared" si="161"/>
        <v>#DIV/0!</v>
      </c>
      <c r="BS115" s="8" t="e">
        <f t="shared" si="124"/>
        <v>#DIV/0!</v>
      </c>
      <c r="BT115" s="2" t="e">
        <f t="shared" si="125"/>
        <v>#DIV/0!</v>
      </c>
      <c r="BU115" s="2" t="e">
        <f t="shared" si="126"/>
        <v>#DIV/0!</v>
      </c>
      <c r="BV115" s="2" t="e">
        <f t="shared" si="162"/>
        <v>#DIV/0!</v>
      </c>
      <c r="BW115" s="2" t="e">
        <f t="shared" si="163"/>
        <v>#DIV/0!</v>
      </c>
      <c r="BX115" s="2" t="e">
        <f t="shared" si="164"/>
        <v>#DIV/0!</v>
      </c>
      <c r="CE115" s="8" t="e">
        <f t="shared" si="127"/>
        <v>#DIV/0!</v>
      </c>
      <c r="CF115" s="2" t="e">
        <f t="shared" si="128"/>
        <v>#DIV/0!</v>
      </c>
      <c r="CG115" s="2" t="e">
        <f t="shared" si="129"/>
        <v>#DIV/0!</v>
      </c>
      <c r="CH115" s="2" t="e">
        <f t="shared" si="165"/>
        <v>#DIV/0!</v>
      </c>
      <c r="CI115" s="2" t="e">
        <f t="shared" si="166"/>
        <v>#DIV/0!</v>
      </c>
      <c r="CJ115" s="2" t="e">
        <f t="shared" si="167"/>
        <v>#DIV/0!</v>
      </c>
      <c r="CQ115" s="8" t="e">
        <f t="shared" si="130"/>
        <v>#DIV/0!</v>
      </c>
      <c r="CR115" s="2" t="e">
        <f t="shared" si="131"/>
        <v>#DIV/0!</v>
      </c>
      <c r="CS115" s="2" t="e">
        <f t="shared" si="132"/>
        <v>#DIV/0!</v>
      </c>
      <c r="CT115" s="2" t="e">
        <f t="shared" si="168"/>
        <v>#DIV/0!</v>
      </c>
      <c r="CU115" s="2" t="e">
        <f t="shared" si="169"/>
        <v>#DIV/0!</v>
      </c>
      <c r="CV115" s="2" t="e">
        <f t="shared" si="170"/>
        <v>#DIV/0!</v>
      </c>
    </row>
    <row r="116" spans="1:100" x14ac:dyDescent="0.2">
      <c r="A116" s="2">
        <f t="shared" si="133"/>
        <v>5.6666666666666634</v>
      </c>
      <c r="B116" s="2">
        <f t="shared" si="134"/>
        <v>3.4593773364647706E-3</v>
      </c>
      <c r="C116" s="2">
        <f t="shared" si="96"/>
        <v>3.4593773364647706E-3</v>
      </c>
      <c r="D116" s="2">
        <f t="shared" si="96"/>
        <v>3.4593773364647706E-3</v>
      </c>
      <c r="E116" s="8">
        <f t="shared" si="135"/>
        <v>3.4593773364647706E-3</v>
      </c>
      <c r="F116" s="2">
        <f t="shared" si="136"/>
        <v>3.4593773364647706E-3</v>
      </c>
      <c r="G116" s="2">
        <f t="shared" si="137"/>
        <v>3.4593773364647706E-3</v>
      </c>
      <c r="K116" s="8" t="e">
        <f t="shared" si="138"/>
        <v>#DIV/0!</v>
      </c>
      <c r="L116" s="2" t="e">
        <f t="shared" si="139"/>
        <v>#DIV/0!</v>
      </c>
      <c r="M116" s="2" t="e">
        <f t="shared" si="140"/>
        <v>#DIV/0!</v>
      </c>
      <c r="Q116" s="8">
        <f t="shared" si="141"/>
        <v>4.1405746215938177E-2</v>
      </c>
      <c r="R116" s="2">
        <f t="shared" si="142"/>
        <v>4.1405746215938177E-2</v>
      </c>
      <c r="S116" s="2">
        <f t="shared" si="143"/>
        <v>4.1405746215938177E-2</v>
      </c>
      <c r="W116" s="8">
        <f t="shared" si="144"/>
        <v>0.15000000000000002</v>
      </c>
      <c r="X116" s="2">
        <f t="shared" si="145"/>
        <v>0.15000000000000002</v>
      </c>
      <c r="Y116" s="2">
        <f t="shared" si="146"/>
        <v>0.15000000000000002</v>
      </c>
      <c r="AC116" s="8">
        <f t="shared" si="147"/>
        <v>3.4593773364647307E-3</v>
      </c>
      <c r="AD116" s="2">
        <f t="shared" si="148"/>
        <v>3.4593773364647307E-3</v>
      </c>
      <c r="AE116" s="2">
        <f t="shared" si="149"/>
        <v>3.4593773364647307E-3</v>
      </c>
      <c r="AI116" s="8">
        <f t="shared" si="150"/>
        <v>4.1405746215938177E-2</v>
      </c>
      <c r="AJ116" s="2">
        <f t="shared" si="151"/>
        <v>4.1405746215938177E-2</v>
      </c>
      <c r="AK116" s="2">
        <f t="shared" si="152"/>
        <v>4.1405746215938177E-2</v>
      </c>
      <c r="AR116" s="8" t="e">
        <f t="shared" si="115"/>
        <v>#DIV/0!</v>
      </c>
      <c r="AS116" s="2" t="e">
        <f t="shared" si="116"/>
        <v>#DIV/0!</v>
      </c>
      <c r="AT116" s="2" t="e">
        <f t="shared" si="117"/>
        <v>#DIV/0!</v>
      </c>
      <c r="AU116" s="2" t="e">
        <f t="shared" si="153"/>
        <v>#DIV/0!</v>
      </c>
      <c r="AV116" s="2" t="e">
        <f t="shared" si="154"/>
        <v>#DIV/0!</v>
      </c>
      <c r="AW116" s="2" t="e">
        <f t="shared" si="155"/>
        <v>#DIV/0!</v>
      </c>
      <c r="BA116" s="8" t="e">
        <f t="shared" si="118"/>
        <v>#DIV/0!</v>
      </c>
      <c r="BB116" s="2" t="e">
        <f t="shared" si="119"/>
        <v>#DIV/0!</v>
      </c>
      <c r="BC116" s="2" t="e">
        <f t="shared" si="120"/>
        <v>#DIV/0!</v>
      </c>
      <c r="BD116" s="2" t="e">
        <f t="shared" si="156"/>
        <v>#DIV/0!</v>
      </c>
      <c r="BE116" s="2" t="e">
        <f t="shared" si="157"/>
        <v>#DIV/0!</v>
      </c>
      <c r="BF116" s="2" t="e">
        <f t="shared" si="158"/>
        <v>#DIV/0!</v>
      </c>
      <c r="BJ116" s="8" t="e">
        <f t="shared" si="121"/>
        <v>#DIV/0!</v>
      </c>
      <c r="BK116" s="2" t="e">
        <f t="shared" si="122"/>
        <v>#DIV/0!</v>
      </c>
      <c r="BL116" s="2" t="e">
        <f t="shared" si="123"/>
        <v>#DIV/0!</v>
      </c>
      <c r="BM116" s="2" t="e">
        <f t="shared" si="159"/>
        <v>#DIV/0!</v>
      </c>
      <c r="BN116" s="2" t="e">
        <f t="shared" si="160"/>
        <v>#DIV/0!</v>
      </c>
      <c r="BO116" s="2" t="e">
        <f t="shared" si="161"/>
        <v>#DIV/0!</v>
      </c>
      <c r="BS116" s="8" t="e">
        <f t="shared" si="124"/>
        <v>#DIV/0!</v>
      </c>
      <c r="BT116" s="2" t="e">
        <f t="shared" si="125"/>
        <v>#DIV/0!</v>
      </c>
      <c r="BU116" s="2" t="e">
        <f t="shared" si="126"/>
        <v>#DIV/0!</v>
      </c>
      <c r="BV116" s="2" t="e">
        <f t="shared" si="162"/>
        <v>#DIV/0!</v>
      </c>
      <c r="BW116" s="2" t="e">
        <f t="shared" si="163"/>
        <v>#DIV/0!</v>
      </c>
      <c r="BX116" s="2" t="e">
        <f t="shared" si="164"/>
        <v>#DIV/0!</v>
      </c>
      <c r="CE116" s="8" t="e">
        <f t="shared" si="127"/>
        <v>#DIV/0!</v>
      </c>
      <c r="CF116" s="2" t="e">
        <f t="shared" si="128"/>
        <v>#DIV/0!</v>
      </c>
      <c r="CG116" s="2" t="e">
        <f t="shared" si="129"/>
        <v>#DIV/0!</v>
      </c>
      <c r="CH116" s="2" t="e">
        <f t="shared" si="165"/>
        <v>#DIV/0!</v>
      </c>
      <c r="CI116" s="2" t="e">
        <f t="shared" si="166"/>
        <v>#DIV/0!</v>
      </c>
      <c r="CJ116" s="2" t="e">
        <f t="shared" si="167"/>
        <v>#DIV/0!</v>
      </c>
      <c r="CQ116" s="8" t="e">
        <f t="shared" si="130"/>
        <v>#DIV/0!</v>
      </c>
      <c r="CR116" s="2" t="e">
        <f t="shared" si="131"/>
        <v>#DIV/0!</v>
      </c>
      <c r="CS116" s="2" t="e">
        <f t="shared" si="132"/>
        <v>#DIV/0!</v>
      </c>
      <c r="CT116" s="2" t="e">
        <f t="shared" si="168"/>
        <v>#DIV/0!</v>
      </c>
      <c r="CU116" s="2" t="e">
        <f t="shared" si="169"/>
        <v>#DIV/0!</v>
      </c>
      <c r="CV116" s="2" t="e">
        <f t="shared" si="170"/>
        <v>#DIV/0!</v>
      </c>
    </row>
    <row r="117" spans="1:100" x14ac:dyDescent="0.2">
      <c r="A117" s="2">
        <f t="shared" si="133"/>
        <v>5.7499999999999964</v>
      </c>
      <c r="B117" s="2">
        <f t="shared" si="134"/>
        <v>3.1827807965096782E-3</v>
      </c>
      <c r="C117" s="2">
        <f t="shared" si="96"/>
        <v>3.1827807965096782E-3</v>
      </c>
      <c r="D117" s="2">
        <f t="shared" si="96"/>
        <v>3.1827807965096782E-3</v>
      </c>
      <c r="E117" s="8">
        <f t="shared" si="135"/>
        <v>3.1827807965096782E-3</v>
      </c>
      <c r="F117" s="2">
        <f t="shared" si="136"/>
        <v>3.1827807965096782E-3</v>
      </c>
      <c r="G117" s="2">
        <f t="shared" si="137"/>
        <v>3.1827807965096782E-3</v>
      </c>
      <c r="K117" s="8" t="e">
        <f t="shared" si="138"/>
        <v>#DIV/0!</v>
      </c>
      <c r="L117" s="2" t="e">
        <f t="shared" si="139"/>
        <v>#DIV/0!</v>
      </c>
      <c r="M117" s="2" t="e">
        <f t="shared" si="140"/>
        <v>#DIV/0!</v>
      </c>
      <c r="Q117" s="8">
        <f t="shared" si="141"/>
        <v>4.012823959357692E-2</v>
      </c>
      <c r="R117" s="2">
        <f t="shared" si="142"/>
        <v>4.012823959357692E-2</v>
      </c>
      <c r="S117" s="2">
        <f t="shared" si="143"/>
        <v>4.012823959357692E-2</v>
      </c>
      <c r="W117" s="8">
        <f t="shared" si="144"/>
        <v>0.14814814814814825</v>
      </c>
      <c r="X117" s="2">
        <f t="shared" si="145"/>
        <v>0.14814814814814825</v>
      </c>
      <c r="Y117" s="2">
        <f t="shared" si="146"/>
        <v>0.14814814814814825</v>
      </c>
      <c r="AC117" s="8">
        <f t="shared" si="147"/>
        <v>3.1827807965096877E-3</v>
      </c>
      <c r="AD117" s="2">
        <f t="shared" si="148"/>
        <v>3.1827807965096877E-3</v>
      </c>
      <c r="AE117" s="2">
        <f t="shared" si="149"/>
        <v>3.1827807965096877E-3</v>
      </c>
      <c r="AI117" s="8">
        <f t="shared" si="150"/>
        <v>4.012823959357692E-2</v>
      </c>
      <c r="AJ117" s="2">
        <f t="shared" si="151"/>
        <v>4.012823959357692E-2</v>
      </c>
      <c r="AK117" s="2">
        <f t="shared" si="152"/>
        <v>4.012823959357692E-2</v>
      </c>
      <c r="AR117" s="8" t="e">
        <f t="shared" si="115"/>
        <v>#DIV/0!</v>
      </c>
      <c r="AS117" s="2" t="e">
        <f t="shared" si="116"/>
        <v>#DIV/0!</v>
      </c>
      <c r="AT117" s="2" t="e">
        <f t="shared" si="117"/>
        <v>#DIV/0!</v>
      </c>
      <c r="AU117" s="2" t="e">
        <f t="shared" si="153"/>
        <v>#DIV/0!</v>
      </c>
      <c r="AV117" s="2" t="e">
        <f t="shared" si="154"/>
        <v>#DIV/0!</v>
      </c>
      <c r="AW117" s="2" t="e">
        <f t="shared" si="155"/>
        <v>#DIV/0!</v>
      </c>
      <c r="BA117" s="8" t="e">
        <f t="shared" si="118"/>
        <v>#DIV/0!</v>
      </c>
      <c r="BB117" s="2" t="e">
        <f t="shared" si="119"/>
        <v>#DIV/0!</v>
      </c>
      <c r="BC117" s="2" t="e">
        <f t="shared" si="120"/>
        <v>#DIV/0!</v>
      </c>
      <c r="BD117" s="2" t="e">
        <f t="shared" si="156"/>
        <v>#DIV/0!</v>
      </c>
      <c r="BE117" s="2" t="e">
        <f t="shared" si="157"/>
        <v>#DIV/0!</v>
      </c>
      <c r="BF117" s="2" t="e">
        <f t="shared" si="158"/>
        <v>#DIV/0!</v>
      </c>
      <c r="BJ117" s="8" t="e">
        <f t="shared" si="121"/>
        <v>#DIV/0!</v>
      </c>
      <c r="BK117" s="2" t="e">
        <f t="shared" si="122"/>
        <v>#DIV/0!</v>
      </c>
      <c r="BL117" s="2" t="e">
        <f t="shared" si="123"/>
        <v>#DIV/0!</v>
      </c>
      <c r="BM117" s="2" t="e">
        <f t="shared" si="159"/>
        <v>#DIV/0!</v>
      </c>
      <c r="BN117" s="2" t="e">
        <f t="shared" si="160"/>
        <v>#DIV/0!</v>
      </c>
      <c r="BO117" s="2" t="e">
        <f t="shared" si="161"/>
        <v>#DIV/0!</v>
      </c>
      <c r="BS117" s="8" t="e">
        <f t="shared" si="124"/>
        <v>#DIV/0!</v>
      </c>
      <c r="BT117" s="2" t="e">
        <f t="shared" si="125"/>
        <v>#DIV/0!</v>
      </c>
      <c r="BU117" s="2" t="e">
        <f t="shared" si="126"/>
        <v>#DIV/0!</v>
      </c>
      <c r="BV117" s="2" t="e">
        <f t="shared" si="162"/>
        <v>#DIV/0!</v>
      </c>
      <c r="BW117" s="2" t="e">
        <f t="shared" si="163"/>
        <v>#DIV/0!</v>
      </c>
      <c r="BX117" s="2" t="e">
        <f t="shared" si="164"/>
        <v>#DIV/0!</v>
      </c>
      <c r="CE117" s="8" t="e">
        <f t="shared" si="127"/>
        <v>#DIV/0!</v>
      </c>
      <c r="CF117" s="2" t="e">
        <f t="shared" si="128"/>
        <v>#DIV/0!</v>
      </c>
      <c r="CG117" s="2" t="e">
        <f t="shared" si="129"/>
        <v>#DIV/0!</v>
      </c>
      <c r="CH117" s="2" t="e">
        <f t="shared" si="165"/>
        <v>#DIV/0!</v>
      </c>
      <c r="CI117" s="2" t="e">
        <f t="shared" si="166"/>
        <v>#DIV/0!</v>
      </c>
      <c r="CJ117" s="2" t="e">
        <f t="shared" si="167"/>
        <v>#DIV/0!</v>
      </c>
      <c r="CQ117" s="8" t="e">
        <f t="shared" si="130"/>
        <v>#DIV/0!</v>
      </c>
      <c r="CR117" s="2" t="e">
        <f t="shared" si="131"/>
        <v>#DIV/0!</v>
      </c>
      <c r="CS117" s="2" t="e">
        <f t="shared" si="132"/>
        <v>#DIV/0!</v>
      </c>
      <c r="CT117" s="2" t="e">
        <f t="shared" si="168"/>
        <v>#DIV/0!</v>
      </c>
      <c r="CU117" s="2" t="e">
        <f t="shared" si="169"/>
        <v>#DIV/0!</v>
      </c>
      <c r="CV117" s="2" t="e">
        <f t="shared" si="170"/>
        <v>#DIV/0!</v>
      </c>
    </row>
    <row r="118" spans="1:100" x14ac:dyDescent="0.2">
      <c r="A118" s="2">
        <f t="shared" si="133"/>
        <v>5.8333333333333295</v>
      </c>
      <c r="B118" s="2">
        <f t="shared" si="134"/>
        <v>2.9282996948181992E-3</v>
      </c>
      <c r="C118" s="2">
        <f t="shared" si="96"/>
        <v>2.9282996948181992E-3</v>
      </c>
      <c r="D118" s="2">
        <f t="shared" si="96"/>
        <v>2.9282996948181992E-3</v>
      </c>
      <c r="E118" s="8">
        <f t="shared" si="135"/>
        <v>2.9282996948181992E-3</v>
      </c>
      <c r="F118" s="2">
        <f t="shared" si="136"/>
        <v>2.9282996948181992E-3</v>
      </c>
      <c r="G118" s="2">
        <f t="shared" si="137"/>
        <v>2.9282996948181992E-3</v>
      </c>
      <c r="K118" s="8" t="e">
        <f t="shared" si="138"/>
        <v>#DIV/0!</v>
      </c>
      <c r="L118" s="2" t="e">
        <f t="shared" si="139"/>
        <v>#DIV/0!</v>
      </c>
      <c r="M118" s="2" t="e">
        <f t="shared" si="140"/>
        <v>#DIV/0!</v>
      </c>
      <c r="Q118" s="8">
        <f t="shared" si="141"/>
        <v>3.8900634863338279E-2</v>
      </c>
      <c r="R118" s="2">
        <f t="shared" si="142"/>
        <v>3.8900634863338279E-2</v>
      </c>
      <c r="S118" s="2">
        <f t="shared" si="143"/>
        <v>3.8900634863338279E-2</v>
      </c>
      <c r="W118" s="8">
        <f t="shared" si="144"/>
        <v>0.14634146341463417</v>
      </c>
      <c r="X118" s="2">
        <f t="shared" si="145"/>
        <v>0.14634146341463417</v>
      </c>
      <c r="Y118" s="2">
        <f t="shared" si="146"/>
        <v>0.14634146341463417</v>
      </c>
      <c r="AC118" s="8">
        <f t="shared" si="147"/>
        <v>2.9282996948182261E-3</v>
      </c>
      <c r="AD118" s="2">
        <f t="shared" si="148"/>
        <v>2.9282996948182261E-3</v>
      </c>
      <c r="AE118" s="2">
        <f t="shared" si="149"/>
        <v>2.9282996948182261E-3</v>
      </c>
      <c r="AI118" s="8">
        <f t="shared" si="150"/>
        <v>3.8900634863338279E-2</v>
      </c>
      <c r="AJ118" s="2">
        <f t="shared" si="151"/>
        <v>3.8900634863338279E-2</v>
      </c>
      <c r="AK118" s="2">
        <f t="shared" si="152"/>
        <v>3.8900634863338279E-2</v>
      </c>
      <c r="AR118" s="8" t="e">
        <f t="shared" si="115"/>
        <v>#DIV/0!</v>
      </c>
      <c r="AS118" s="2" t="e">
        <f t="shared" si="116"/>
        <v>#DIV/0!</v>
      </c>
      <c r="AT118" s="2" t="e">
        <f t="shared" si="117"/>
        <v>#DIV/0!</v>
      </c>
      <c r="AU118" s="2" t="e">
        <f t="shared" si="153"/>
        <v>#DIV/0!</v>
      </c>
      <c r="AV118" s="2" t="e">
        <f t="shared" si="154"/>
        <v>#DIV/0!</v>
      </c>
      <c r="AW118" s="2" t="e">
        <f t="shared" si="155"/>
        <v>#DIV/0!</v>
      </c>
      <c r="BA118" s="8" t="e">
        <f t="shared" si="118"/>
        <v>#DIV/0!</v>
      </c>
      <c r="BB118" s="2" t="e">
        <f t="shared" si="119"/>
        <v>#DIV/0!</v>
      </c>
      <c r="BC118" s="2" t="e">
        <f t="shared" si="120"/>
        <v>#DIV/0!</v>
      </c>
      <c r="BD118" s="2" t="e">
        <f t="shared" si="156"/>
        <v>#DIV/0!</v>
      </c>
      <c r="BE118" s="2" t="e">
        <f t="shared" si="157"/>
        <v>#DIV/0!</v>
      </c>
      <c r="BF118" s="2" t="e">
        <f t="shared" si="158"/>
        <v>#DIV/0!</v>
      </c>
      <c r="BJ118" s="8" t="e">
        <f t="shared" si="121"/>
        <v>#DIV/0!</v>
      </c>
      <c r="BK118" s="2" t="e">
        <f t="shared" si="122"/>
        <v>#DIV/0!</v>
      </c>
      <c r="BL118" s="2" t="e">
        <f t="shared" si="123"/>
        <v>#DIV/0!</v>
      </c>
      <c r="BM118" s="2" t="e">
        <f t="shared" si="159"/>
        <v>#DIV/0!</v>
      </c>
      <c r="BN118" s="2" t="e">
        <f t="shared" si="160"/>
        <v>#DIV/0!</v>
      </c>
      <c r="BO118" s="2" t="e">
        <f t="shared" si="161"/>
        <v>#DIV/0!</v>
      </c>
      <c r="BS118" s="8" t="e">
        <f t="shared" si="124"/>
        <v>#DIV/0!</v>
      </c>
      <c r="BT118" s="2" t="e">
        <f t="shared" si="125"/>
        <v>#DIV/0!</v>
      </c>
      <c r="BU118" s="2" t="e">
        <f t="shared" si="126"/>
        <v>#DIV/0!</v>
      </c>
      <c r="BV118" s="2" t="e">
        <f t="shared" si="162"/>
        <v>#DIV/0!</v>
      </c>
      <c r="BW118" s="2" t="e">
        <f t="shared" si="163"/>
        <v>#DIV/0!</v>
      </c>
      <c r="BX118" s="2" t="e">
        <f t="shared" si="164"/>
        <v>#DIV/0!</v>
      </c>
      <c r="CE118" s="8" t="e">
        <f t="shared" si="127"/>
        <v>#DIV/0!</v>
      </c>
      <c r="CF118" s="2" t="e">
        <f t="shared" si="128"/>
        <v>#DIV/0!</v>
      </c>
      <c r="CG118" s="2" t="e">
        <f t="shared" si="129"/>
        <v>#DIV/0!</v>
      </c>
      <c r="CH118" s="2" t="e">
        <f t="shared" si="165"/>
        <v>#DIV/0!</v>
      </c>
      <c r="CI118" s="2" t="e">
        <f t="shared" si="166"/>
        <v>#DIV/0!</v>
      </c>
      <c r="CJ118" s="2" t="e">
        <f t="shared" si="167"/>
        <v>#DIV/0!</v>
      </c>
      <c r="CQ118" s="8" t="e">
        <f t="shared" si="130"/>
        <v>#DIV/0!</v>
      </c>
      <c r="CR118" s="2" t="e">
        <f t="shared" si="131"/>
        <v>#DIV/0!</v>
      </c>
      <c r="CS118" s="2" t="e">
        <f t="shared" si="132"/>
        <v>#DIV/0!</v>
      </c>
      <c r="CT118" s="2" t="e">
        <f t="shared" si="168"/>
        <v>#DIV/0!</v>
      </c>
      <c r="CU118" s="2" t="e">
        <f t="shared" si="169"/>
        <v>#DIV/0!</v>
      </c>
      <c r="CV118" s="2" t="e">
        <f t="shared" si="170"/>
        <v>#DIV/0!</v>
      </c>
    </row>
    <row r="119" spans="1:100" x14ac:dyDescent="0.2">
      <c r="A119" s="2">
        <f t="shared" si="133"/>
        <v>5.9166666666666625</v>
      </c>
      <c r="B119" s="2">
        <f t="shared" si="134"/>
        <v>2.6941657785782367E-3</v>
      </c>
      <c r="C119" s="2">
        <f t="shared" si="96"/>
        <v>2.6941657785782367E-3</v>
      </c>
      <c r="D119" s="2">
        <f t="shared" si="96"/>
        <v>2.6941657785782367E-3</v>
      </c>
      <c r="E119" s="8">
        <f t="shared" si="135"/>
        <v>2.6941657785782367E-3</v>
      </c>
      <c r="F119" s="2">
        <f t="shared" si="136"/>
        <v>2.6941657785782367E-3</v>
      </c>
      <c r="G119" s="2">
        <f t="shared" si="137"/>
        <v>2.6941657785782367E-3</v>
      </c>
      <c r="K119" s="8" t="e">
        <f t="shared" si="138"/>
        <v>#DIV/0!</v>
      </c>
      <c r="L119" s="2" t="e">
        <f t="shared" si="139"/>
        <v>#DIV/0!</v>
      </c>
      <c r="M119" s="2" t="e">
        <f t="shared" si="140"/>
        <v>#DIV/0!</v>
      </c>
      <c r="Q119" s="8">
        <f t="shared" si="141"/>
        <v>3.7720553649090549E-2</v>
      </c>
      <c r="R119" s="2">
        <f t="shared" si="142"/>
        <v>3.7720553649090549E-2</v>
      </c>
      <c r="S119" s="2">
        <f t="shared" si="143"/>
        <v>3.7720553649090549E-2</v>
      </c>
      <c r="W119" s="8">
        <f t="shared" si="144"/>
        <v>0.14457831325301218</v>
      </c>
      <c r="X119" s="2">
        <f t="shared" si="145"/>
        <v>0.14457831325301218</v>
      </c>
      <c r="Y119" s="2">
        <f t="shared" si="146"/>
        <v>0.14457831325301218</v>
      </c>
      <c r="AC119" s="8">
        <f t="shared" si="147"/>
        <v>2.6941657785782835E-3</v>
      </c>
      <c r="AD119" s="2">
        <f t="shared" si="148"/>
        <v>2.6941657785782835E-3</v>
      </c>
      <c r="AE119" s="2">
        <f t="shared" si="149"/>
        <v>2.6941657785782835E-3</v>
      </c>
      <c r="AI119" s="8">
        <f t="shared" si="150"/>
        <v>3.7720553649090549E-2</v>
      </c>
      <c r="AJ119" s="2">
        <f t="shared" si="151"/>
        <v>3.7720553649090549E-2</v>
      </c>
      <c r="AK119" s="2">
        <f t="shared" si="152"/>
        <v>3.7720553649090549E-2</v>
      </c>
      <c r="AR119" s="8" t="e">
        <f t="shared" si="115"/>
        <v>#DIV/0!</v>
      </c>
      <c r="AS119" s="2" t="e">
        <f t="shared" si="116"/>
        <v>#DIV/0!</v>
      </c>
      <c r="AT119" s="2" t="e">
        <f t="shared" si="117"/>
        <v>#DIV/0!</v>
      </c>
      <c r="AU119" s="2" t="e">
        <f t="shared" si="153"/>
        <v>#DIV/0!</v>
      </c>
      <c r="AV119" s="2" t="e">
        <f t="shared" si="154"/>
        <v>#DIV/0!</v>
      </c>
      <c r="AW119" s="2" t="e">
        <f t="shared" si="155"/>
        <v>#DIV/0!</v>
      </c>
      <c r="BA119" s="8" t="e">
        <f t="shared" si="118"/>
        <v>#DIV/0!</v>
      </c>
      <c r="BB119" s="2" t="e">
        <f t="shared" si="119"/>
        <v>#DIV/0!</v>
      </c>
      <c r="BC119" s="2" t="e">
        <f t="shared" si="120"/>
        <v>#DIV/0!</v>
      </c>
      <c r="BD119" s="2" t="e">
        <f t="shared" si="156"/>
        <v>#DIV/0!</v>
      </c>
      <c r="BE119" s="2" t="e">
        <f t="shared" si="157"/>
        <v>#DIV/0!</v>
      </c>
      <c r="BF119" s="2" t="e">
        <f t="shared" si="158"/>
        <v>#DIV/0!</v>
      </c>
      <c r="BJ119" s="8" t="e">
        <f t="shared" si="121"/>
        <v>#DIV/0!</v>
      </c>
      <c r="BK119" s="2" t="e">
        <f t="shared" si="122"/>
        <v>#DIV/0!</v>
      </c>
      <c r="BL119" s="2" t="e">
        <f t="shared" si="123"/>
        <v>#DIV/0!</v>
      </c>
      <c r="BM119" s="2" t="e">
        <f t="shared" si="159"/>
        <v>#DIV/0!</v>
      </c>
      <c r="BN119" s="2" t="e">
        <f t="shared" si="160"/>
        <v>#DIV/0!</v>
      </c>
      <c r="BO119" s="2" t="e">
        <f t="shared" si="161"/>
        <v>#DIV/0!</v>
      </c>
      <c r="BS119" s="8" t="e">
        <f t="shared" si="124"/>
        <v>#DIV/0!</v>
      </c>
      <c r="BT119" s="2" t="e">
        <f t="shared" si="125"/>
        <v>#DIV/0!</v>
      </c>
      <c r="BU119" s="2" t="e">
        <f t="shared" si="126"/>
        <v>#DIV/0!</v>
      </c>
      <c r="BV119" s="2" t="e">
        <f t="shared" si="162"/>
        <v>#DIV/0!</v>
      </c>
      <c r="BW119" s="2" t="e">
        <f t="shared" si="163"/>
        <v>#DIV/0!</v>
      </c>
      <c r="BX119" s="2" t="e">
        <f t="shared" si="164"/>
        <v>#DIV/0!</v>
      </c>
      <c r="CE119" s="8" t="e">
        <f t="shared" si="127"/>
        <v>#DIV/0!</v>
      </c>
      <c r="CF119" s="2" t="e">
        <f t="shared" si="128"/>
        <v>#DIV/0!</v>
      </c>
      <c r="CG119" s="2" t="e">
        <f t="shared" si="129"/>
        <v>#DIV/0!</v>
      </c>
      <c r="CH119" s="2" t="e">
        <f t="shared" si="165"/>
        <v>#DIV/0!</v>
      </c>
      <c r="CI119" s="2" t="e">
        <f t="shared" si="166"/>
        <v>#DIV/0!</v>
      </c>
      <c r="CJ119" s="2" t="e">
        <f t="shared" si="167"/>
        <v>#DIV/0!</v>
      </c>
      <c r="CQ119" s="8" t="e">
        <f t="shared" si="130"/>
        <v>#DIV/0!</v>
      </c>
      <c r="CR119" s="2" t="e">
        <f t="shared" si="131"/>
        <v>#DIV/0!</v>
      </c>
      <c r="CS119" s="2" t="e">
        <f t="shared" si="132"/>
        <v>#DIV/0!</v>
      </c>
      <c r="CT119" s="2" t="e">
        <f t="shared" si="168"/>
        <v>#DIV/0!</v>
      </c>
      <c r="CU119" s="2" t="e">
        <f t="shared" si="169"/>
        <v>#DIV/0!</v>
      </c>
      <c r="CV119" s="2" t="e">
        <f t="shared" si="170"/>
        <v>#DIV/0!</v>
      </c>
    </row>
    <row r="120" spans="1:100" x14ac:dyDescent="0.2">
      <c r="A120" s="2">
        <f t="shared" si="133"/>
        <v>5.9999999999999956</v>
      </c>
      <c r="B120" s="2">
        <f t="shared" si="134"/>
        <v>2.4787521766663693E-3</v>
      </c>
      <c r="C120" s="2">
        <f t="shared" si="96"/>
        <v>2.4787521766663693E-3</v>
      </c>
      <c r="D120" s="2">
        <f t="shared" si="96"/>
        <v>2.4787521766663693E-3</v>
      </c>
      <c r="E120" s="8">
        <f t="shared" si="135"/>
        <v>2.4787521766663693E-3</v>
      </c>
      <c r="F120" s="2">
        <f t="shared" si="136"/>
        <v>2.4787521766663693E-3</v>
      </c>
      <c r="G120" s="2">
        <f t="shared" si="137"/>
        <v>2.4787521766663693E-3</v>
      </c>
      <c r="K120" s="8" t="e">
        <f t="shared" si="138"/>
        <v>#DIV/0!</v>
      </c>
      <c r="L120" s="2" t="e">
        <f t="shared" si="139"/>
        <v>#DIV/0!</v>
      </c>
      <c r="M120" s="2" t="e">
        <f t="shared" si="140"/>
        <v>#DIV/0!</v>
      </c>
      <c r="Q120" s="8">
        <f t="shared" si="141"/>
        <v>3.6585751917042941E-2</v>
      </c>
      <c r="R120" s="2">
        <f t="shared" si="142"/>
        <v>3.6585751917042941E-2</v>
      </c>
      <c r="S120" s="2">
        <f t="shared" si="143"/>
        <v>3.6585751917042941E-2</v>
      </c>
      <c r="W120" s="8">
        <f t="shared" si="144"/>
        <v>0.1428571428571429</v>
      </c>
      <c r="X120" s="2">
        <f t="shared" si="145"/>
        <v>0.1428571428571429</v>
      </c>
      <c r="Y120" s="2">
        <f t="shared" si="146"/>
        <v>0.1428571428571429</v>
      </c>
      <c r="AC120" s="8">
        <f t="shared" si="147"/>
        <v>2.4787521766663767E-3</v>
      </c>
      <c r="AD120" s="2">
        <f t="shared" si="148"/>
        <v>2.4787521766663767E-3</v>
      </c>
      <c r="AE120" s="2">
        <f t="shared" si="149"/>
        <v>2.4787521766663767E-3</v>
      </c>
      <c r="AI120" s="8">
        <f t="shared" si="150"/>
        <v>3.6585751917042941E-2</v>
      </c>
      <c r="AJ120" s="2">
        <f t="shared" si="151"/>
        <v>3.6585751917042941E-2</v>
      </c>
      <c r="AK120" s="2">
        <f t="shared" si="152"/>
        <v>3.6585751917042941E-2</v>
      </c>
      <c r="AR120" s="8" t="e">
        <f t="shared" si="115"/>
        <v>#DIV/0!</v>
      </c>
      <c r="AS120" s="2" t="e">
        <f t="shared" si="116"/>
        <v>#DIV/0!</v>
      </c>
      <c r="AT120" s="2" t="e">
        <f t="shared" si="117"/>
        <v>#DIV/0!</v>
      </c>
      <c r="AU120" s="2" t="e">
        <f t="shared" si="153"/>
        <v>#DIV/0!</v>
      </c>
      <c r="AV120" s="2" t="e">
        <f t="shared" si="154"/>
        <v>#DIV/0!</v>
      </c>
      <c r="AW120" s="2" t="e">
        <f t="shared" si="155"/>
        <v>#DIV/0!</v>
      </c>
      <c r="BA120" s="8" t="e">
        <f t="shared" si="118"/>
        <v>#DIV/0!</v>
      </c>
      <c r="BB120" s="2" t="e">
        <f t="shared" si="119"/>
        <v>#DIV/0!</v>
      </c>
      <c r="BC120" s="2" t="e">
        <f t="shared" si="120"/>
        <v>#DIV/0!</v>
      </c>
      <c r="BD120" s="2" t="e">
        <f t="shared" si="156"/>
        <v>#DIV/0!</v>
      </c>
      <c r="BE120" s="2" t="e">
        <f t="shared" si="157"/>
        <v>#DIV/0!</v>
      </c>
      <c r="BF120" s="2" t="e">
        <f t="shared" si="158"/>
        <v>#DIV/0!</v>
      </c>
      <c r="BJ120" s="8" t="e">
        <f t="shared" si="121"/>
        <v>#DIV/0!</v>
      </c>
      <c r="BK120" s="2" t="e">
        <f t="shared" si="122"/>
        <v>#DIV/0!</v>
      </c>
      <c r="BL120" s="2" t="e">
        <f t="shared" si="123"/>
        <v>#DIV/0!</v>
      </c>
      <c r="BM120" s="2" t="e">
        <f t="shared" si="159"/>
        <v>#DIV/0!</v>
      </c>
      <c r="BN120" s="2" t="e">
        <f t="shared" si="160"/>
        <v>#DIV/0!</v>
      </c>
      <c r="BO120" s="2" t="e">
        <f t="shared" si="161"/>
        <v>#DIV/0!</v>
      </c>
      <c r="BS120" s="8" t="e">
        <f t="shared" si="124"/>
        <v>#DIV/0!</v>
      </c>
      <c r="BT120" s="2" t="e">
        <f t="shared" si="125"/>
        <v>#DIV/0!</v>
      </c>
      <c r="BU120" s="2" t="e">
        <f t="shared" si="126"/>
        <v>#DIV/0!</v>
      </c>
      <c r="BV120" s="2" t="e">
        <f t="shared" si="162"/>
        <v>#DIV/0!</v>
      </c>
      <c r="BW120" s="2" t="e">
        <f t="shared" si="163"/>
        <v>#DIV/0!</v>
      </c>
      <c r="BX120" s="2" t="e">
        <f t="shared" si="164"/>
        <v>#DIV/0!</v>
      </c>
      <c r="CE120" s="8" t="e">
        <f t="shared" si="127"/>
        <v>#DIV/0!</v>
      </c>
      <c r="CF120" s="2" t="e">
        <f t="shared" si="128"/>
        <v>#DIV/0!</v>
      </c>
      <c r="CG120" s="2" t="e">
        <f t="shared" si="129"/>
        <v>#DIV/0!</v>
      </c>
      <c r="CH120" s="2" t="e">
        <f t="shared" si="165"/>
        <v>#DIV/0!</v>
      </c>
      <c r="CI120" s="2" t="e">
        <f t="shared" si="166"/>
        <v>#DIV/0!</v>
      </c>
      <c r="CJ120" s="2" t="e">
        <f t="shared" si="167"/>
        <v>#DIV/0!</v>
      </c>
      <c r="CQ120" s="8" t="e">
        <f t="shared" si="130"/>
        <v>#DIV/0!</v>
      </c>
      <c r="CR120" s="2" t="e">
        <f t="shared" si="131"/>
        <v>#DIV/0!</v>
      </c>
      <c r="CS120" s="2" t="e">
        <f t="shared" si="132"/>
        <v>#DIV/0!</v>
      </c>
      <c r="CT120" s="2" t="e">
        <f t="shared" si="168"/>
        <v>#DIV/0!</v>
      </c>
      <c r="CU120" s="2" t="e">
        <f t="shared" si="169"/>
        <v>#DIV/0!</v>
      </c>
      <c r="CV120" s="2" t="e">
        <f t="shared" si="170"/>
        <v>#DIV/0!</v>
      </c>
    </row>
    <row r="121" spans="1:100" x14ac:dyDescent="0.2">
      <c r="A121" s="2">
        <f t="shared" si="133"/>
        <v>6.0833333333333286</v>
      </c>
      <c r="B121" s="2">
        <f t="shared" si="134"/>
        <v>2.2805620953921715E-3</v>
      </c>
      <c r="C121" s="2">
        <f t="shared" si="96"/>
        <v>2.2805620953921715E-3</v>
      </c>
      <c r="D121" s="2">
        <f t="shared" si="96"/>
        <v>2.2805620953921715E-3</v>
      </c>
      <c r="E121" s="8">
        <f t="shared" si="135"/>
        <v>2.2805620953921715E-3</v>
      </c>
      <c r="F121" s="2">
        <f t="shared" si="136"/>
        <v>2.2805620953921715E-3</v>
      </c>
      <c r="G121" s="2">
        <f t="shared" si="137"/>
        <v>2.2805620953921715E-3</v>
      </c>
      <c r="K121" s="8" t="e">
        <f t="shared" si="138"/>
        <v>#DIV/0!</v>
      </c>
      <c r="L121" s="2" t="e">
        <f t="shared" si="139"/>
        <v>#DIV/0!</v>
      </c>
      <c r="M121" s="2" t="e">
        <f t="shared" si="140"/>
        <v>#DIV/0!</v>
      </c>
      <c r="Q121" s="8">
        <f t="shared" si="141"/>
        <v>3.5494111189116828E-2</v>
      </c>
      <c r="R121" s="2">
        <f t="shared" si="142"/>
        <v>3.5494111189116828E-2</v>
      </c>
      <c r="S121" s="2">
        <f t="shared" si="143"/>
        <v>3.5494111189116828E-2</v>
      </c>
      <c r="W121" s="8">
        <f t="shared" si="144"/>
        <v>0.14117647058823546</v>
      </c>
      <c r="X121" s="2">
        <f t="shared" si="145"/>
        <v>0.14117647058823546</v>
      </c>
      <c r="Y121" s="2">
        <f t="shared" si="146"/>
        <v>0.14117647058823546</v>
      </c>
      <c r="AC121" s="8">
        <f t="shared" si="147"/>
        <v>2.2805620953921801E-3</v>
      </c>
      <c r="AD121" s="2">
        <f t="shared" si="148"/>
        <v>2.2805620953921801E-3</v>
      </c>
      <c r="AE121" s="2">
        <f t="shared" si="149"/>
        <v>2.2805620953921801E-3</v>
      </c>
      <c r="AI121" s="8">
        <f t="shared" si="150"/>
        <v>3.5494111189116828E-2</v>
      </c>
      <c r="AJ121" s="2">
        <f t="shared" si="151"/>
        <v>3.5494111189116828E-2</v>
      </c>
      <c r="AK121" s="2">
        <f t="shared" si="152"/>
        <v>3.5494111189116828E-2</v>
      </c>
      <c r="AR121" s="8" t="e">
        <f t="shared" si="115"/>
        <v>#DIV/0!</v>
      </c>
      <c r="AS121" s="2" t="e">
        <f t="shared" si="116"/>
        <v>#DIV/0!</v>
      </c>
      <c r="AT121" s="2" t="e">
        <f t="shared" si="117"/>
        <v>#DIV/0!</v>
      </c>
      <c r="AU121" s="2" t="e">
        <f t="shared" si="153"/>
        <v>#DIV/0!</v>
      </c>
      <c r="AV121" s="2" t="e">
        <f t="shared" si="154"/>
        <v>#DIV/0!</v>
      </c>
      <c r="AW121" s="2" t="e">
        <f t="shared" si="155"/>
        <v>#DIV/0!</v>
      </c>
      <c r="BA121" s="8" t="e">
        <f t="shared" si="118"/>
        <v>#DIV/0!</v>
      </c>
      <c r="BB121" s="2" t="e">
        <f t="shared" si="119"/>
        <v>#DIV/0!</v>
      </c>
      <c r="BC121" s="2" t="e">
        <f t="shared" si="120"/>
        <v>#DIV/0!</v>
      </c>
      <c r="BD121" s="2" t="e">
        <f t="shared" si="156"/>
        <v>#DIV/0!</v>
      </c>
      <c r="BE121" s="2" t="e">
        <f t="shared" si="157"/>
        <v>#DIV/0!</v>
      </c>
      <c r="BF121" s="2" t="e">
        <f t="shared" si="158"/>
        <v>#DIV/0!</v>
      </c>
      <c r="BJ121" s="8" t="e">
        <f t="shared" si="121"/>
        <v>#DIV/0!</v>
      </c>
      <c r="BK121" s="2" t="e">
        <f t="shared" si="122"/>
        <v>#DIV/0!</v>
      </c>
      <c r="BL121" s="2" t="e">
        <f t="shared" si="123"/>
        <v>#DIV/0!</v>
      </c>
      <c r="BM121" s="2" t="e">
        <f t="shared" si="159"/>
        <v>#DIV/0!</v>
      </c>
      <c r="BN121" s="2" t="e">
        <f t="shared" si="160"/>
        <v>#DIV/0!</v>
      </c>
      <c r="BO121" s="2" t="e">
        <f t="shared" si="161"/>
        <v>#DIV/0!</v>
      </c>
      <c r="BS121" s="8" t="e">
        <f t="shared" si="124"/>
        <v>#DIV/0!</v>
      </c>
      <c r="BT121" s="2" t="e">
        <f t="shared" si="125"/>
        <v>#DIV/0!</v>
      </c>
      <c r="BU121" s="2" t="e">
        <f t="shared" si="126"/>
        <v>#DIV/0!</v>
      </c>
      <c r="BV121" s="2" t="e">
        <f t="shared" si="162"/>
        <v>#DIV/0!</v>
      </c>
      <c r="BW121" s="2" t="e">
        <f t="shared" si="163"/>
        <v>#DIV/0!</v>
      </c>
      <c r="BX121" s="2" t="e">
        <f t="shared" si="164"/>
        <v>#DIV/0!</v>
      </c>
      <c r="CE121" s="8" t="e">
        <f t="shared" si="127"/>
        <v>#DIV/0!</v>
      </c>
      <c r="CF121" s="2" t="e">
        <f t="shared" si="128"/>
        <v>#DIV/0!</v>
      </c>
      <c r="CG121" s="2" t="e">
        <f t="shared" si="129"/>
        <v>#DIV/0!</v>
      </c>
      <c r="CH121" s="2" t="e">
        <f t="shared" si="165"/>
        <v>#DIV/0!</v>
      </c>
      <c r="CI121" s="2" t="e">
        <f t="shared" si="166"/>
        <v>#DIV/0!</v>
      </c>
      <c r="CJ121" s="2" t="e">
        <f t="shared" si="167"/>
        <v>#DIV/0!</v>
      </c>
      <c r="CQ121" s="8" t="e">
        <f t="shared" si="130"/>
        <v>#DIV/0!</v>
      </c>
      <c r="CR121" s="2" t="e">
        <f t="shared" si="131"/>
        <v>#DIV/0!</v>
      </c>
      <c r="CS121" s="2" t="e">
        <f t="shared" si="132"/>
        <v>#DIV/0!</v>
      </c>
      <c r="CT121" s="2" t="e">
        <f t="shared" si="168"/>
        <v>#DIV/0!</v>
      </c>
      <c r="CU121" s="2" t="e">
        <f t="shared" si="169"/>
        <v>#DIV/0!</v>
      </c>
      <c r="CV121" s="2" t="e">
        <f t="shared" si="170"/>
        <v>#DIV/0!</v>
      </c>
    </row>
    <row r="122" spans="1:100" x14ac:dyDescent="0.2">
      <c r="A122" s="2">
        <f t="shared" si="133"/>
        <v>6.1666666666666616</v>
      </c>
      <c r="B122" s="2">
        <f t="shared" si="134"/>
        <v>2.0982184180809139E-3</v>
      </c>
      <c r="C122" s="2">
        <f t="shared" si="96"/>
        <v>2.0982184180809139E-3</v>
      </c>
      <c r="D122" s="2">
        <f t="shared" si="96"/>
        <v>2.0982184180809139E-3</v>
      </c>
      <c r="E122" s="8">
        <f t="shared" si="135"/>
        <v>2.0982184180809139E-3</v>
      </c>
      <c r="F122" s="2">
        <f t="shared" si="136"/>
        <v>2.0982184180809139E-3</v>
      </c>
      <c r="G122" s="2">
        <f t="shared" si="137"/>
        <v>2.0982184180809139E-3</v>
      </c>
      <c r="K122" s="8" t="e">
        <f t="shared" si="138"/>
        <v>#DIV/0!</v>
      </c>
      <c r="L122" s="2" t="e">
        <f t="shared" si="139"/>
        <v>#DIV/0!</v>
      </c>
      <c r="M122" s="2" t="e">
        <f t="shared" si="140"/>
        <v>#DIV/0!</v>
      </c>
      <c r="Q122" s="8">
        <f t="shared" si="141"/>
        <v>3.4443630409332404E-2</v>
      </c>
      <c r="R122" s="2">
        <f t="shared" si="142"/>
        <v>3.4443630409332404E-2</v>
      </c>
      <c r="S122" s="2">
        <f t="shared" si="143"/>
        <v>3.4443630409332404E-2</v>
      </c>
      <c r="W122" s="8">
        <f t="shared" si="144"/>
        <v>0.13953488372093037</v>
      </c>
      <c r="X122" s="2">
        <f t="shared" si="145"/>
        <v>0.13953488372093037</v>
      </c>
      <c r="Y122" s="2">
        <f t="shared" si="146"/>
        <v>0.13953488372093037</v>
      </c>
      <c r="AC122" s="8">
        <f t="shared" si="147"/>
        <v>2.0982184180808883E-3</v>
      </c>
      <c r="AD122" s="2">
        <f t="shared" si="148"/>
        <v>2.0982184180808883E-3</v>
      </c>
      <c r="AE122" s="2">
        <f t="shared" si="149"/>
        <v>2.0982184180808883E-3</v>
      </c>
      <c r="AI122" s="8">
        <f t="shared" si="150"/>
        <v>3.4443630409332404E-2</v>
      </c>
      <c r="AJ122" s="2">
        <f t="shared" si="151"/>
        <v>3.4443630409332404E-2</v>
      </c>
      <c r="AK122" s="2">
        <f t="shared" si="152"/>
        <v>3.4443630409332404E-2</v>
      </c>
      <c r="AR122" s="8" t="e">
        <f t="shared" si="115"/>
        <v>#DIV/0!</v>
      </c>
      <c r="AS122" s="2" t="e">
        <f t="shared" si="116"/>
        <v>#DIV/0!</v>
      </c>
      <c r="AT122" s="2" t="e">
        <f t="shared" si="117"/>
        <v>#DIV/0!</v>
      </c>
      <c r="AU122" s="2" t="e">
        <f t="shared" si="153"/>
        <v>#DIV/0!</v>
      </c>
      <c r="AV122" s="2" t="e">
        <f t="shared" si="154"/>
        <v>#DIV/0!</v>
      </c>
      <c r="AW122" s="2" t="e">
        <f t="shared" si="155"/>
        <v>#DIV/0!</v>
      </c>
      <c r="BA122" s="8" t="e">
        <f t="shared" si="118"/>
        <v>#DIV/0!</v>
      </c>
      <c r="BB122" s="2" t="e">
        <f t="shared" si="119"/>
        <v>#DIV/0!</v>
      </c>
      <c r="BC122" s="2" t="e">
        <f t="shared" si="120"/>
        <v>#DIV/0!</v>
      </c>
      <c r="BD122" s="2" t="e">
        <f t="shared" si="156"/>
        <v>#DIV/0!</v>
      </c>
      <c r="BE122" s="2" t="e">
        <f t="shared" si="157"/>
        <v>#DIV/0!</v>
      </c>
      <c r="BF122" s="2" t="e">
        <f t="shared" si="158"/>
        <v>#DIV/0!</v>
      </c>
      <c r="BJ122" s="8" t="e">
        <f t="shared" si="121"/>
        <v>#DIV/0!</v>
      </c>
      <c r="BK122" s="2" t="e">
        <f t="shared" si="122"/>
        <v>#DIV/0!</v>
      </c>
      <c r="BL122" s="2" t="e">
        <f t="shared" si="123"/>
        <v>#DIV/0!</v>
      </c>
      <c r="BM122" s="2" t="e">
        <f t="shared" si="159"/>
        <v>#DIV/0!</v>
      </c>
      <c r="BN122" s="2" t="e">
        <f t="shared" si="160"/>
        <v>#DIV/0!</v>
      </c>
      <c r="BO122" s="2" t="e">
        <f t="shared" si="161"/>
        <v>#DIV/0!</v>
      </c>
      <c r="BS122" s="8" t="e">
        <f t="shared" si="124"/>
        <v>#DIV/0!</v>
      </c>
      <c r="BT122" s="2" t="e">
        <f t="shared" si="125"/>
        <v>#DIV/0!</v>
      </c>
      <c r="BU122" s="2" t="e">
        <f t="shared" si="126"/>
        <v>#DIV/0!</v>
      </c>
      <c r="BV122" s="2" t="e">
        <f t="shared" si="162"/>
        <v>#DIV/0!</v>
      </c>
      <c r="BW122" s="2" t="e">
        <f t="shared" si="163"/>
        <v>#DIV/0!</v>
      </c>
      <c r="BX122" s="2" t="e">
        <f t="shared" si="164"/>
        <v>#DIV/0!</v>
      </c>
      <c r="CE122" s="8" t="e">
        <f t="shared" si="127"/>
        <v>#DIV/0!</v>
      </c>
      <c r="CF122" s="2" t="e">
        <f t="shared" si="128"/>
        <v>#DIV/0!</v>
      </c>
      <c r="CG122" s="2" t="e">
        <f t="shared" si="129"/>
        <v>#DIV/0!</v>
      </c>
      <c r="CH122" s="2" t="e">
        <f t="shared" si="165"/>
        <v>#DIV/0!</v>
      </c>
      <c r="CI122" s="2" t="e">
        <f t="shared" si="166"/>
        <v>#DIV/0!</v>
      </c>
      <c r="CJ122" s="2" t="e">
        <f t="shared" si="167"/>
        <v>#DIV/0!</v>
      </c>
      <c r="CQ122" s="8" t="e">
        <f t="shared" si="130"/>
        <v>#DIV/0!</v>
      </c>
      <c r="CR122" s="2" t="e">
        <f t="shared" si="131"/>
        <v>#DIV/0!</v>
      </c>
      <c r="CS122" s="2" t="e">
        <f t="shared" si="132"/>
        <v>#DIV/0!</v>
      </c>
      <c r="CT122" s="2" t="e">
        <f t="shared" si="168"/>
        <v>#DIV/0!</v>
      </c>
      <c r="CU122" s="2" t="e">
        <f t="shared" si="169"/>
        <v>#DIV/0!</v>
      </c>
      <c r="CV122" s="2" t="e">
        <f t="shared" si="170"/>
        <v>#DIV/0!</v>
      </c>
    </row>
    <row r="123" spans="1:100" x14ac:dyDescent="0.2">
      <c r="A123" s="2">
        <f t="shared" si="133"/>
        <v>6.2499999999999947</v>
      </c>
      <c r="B123" s="2">
        <f t="shared" si="134"/>
        <v>1.9304541362277195E-3</v>
      </c>
      <c r="C123" s="2">
        <f t="shared" si="96"/>
        <v>1.9304541362277195E-3</v>
      </c>
      <c r="D123" s="2">
        <f t="shared" si="96"/>
        <v>1.9304541362277195E-3</v>
      </c>
      <c r="E123" s="8">
        <f t="shared" si="135"/>
        <v>1.9304541362277195E-3</v>
      </c>
      <c r="F123" s="2">
        <f t="shared" si="136"/>
        <v>1.9304541362277195E-3</v>
      </c>
      <c r="G123" s="2">
        <f t="shared" si="137"/>
        <v>1.9304541362277195E-3</v>
      </c>
      <c r="K123" s="8" t="e">
        <f t="shared" si="138"/>
        <v>#DIV/0!</v>
      </c>
      <c r="L123" s="2" t="e">
        <f t="shared" si="139"/>
        <v>#DIV/0!</v>
      </c>
      <c r="M123" s="2" t="e">
        <f t="shared" si="140"/>
        <v>#DIV/0!</v>
      </c>
      <c r="Q123" s="8">
        <f t="shared" si="141"/>
        <v>3.3432418408916975E-2</v>
      </c>
      <c r="R123" s="2">
        <f t="shared" si="142"/>
        <v>3.3432418408916975E-2</v>
      </c>
      <c r="S123" s="2">
        <f t="shared" si="143"/>
        <v>3.3432418408916975E-2</v>
      </c>
      <c r="W123" s="8">
        <f t="shared" si="144"/>
        <v>0.13793103448275867</v>
      </c>
      <c r="X123" s="2">
        <f t="shared" si="145"/>
        <v>0.13793103448275867</v>
      </c>
      <c r="Y123" s="2">
        <f t="shared" si="146"/>
        <v>0.13793103448275867</v>
      </c>
      <c r="AC123" s="8">
        <f t="shared" si="147"/>
        <v>1.9304541362277217E-3</v>
      </c>
      <c r="AD123" s="2">
        <f t="shared" si="148"/>
        <v>1.9304541362277217E-3</v>
      </c>
      <c r="AE123" s="2">
        <f t="shared" si="149"/>
        <v>1.9304541362277217E-3</v>
      </c>
      <c r="AI123" s="8">
        <f t="shared" si="150"/>
        <v>3.3432418408916975E-2</v>
      </c>
      <c r="AJ123" s="2">
        <f t="shared" si="151"/>
        <v>3.3432418408916975E-2</v>
      </c>
      <c r="AK123" s="2">
        <f t="shared" si="152"/>
        <v>3.3432418408916975E-2</v>
      </c>
      <c r="AR123" s="8" t="e">
        <f t="shared" si="115"/>
        <v>#DIV/0!</v>
      </c>
      <c r="AS123" s="2" t="e">
        <f t="shared" si="116"/>
        <v>#DIV/0!</v>
      </c>
      <c r="AT123" s="2" t="e">
        <f t="shared" si="117"/>
        <v>#DIV/0!</v>
      </c>
      <c r="AU123" s="2" t="e">
        <f t="shared" si="153"/>
        <v>#DIV/0!</v>
      </c>
      <c r="AV123" s="2" t="e">
        <f t="shared" si="154"/>
        <v>#DIV/0!</v>
      </c>
      <c r="AW123" s="2" t="e">
        <f t="shared" si="155"/>
        <v>#DIV/0!</v>
      </c>
      <c r="BA123" s="8" t="e">
        <f t="shared" si="118"/>
        <v>#DIV/0!</v>
      </c>
      <c r="BB123" s="2" t="e">
        <f t="shared" si="119"/>
        <v>#DIV/0!</v>
      </c>
      <c r="BC123" s="2" t="e">
        <f t="shared" si="120"/>
        <v>#DIV/0!</v>
      </c>
      <c r="BD123" s="2" t="e">
        <f t="shared" si="156"/>
        <v>#DIV/0!</v>
      </c>
      <c r="BE123" s="2" t="e">
        <f t="shared" si="157"/>
        <v>#DIV/0!</v>
      </c>
      <c r="BF123" s="2" t="e">
        <f t="shared" si="158"/>
        <v>#DIV/0!</v>
      </c>
      <c r="BJ123" s="8" t="e">
        <f t="shared" si="121"/>
        <v>#DIV/0!</v>
      </c>
      <c r="BK123" s="2" t="e">
        <f t="shared" si="122"/>
        <v>#DIV/0!</v>
      </c>
      <c r="BL123" s="2" t="e">
        <f t="shared" si="123"/>
        <v>#DIV/0!</v>
      </c>
      <c r="BM123" s="2" t="e">
        <f t="shared" si="159"/>
        <v>#DIV/0!</v>
      </c>
      <c r="BN123" s="2" t="e">
        <f t="shared" si="160"/>
        <v>#DIV/0!</v>
      </c>
      <c r="BO123" s="2" t="e">
        <f t="shared" si="161"/>
        <v>#DIV/0!</v>
      </c>
      <c r="BS123" s="8" t="e">
        <f t="shared" si="124"/>
        <v>#DIV/0!</v>
      </c>
      <c r="BT123" s="2" t="e">
        <f t="shared" si="125"/>
        <v>#DIV/0!</v>
      </c>
      <c r="BU123" s="2" t="e">
        <f t="shared" si="126"/>
        <v>#DIV/0!</v>
      </c>
      <c r="BV123" s="2" t="e">
        <f t="shared" si="162"/>
        <v>#DIV/0!</v>
      </c>
      <c r="BW123" s="2" t="e">
        <f t="shared" si="163"/>
        <v>#DIV/0!</v>
      </c>
      <c r="BX123" s="2" t="e">
        <f t="shared" si="164"/>
        <v>#DIV/0!</v>
      </c>
      <c r="CE123" s="8" t="e">
        <f t="shared" si="127"/>
        <v>#DIV/0!</v>
      </c>
      <c r="CF123" s="2" t="e">
        <f t="shared" si="128"/>
        <v>#DIV/0!</v>
      </c>
      <c r="CG123" s="2" t="e">
        <f t="shared" si="129"/>
        <v>#DIV/0!</v>
      </c>
      <c r="CH123" s="2" t="e">
        <f t="shared" si="165"/>
        <v>#DIV/0!</v>
      </c>
      <c r="CI123" s="2" t="e">
        <f t="shared" si="166"/>
        <v>#DIV/0!</v>
      </c>
      <c r="CJ123" s="2" t="e">
        <f t="shared" si="167"/>
        <v>#DIV/0!</v>
      </c>
      <c r="CQ123" s="8" t="e">
        <f t="shared" si="130"/>
        <v>#DIV/0!</v>
      </c>
      <c r="CR123" s="2" t="e">
        <f t="shared" si="131"/>
        <v>#DIV/0!</v>
      </c>
      <c r="CS123" s="2" t="e">
        <f t="shared" si="132"/>
        <v>#DIV/0!</v>
      </c>
      <c r="CT123" s="2" t="e">
        <f t="shared" si="168"/>
        <v>#DIV/0!</v>
      </c>
      <c r="CU123" s="2" t="e">
        <f t="shared" si="169"/>
        <v>#DIV/0!</v>
      </c>
      <c r="CV123" s="2" t="e">
        <f t="shared" si="170"/>
        <v>#DIV/0!</v>
      </c>
    </row>
    <row r="124" spans="1:100" x14ac:dyDescent="0.2">
      <c r="A124" s="2">
        <f t="shared" si="133"/>
        <v>6.3333333333333277</v>
      </c>
      <c r="B124" s="2">
        <f t="shared" si="134"/>
        <v>1.7761035457343887E-3</v>
      </c>
      <c r="C124" s="2">
        <f t="shared" si="96"/>
        <v>1.7761035457343887E-3</v>
      </c>
      <c r="D124" s="2">
        <f t="shared" si="96"/>
        <v>1.7761035457343887E-3</v>
      </c>
      <c r="E124" s="8">
        <f t="shared" si="135"/>
        <v>1.7761035457343887E-3</v>
      </c>
      <c r="F124" s="2">
        <f t="shared" si="136"/>
        <v>1.7761035457343887E-3</v>
      </c>
      <c r="G124" s="2">
        <f t="shared" si="137"/>
        <v>1.7761035457343887E-3</v>
      </c>
      <c r="K124" s="8" t="e">
        <f t="shared" si="138"/>
        <v>#DIV/0!</v>
      </c>
      <c r="L124" s="2" t="e">
        <f t="shared" si="139"/>
        <v>#DIV/0!</v>
      </c>
      <c r="M124" s="2" t="e">
        <f t="shared" si="140"/>
        <v>#DIV/0!</v>
      </c>
      <c r="Q124" s="8">
        <f t="shared" si="141"/>
        <v>3.2458686920822988E-2</v>
      </c>
      <c r="R124" s="2">
        <f t="shared" si="142"/>
        <v>3.2458686920822988E-2</v>
      </c>
      <c r="S124" s="2">
        <f t="shared" si="143"/>
        <v>3.2458686920822988E-2</v>
      </c>
      <c r="W124" s="8">
        <f t="shared" si="144"/>
        <v>0.13636363636363635</v>
      </c>
      <c r="X124" s="2">
        <f t="shared" si="145"/>
        <v>0.13636363636363635</v>
      </c>
      <c r="Y124" s="2">
        <f t="shared" si="146"/>
        <v>0.13636363636363635</v>
      </c>
      <c r="AC124" s="8">
        <f t="shared" si="147"/>
        <v>1.776103545734431E-3</v>
      </c>
      <c r="AD124" s="2">
        <f t="shared" si="148"/>
        <v>1.776103545734431E-3</v>
      </c>
      <c r="AE124" s="2">
        <f t="shared" si="149"/>
        <v>1.776103545734431E-3</v>
      </c>
      <c r="AI124" s="8">
        <f t="shared" si="150"/>
        <v>3.2458686920822988E-2</v>
      </c>
      <c r="AJ124" s="2">
        <f t="shared" si="151"/>
        <v>3.2458686920822988E-2</v>
      </c>
      <c r="AK124" s="2">
        <f t="shared" si="152"/>
        <v>3.2458686920822988E-2</v>
      </c>
      <c r="AR124" s="8" t="e">
        <f t="shared" si="115"/>
        <v>#DIV/0!</v>
      </c>
      <c r="AS124" s="2" t="e">
        <f t="shared" si="116"/>
        <v>#DIV/0!</v>
      </c>
      <c r="AT124" s="2" t="e">
        <f t="shared" si="117"/>
        <v>#DIV/0!</v>
      </c>
      <c r="AU124" s="2" t="e">
        <f t="shared" si="153"/>
        <v>#DIV/0!</v>
      </c>
      <c r="AV124" s="2" t="e">
        <f t="shared" si="154"/>
        <v>#DIV/0!</v>
      </c>
      <c r="AW124" s="2" t="e">
        <f t="shared" si="155"/>
        <v>#DIV/0!</v>
      </c>
      <c r="BA124" s="8" t="e">
        <f t="shared" si="118"/>
        <v>#DIV/0!</v>
      </c>
      <c r="BB124" s="2" t="e">
        <f t="shared" si="119"/>
        <v>#DIV/0!</v>
      </c>
      <c r="BC124" s="2" t="e">
        <f t="shared" si="120"/>
        <v>#DIV/0!</v>
      </c>
      <c r="BD124" s="2" t="e">
        <f t="shared" si="156"/>
        <v>#DIV/0!</v>
      </c>
      <c r="BE124" s="2" t="e">
        <f t="shared" si="157"/>
        <v>#DIV/0!</v>
      </c>
      <c r="BF124" s="2" t="e">
        <f t="shared" si="158"/>
        <v>#DIV/0!</v>
      </c>
      <c r="BJ124" s="8" t="e">
        <f t="shared" si="121"/>
        <v>#DIV/0!</v>
      </c>
      <c r="BK124" s="2" t="e">
        <f t="shared" si="122"/>
        <v>#DIV/0!</v>
      </c>
      <c r="BL124" s="2" t="e">
        <f t="shared" si="123"/>
        <v>#DIV/0!</v>
      </c>
      <c r="BM124" s="2" t="e">
        <f t="shared" si="159"/>
        <v>#DIV/0!</v>
      </c>
      <c r="BN124" s="2" t="e">
        <f t="shared" si="160"/>
        <v>#DIV/0!</v>
      </c>
      <c r="BO124" s="2" t="e">
        <f t="shared" si="161"/>
        <v>#DIV/0!</v>
      </c>
      <c r="BS124" s="8" t="e">
        <f t="shared" si="124"/>
        <v>#DIV/0!</v>
      </c>
      <c r="BT124" s="2" t="e">
        <f t="shared" si="125"/>
        <v>#DIV/0!</v>
      </c>
      <c r="BU124" s="2" t="e">
        <f t="shared" si="126"/>
        <v>#DIV/0!</v>
      </c>
      <c r="BV124" s="2" t="e">
        <f t="shared" si="162"/>
        <v>#DIV/0!</v>
      </c>
      <c r="BW124" s="2" t="e">
        <f t="shared" si="163"/>
        <v>#DIV/0!</v>
      </c>
      <c r="BX124" s="2" t="e">
        <f t="shared" si="164"/>
        <v>#DIV/0!</v>
      </c>
      <c r="CE124" s="8" t="e">
        <f t="shared" si="127"/>
        <v>#DIV/0!</v>
      </c>
      <c r="CF124" s="2" t="e">
        <f t="shared" si="128"/>
        <v>#DIV/0!</v>
      </c>
      <c r="CG124" s="2" t="e">
        <f t="shared" si="129"/>
        <v>#DIV/0!</v>
      </c>
      <c r="CH124" s="2" t="e">
        <f t="shared" si="165"/>
        <v>#DIV/0!</v>
      </c>
      <c r="CI124" s="2" t="e">
        <f t="shared" si="166"/>
        <v>#DIV/0!</v>
      </c>
      <c r="CJ124" s="2" t="e">
        <f t="shared" si="167"/>
        <v>#DIV/0!</v>
      </c>
      <c r="CQ124" s="8" t="e">
        <f t="shared" si="130"/>
        <v>#DIV/0!</v>
      </c>
      <c r="CR124" s="2" t="e">
        <f t="shared" si="131"/>
        <v>#DIV/0!</v>
      </c>
      <c r="CS124" s="2" t="e">
        <f t="shared" si="132"/>
        <v>#DIV/0!</v>
      </c>
      <c r="CT124" s="2" t="e">
        <f t="shared" si="168"/>
        <v>#DIV/0!</v>
      </c>
      <c r="CU124" s="2" t="e">
        <f t="shared" si="169"/>
        <v>#DIV/0!</v>
      </c>
      <c r="CV124" s="2" t="e">
        <f t="shared" si="170"/>
        <v>#DIV/0!</v>
      </c>
    </row>
    <row r="125" spans="1:100" x14ac:dyDescent="0.2">
      <c r="A125" s="2">
        <f t="shared" si="133"/>
        <v>6.4166666666666607</v>
      </c>
      <c r="B125" s="2">
        <f t="shared" si="134"/>
        <v>1.6340941470562615E-3</v>
      </c>
      <c r="C125" s="2">
        <f t="shared" si="96"/>
        <v>1.6340941470562615E-3</v>
      </c>
      <c r="D125" s="2">
        <f t="shared" si="96"/>
        <v>1.6340941470562615E-3</v>
      </c>
      <c r="E125" s="8">
        <f t="shared" si="135"/>
        <v>1.6340941470562615E-3</v>
      </c>
      <c r="F125" s="2">
        <f t="shared" si="136"/>
        <v>1.6340941470562615E-3</v>
      </c>
      <c r="G125" s="2">
        <f t="shared" si="137"/>
        <v>1.6340941470562615E-3</v>
      </c>
      <c r="K125" s="8" t="e">
        <f t="shared" si="138"/>
        <v>#DIV/0!</v>
      </c>
      <c r="L125" s="2" t="e">
        <f t="shared" si="139"/>
        <v>#DIV/0!</v>
      </c>
      <c r="M125" s="2" t="e">
        <f t="shared" si="140"/>
        <v>#DIV/0!</v>
      </c>
      <c r="Q125" s="8">
        <f t="shared" si="141"/>
        <v>3.1520744098831543E-2</v>
      </c>
      <c r="R125" s="2">
        <f t="shared" si="142"/>
        <v>3.1520744098831543E-2</v>
      </c>
      <c r="S125" s="2">
        <f t="shared" si="143"/>
        <v>3.1520744098831543E-2</v>
      </c>
      <c r="W125" s="8">
        <f t="shared" si="144"/>
        <v>0.1348314606741573</v>
      </c>
      <c r="X125" s="2">
        <f t="shared" si="145"/>
        <v>0.1348314606741573</v>
      </c>
      <c r="Y125" s="2">
        <f t="shared" si="146"/>
        <v>0.1348314606741573</v>
      </c>
      <c r="AC125" s="8">
        <f t="shared" si="147"/>
        <v>1.6340941470562864E-3</v>
      </c>
      <c r="AD125" s="2">
        <f t="shared" si="148"/>
        <v>1.6340941470562864E-3</v>
      </c>
      <c r="AE125" s="2">
        <f t="shared" si="149"/>
        <v>1.6340941470562864E-3</v>
      </c>
      <c r="AI125" s="8">
        <f t="shared" si="150"/>
        <v>3.1520744098831543E-2</v>
      </c>
      <c r="AJ125" s="2">
        <f t="shared" si="151"/>
        <v>3.1520744098831543E-2</v>
      </c>
      <c r="AK125" s="2">
        <f t="shared" si="152"/>
        <v>3.1520744098831543E-2</v>
      </c>
      <c r="AR125" s="8" t="e">
        <f t="shared" si="115"/>
        <v>#DIV/0!</v>
      </c>
      <c r="AS125" s="2" t="e">
        <f t="shared" si="116"/>
        <v>#DIV/0!</v>
      </c>
      <c r="AT125" s="2" t="e">
        <f t="shared" si="117"/>
        <v>#DIV/0!</v>
      </c>
      <c r="AU125" s="2" t="e">
        <f t="shared" si="153"/>
        <v>#DIV/0!</v>
      </c>
      <c r="AV125" s="2" t="e">
        <f t="shared" si="154"/>
        <v>#DIV/0!</v>
      </c>
      <c r="AW125" s="2" t="e">
        <f t="shared" si="155"/>
        <v>#DIV/0!</v>
      </c>
      <c r="BA125" s="8" t="e">
        <f t="shared" si="118"/>
        <v>#DIV/0!</v>
      </c>
      <c r="BB125" s="2" t="e">
        <f t="shared" si="119"/>
        <v>#DIV/0!</v>
      </c>
      <c r="BC125" s="2" t="e">
        <f t="shared" si="120"/>
        <v>#DIV/0!</v>
      </c>
      <c r="BD125" s="2" t="e">
        <f t="shared" si="156"/>
        <v>#DIV/0!</v>
      </c>
      <c r="BE125" s="2" t="e">
        <f t="shared" si="157"/>
        <v>#DIV/0!</v>
      </c>
      <c r="BF125" s="2" t="e">
        <f t="shared" si="158"/>
        <v>#DIV/0!</v>
      </c>
      <c r="BJ125" s="8" t="e">
        <f t="shared" si="121"/>
        <v>#DIV/0!</v>
      </c>
      <c r="BK125" s="2" t="e">
        <f t="shared" si="122"/>
        <v>#DIV/0!</v>
      </c>
      <c r="BL125" s="2" t="e">
        <f t="shared" si="123"/>
        <v>#DIV/0!</v>
      </c>
      <c r="BM125" s="2" t="e">
        <f t="shared" si="159"/>
        <v>#DIV/0!</v>
      </c>
      <c r="BN125" s="2" t="e">
        <f t="shared" si="160"/>
        <v>#DIV/0!</v>
      </c>
      <c r="BO125" s="2" t="e">
        <f t="shared" si="161"/>
        <v>#DIV/0!</v>
      </c>
      <c r="BS125" s="8" t="e">
        <f t="shared" si="124"/>
        <v>#DIV/0!</v>
      </c>
      <c r="BT125" s="2" t="e">
        <f t="shared" si="125"/>
        <v>#DIV/0!</v>
      </c>
      <c r="BU125" s="2" t="e">
        <f t="shared" si="126"/>
        <v>#DIV/0!</v>
      </c>
      <c r="BV125" s="2" t="e">
        <f t="shared" si="162"/>
        <v>#DIV/0!</v>
      </c>
      <c r="BW125" s="2" t="e">
        <f t="shared" si="163"/>
        <v>#DIV/0!</v>
      </c>
      <c r="BX125" s="2" t="e">
        <f t="shared" si="164"/>
        <v>#DIV/0!</v>
      </c>
      <c r="CE125" s="8" t="e">
        <f t="shared" si="127"/>
        <v>#DIV/0!</v>
      </c>
      <c r="CF125" s="2" t="e">
        <f t="shared" si="128"/>
        <v>#DIV/0!</v>
      </c>
      <c r="CG125" s="2" t="e">
        <f t="shared" si="129"/>
        <v>#DIV/0!</v>
      </c>
      <c r="CH125" s="2" t="e">
        <f t="shared" si="165"/>
        <v>#DIV/0!</v>
      </c>
      <c r="CI125" s="2" t="e">
        <f t="shared" si="166"/>
        <v>#DIV/0!</v>
      </c>
      <c r="CJ125" s="2" t="e">
        <f t="shared" si="167"/>
        <v>#DIV/0!</v>
      </c>
      <c r="CQ125" s="8" t="e">
        <f t="shared" si="130"/>
        <v>#DIV/0!</v>
      </c>
      <c r="CR125" s="2" t="e">
        <f t="shared" si="131"/>
        <v>#DIV/0!</v>
      </c>
      <c r="CS125" s="2" t="e">
        <f t="shared" si="132"/>
        <v>#DIV/0!</v>
      </c>
      <c r="CT125" s="2" t="e">
        <f t="shared" si="168"/>
        <v>#DIV/0!</v>
      </c>
      <c r="CU125" s="2" t="e">
        <f t="shared" si="169"/>
        <v>#DIV/0!</v>
      </c>
      <c r="CV125" s="2" t="e">
        <f t="shared" si="170"/>
        <v>#DIV/0!</v>
      </c>
    </row>
    <row r="126" spans="1:100" x14ac:dyDescent="0.2">
      <c r="A126" s="2">
        <f t="shared" si="133"/>
        <v>6.4999999999999938</v>
      </c>
      <c r="B126" s="2">
        <f t="shared" si="134"/>
        <v>1.5034391929775817E-3</v>
      </c>
      <c r="C126" s="2">
        <f t="shared" si="96"/>
        <v>1.5034391929775817E-3</v>
      </c>
      <c r="D126" s="2">
        <f t="shared" si="96"/>
        <v>1.5034391929775817E-3</v>
      </c>
      <c r="E126" s="8">
        <f t="shared" si="135"/>
        <v>1.5034391929775817E-3</v>
      </c>
      <c r="F126" s="2">
        <f t="shared" si="136"/>
        <v>1.5034391929775817E-3</v>
      </c>
      <c r="G126" s="2">
        <f t="shared" si="137"/>
        <v>1.5034391929775817E-3</v>
      </c>
      <c r="K126" s="8" t="e">
        <f t="shared" si="138"/>
        <v>#DIV/0!</v>
      </c>
      <c r="L126" s="2" t="e">
        <f t="shared" si="139"/>
        <v>#DIV/0!</v>
      </c>
      <c r="M126" s="2" t="e">
        <f t="shared" si="140"/>
        <v>#DIV/0!</v>
      </c>
      <c r="Q126" s="8">
        <f t="shared" si="141"/>
        <v>3.0616988500454356E-2</v>
      </c>
      <c r="R126" s="2">
        <f t="shared" si="142"/>
        <v>3.0616988500454356E-2</v>
      </c>
      <c r="S126" s="2">
        <f t="shared" si="143"/>
        <v>3.0616988500454356E-2</v>
      </c>
      <c r="W126" s="8">
        <f t="shared" si="144"/>
        <v>0.13333333333333341</v>
      </c>
      <c r="X126" s="2">
        <f t="shared" si="145"/>
        <v>0.13333333333333341</v>
      </c>
      <c r="Y126" s="2">
        <f t="shared" si="146"/>
        <v>0.13333333333333341</v>
      </c>
      <c r="AC126" s="8">
        <f t="shared" si="147"/>
        <v>1.5034391929775737E-3</v>
      </c>
      <c r="AD126" s="2">
        <f t="shared" si="148"/>
        <v>1.5034391929775737E-3</v>
      </c>
      <c r="AE126" s="2">
        <f t="shared" si="149"/>
        <v>1.5034391929775737E-3</v>
      </c>
      <c r="AI126" s="8">
        <f t="shared" si="150"/>
        <v>3.0616988500454356E-2</v>
      </c>
      <c r="AJ126" s="2">
        <f t="shared" si="151"/>
        <v>3.0616988500454356E-2</v>
      </c>
      <c r="AK126" s="2">
        <f t="shared" si="152"/>
        <v>3.0616988500454356E-2</v>
      </c>
      <c r="AR126" s="8" t="e">
        <f t="shared" si="115"/>
        <v>#DIV/0!</v>
      </c>
      <c r="AS126" s="2" t="e">
        <f t="shared" si="116"/>
        <v>#DIV/0!</v>
      </c>
      <c r="AT126" s="2" t="e">
        <f t="shared" si="117"/>
        <v>#DIV/0!</v>
      </c>
      <c r="AU126" s="2" t="e">
        <f t="shared" si="153"/>
        <v>#DIV/0!</v>
      </c>
      <c r="AV126" s="2" t="e">
        <f t="shared" si="154"/>
        <v>#DIV/0!</v>
      </c>
      <c r="AW126" s="2" t="e">
        <f t="shared" si="155"/>
        <v>#DIV/0!</v>
      </c>
      <c r="BA126" s="8" t="e">
        <f t="shared" si="118"/>
        <v>#DIV/0!</v>
      </c>
      <c r="BB126" s="2" t="e">
        <f t="shared" si="119"/>
        <v>#DIV/0!</v>
      </c>
      <c r="BC126" s="2" t="e">
        <f t="shared" si="120"/>
        <v>#DIV/0!</v>
      </c>
      <c r="BD126" s="2" t="e">
        <f t="shared" si="156"/>
        <v>#DIV/0!</v>
      </c>
      <c r="BE126" s="2" t="e">
        <f t="shared" si="157"/>
        <v>#DIV/0!</v>
      </c>
      <c r="BF126" s="2" t="e">
        <f t="shared" si="158"/>
        <v>#DIV/0!</v>
      </c>
      <c r="BJ126" s="8" t="e">
        <f t="shared" si="121"/>
        <v>#DIV/0!</v>
      </c>
      <c r="BK126" s="2" t="e">
        <f t="shared" si="122"/>
        <v>#DIV/0!</v>
      </c>
      <c r="BL126" s="2" t="e">
        <f t="shared" si="123"/>
        <v>#DIV/0!</v>
      </c>
      <c r="BM126" s="2" t="e">
        <f t="shared" si="159"/>
        <v>#DIV/0!</v>
      </c>
      <c r="BN126" s="2" t="e">
        <f t="shared" si="160"/>
        <v>#DIV/0!</v>
      </c>
      <c r="BO126" s="2" t="e">
        <f t="shared" si="161"/>
        <v>#DIV/0!</v>
      </c>
      <c r="BS126" s="8" t="e">
        <f t="shared" si="124"/>
        <v>#DIV/0!</v>
      </c>
      <c r="BT126" s="2" t="e">
        <f t="shared" si="125"/>
        <v>#DIV/0!</v>
      </c>
      <c r="BU126" s="2" t="e">
        <f t="shared" si="126"/>
        <v>#DIV/0!</v>
      </c>
      <c r="BV126" s="2" t="e">
        <f t="shared" si="162"/>
        <v>#DIV/0!</v>
      </c>
      <c r="BW126" s="2" t="e">
        <f t="shared" si="163"/>
        <v>#DIV/0!</v>
      </c>
      <c r="BX126" s="2" t="e">
        <f t="shared" si="164"/>
        <v>#DIV/0!</v>
      </c>
      <c r="CE126" s="8" t="e">
        <f t="shared" si="127"/>
        <v>#DIV/0!</v>
      </c>
      <c r="CF126" s="2" t="e">
        <f t="shared" si="128"/>
        <v>#DIV/0!</v>
      </c>
      <c r="CG126" s="2" t="e">
        <f t="shared" si="129"/>
        <v>#DIV/0!</v>
      </c>
      <c r="CH126" s="2" t="e">
        <f t="shared" si="165"/>
        <v>#DIV/0!</v>
      </c>
      <c r="CI126" s="2" t="e">
        <f t="shared" si="166"/>
        <v>#DIV/0!</v>
      </c>
      <c r="CJ126" s="2" t="e">
        <f t="shared" si="167"/>
        <v>#DIV/0!</v>
      </c>
      <c r="CQ126" s="8" t="e">
        <f t="shared" si="130"/>
        <v>#DIV/0!</v>
      </c>
      <c r="CR126" s="2" t="e">
        <f t="shared" si="131"/>
        <v>#DIV/0!</v>
      </c>
      <c r="CS126" s="2" t="e">
        <f t="shared" si="132"/>
        <v>#DIV/0!</v>
      </c>
      <c r="CT126" s="2" t="e">
        <f t="shared" si="168"/>
        <v>#DIV/0!</v>
      </c>
      <c r="CU126" s="2" t="e">
        <f t="shared" si="169"/>
        <v>#DIV/0!</v>
      </c>
      <c r="CV126" s="2" t="e">
        <f t="shared" si="170"/>
        <v>#DIV/0!</v>
      </c>
    </row>
    <row r="127" spans="1:100" x14ac:dyDescent="0.2">
      <c r="A127" s="2">
        <f t="shared" si="133"/>
        <v>6.5833333333333268</v>
      </c>
      <c r="B127" s="2">
        <f t="shared" si="134"/>
        <v>1.3832308322338418E-3</v>
      </c>
      <c r="C127" s="2">
        <f t="shared" si="96"/>
        <v>1.3832308322338418E-3</v>
      </c>
      <c r="D127" s="2">
        <f t="shared" si="96"/>
        <v>1.3832308322338418E-3</v>
      </c>
      <c r="E127" s="8">
        <f t="shared" si="135"/>
        <v>1.3832308322338418E-3</v>
      </c>
      <c r="F127" s="2">
        <f t="shared" si="136"/>
        <v>1.3832308322338418E-3</v>
      </c>
      <c r="G127" s="2">
        <f t="shared" si="137"/>
        <v>1.3832308322338418E-3</v>
      </c>
      <c r="K127" s="8" t="e">
        <f t="shared" si="138"/>
        <v>#DIV/0!</v>
      </c>
      <c r="L127" s="2" t="e">
        <f t="shared" si="139"/>
        <v>#DIV/0!</v>
      </c>
      <c r="M127" s="2" t="e">
        <f t="shared" si="140"/>
        <v>#DIV/0!</v>
      </c>
      <c r="Q127" s="8">
        <f t="shared" si="141"/>
        <v>2.9745903496491088E-2</v>
      </c>
      <c r="R127" s="2">
        <f t="shared" si="142"/>
        <v>2.9745903496491088E-2</v>
      </c>
      <c r="S127" s="2">
        <f t="shared" si="143"/>
        <v>2.9745903496491088E-2</v>
      </c>
      <c r="W127" s="8">
        <f t="shared" si="144"/>
        <v>0.13186813186813195</v>
      </c>
      <c r="X127" s="2">
        <f t="shared" si="145"/>
        <v>0.13186813186813195</v>
      </c>
      <c r="Y127" s="2">
        <f t="shared" si="146"/>
        <v>0.13186813186813195</v>
      </c>
      <c r="AC127" s="8">
        <f t="shared" si="147"/>
        <v>1.3832308322337949E-3</v>
      </c>
      <c r="AD127" s="2">
        <f t="shared" si="148"/>
        <v>1.3832308322337949E-3</v>
      </c>
      <c r="AE127" s="2">
        <f t="shared" si="149"/>
        <v>1.3832308322337949E-3</v>
      </c>
      <c r="AI127" s="8">
        <f t="shared" si="150"/>
        <v>2.9745903496491088E-2</v>
      </c>
      <c r="AJ127" s="2">
        <f t="shared" si="151"/>
        <v>2.9745903496491088E-2</v>
      </c>
      <c r="AK127" s="2">
        <f t="shared" si="152"/>
        <v>2.9745903496491088E-2</v>
      </c>
      <c r="AR127" s="8" t="e">
        <f t="shared" si="115"/>
        <v>#DIV/0!</v>
      </c>
      <c r="AS127" s="2" t="e">
        <f t="shared" si="116"/>
        <v>#DIV/0!</v>
      </c>
      <c r="AT127" s="2" t="e">
        <f t="shared" si="117"/>
        <v>#DIV/0!</v>
      </c>
      <c r="AU127" s="2" t="e">
        <f t="shared" si="153"/>
        <v>#DIV/0!</v>
      </c>
      <c r="AV127" s="2" t="e">
        <f t="shared" si="154"/>
        <v>#DIV/0!</v>
      </c>
      <c r="AW127" s="2" t="e">
        <f t="shared" si="155"/>
        <v>#DIV/0!</v>
      </c>
      <c r="BA127" s="8" t="e">
        <f t="shared" si="118"/>
        <v>#DIV/0!</v>
      </c>
      <c r="BB127" s="2" t="e">
        <f t="shared" si="119"/>
        <v>#DIV/0!</v>
      </c>
      <c r="BC127" s="2" t="e">
        <f t="shared" si="120"/>
        <v>#DIV/0!</v>
      </c>
      <c r="BD127" s="2" t="e">
        <f t="shared" si="156"/>
        <v>#DIV/0!</v>
      </c>
      <c r="BE127" s="2" t="e">
        <f t="shared" si="157"/>
        <v>#DIV/0!</v>
      </c>
      <c r="BF127" s="2" t="e">
        <f t="shared" si="158"/>
        <v>#DIV/0!</v>
      </c>
      <c r="BJ127" s="8" t="e">
        <f t="shared" si="121"/>
        <v>#DIV/0!</v>
      </c>
      <c r="BK127" s="2" t="e">
        <f t="shared" si="122"/>
        <v>#DIV/0!</v>
      </c>
      <c r="BL127" s="2" t="e">
        <f t="shared" si="123"/>
        <v>#DIV/0!</v>
      </c>
      <c r="BM127" s="2" t="e">
        <f t="shared" si="159"/>
        <v>#DIV/0!</v>
      </c>
      <c r="BN127" s="2" t="e">
        <f t="shared" si="160"/>
        <v>#DIV/0!</v>
      </c>
      <c r="BO127" s="2" t="e">
        <f t="shared" si="161"/>
        <v>#DIV/0!</v>
      </c>
      <c r="BS127" s="8" t="e">
        <f t="shared" si="124"/>
        <v>#DIV/0!</v>
      </c>
      <c r="BT127" s="2" t="e">
        <f t="shared" si="125"/>
        <v>#DIV/0!</v>
      </c>
      <c r="BU127" s="2" t="e">
        <f t="shared" si="126"/>
        <v>#DIV/0!</v>
      </c>
      <c r="BV127" s="2" t="e">
        <f t="shared" si="162"/>
        <v>#DIV/0!</v>
      </c>
      <c r="BW127" s="2" t="e">
        <f t="shared" si="163"/>
        <v>#DIV/0!</v>
      </c>
      <c r="BX127" s="2" t="e">
        <f t="shared" si="164"/>
        <v>#DIV/0!</v>
      </c>
      <c r="CE127" s="8" t="e">
        <f t="shared" si="127"/>
        <v>#DIV/0!</v>
      </c>
      <c r="CF127" s="2" t="e">
        <f t="shared" si="128"/>
        <v>#DIV/0!</v>
      </c>
      <c r="CG127" s="2" t="e">
        <f t="shared" si="129"/>
        <v>#DIV/0!</v>
      </c>
      <c r="CH127" s="2" t="e">
        <f t="shared" si="165"/>
        <v>#DIV/0!</v>
      </c>
      <c r="CI127" s="2" t="e">
        <f t="shared" si="166"/>
        <v>#DIV/0!</v>
      </c>
      <c r="CJ127" s="2" t="e">
        <f t="shared" si="167"/>
        <v>#DIV/0!</v>
      </c>
      <c r="CQ127" s="8" t="e">
        <f t="shared" si="130"/>
        <v>#DIV/0!</v>
      </c>
      <c r="CR127" s="2" t="e">
        <f t="shared" si="131"/>
        <v>#DIV/0!</v>
      </c>
      <c r="CS127" s="2" t="e">
        <f t="shared" si="132"/>
        <v>#DIV/0!</v>
      </c>
      <c r="CT127" s="2" t="e">
        <f t="shared" si="168"/>
        <v>#DIV/0!</v>
      </c>
      <c r="CU127" s="2" t="e">
        <f t="shared" si="169"/>
        <v>#DIV/0!</v>
      </c>
      <c r="CV127" s="2" t="e">
        <f t="shared" si="170"/>
        <v>#DIV/0!</v>
      </c>
    </row>
    <row r="128" spans="1:100" x14ac:dyDescent="0.2">
      <c r="A128" s="2">
        <f t="shared" si="133"/>
        <v>6.6666666666666599</v>
      </c>
      <c r="B128" s="2">
        <f t="shared" si="134"/>
        <v>1.272633801339817E-3</v>
      </c>
      <c r="C128" s="2">
        <f t="shared" si="96"/>
        <v>1.272633801339817E-3</v>
      </c>
      <c r="D128" s="2">
        <f t="shared" si="96"/>
        <v>1.272633801339817E-3</v>
      </c>
      <c r="E128" s="8">
        <f t="shared" si="135"/>
        <v>1.272633801339817E-3</v>
      </c>
      <c r="F128" s="2">
        <f t="shared" si="136"/>
        <v>1.272633801339817E-3</v>
      </c>
      <c r="G128" s="2">
        <f t="shared" si="137"/>
        <v>1.272633801339817E-3</v>
      </c>
      <c r="K128" s="8" t="e">
        <f t="shared" si="138"/>
        <v>#DIV/0!</v>
      </c>
      <c r="L128" s="2" t="e">
        <f t="shared" si="139"/>
        <v>#DIV/0!</v>
      </c>
      <c r="M128" s="2" t="e">
        <f t="shared" si="140"/>
        <v>#DIV/0!</v>
      </c>
      <c r="Q128" s="8">
        <f t="shared" si="141"/>
        <v>2.8906052073385036E-2</v>
      </c>
      <c r="R128" s="2">
        <f t="shared" si="142"/>
        <v>2.8906052073385036E-2</v>
      </c>
      <c r="S128" s="2">
        <f t="shared" si="143"/>
        <v>2.8906052073385036E-2</v>
      </c>
      <c r="W128" s="8">
        <f t="shared" si="144"/>
        <v>0.13043478260869579</v>
      </c>
      <c r="X128" s="2">
        <f t="shared" si="145"/>
        <v>0.13043478260869579</v>
      </c>
      <c r="Y128" s="2">
        <f t="shared" si="146"/>
        <v>0.13043478260869579</v>
      </c>
      <c r="AC128" s="8">
        <f t="shared" si="147"/>
        <v>1.2726338013397953E-3</v>
      </c>
      <c r="AD128" s="2">
        <f t="shared" si="148"/>
        <v>1.2726338013397953E-3</v>
      </c>
      <c r="AE128" s="2">
        <f t="shared" si="149"/>
        <v>1.2726338013397953E-3</v>
      </c>
      <c r="AI128" s="8">
        <f t="shared" si="150"/>
        <v>2.8906052073385036E-2</v>
      </c>
      <c r="AJ128" s="2">
        <f t="shared" si="151"/>
        <v>2.8906052073385036E-2</v>
      </c>
      <c r="AK128" s="2">
        <f t="shared" si="152"/>
        <v>2.8906052073385036E-2</v>
      </c>
      <c r="AR128" s="8" t="e">
        <f t="shared" si="115"/>
        <v>#DIV/0!</v>
      </c>
      <c r="AS128" s="2" t="e">
        <f t="shared" si="116"/>
        <v>#DIV/0!</v>
      </c>
      <c r="AT128" s="2" t="e">
        <f t="shared" si="117"/>
        <v>#DIV/0!</v>
      </c>
      <c r="AU128" s="2" t="e">
        <f t="shared" si="153"/>
        <v>#DIV/0!</v>
      </c>
      <c r="AV128" s="2" t="e">
        <f t="shared" si="154"/>
        <v>#DIV/0!</v>
      </c>
      <c r="AW128" s="2" t="e">
        <f t="shared" si="155"/>
        <v>#DIV/0!</v>
      </c>
      <c r="BA128" s="8" t="e">
        <f t="shared" si="118"/>
        <v>#DIV/0!</v>
      </c>
      <c r="BB128" s="2" t="e">
        <f t="shared" si="119"/>
        <v>#DIV/0!</v>
      </c>
      <c r="BC128" s="2" t="e">
        <f t="shared" si="120"/>
        <v>#DIV/0!</v>
      </c>
      <c r="BD128" s="2" t="e">
        <f t="shared" si="156"/>
        <v>#DIV/0!</v>
      </c>
      <c r="BE128" s="2" t="e">
        <f t="shared" si="157"/>
        <v>#DIV/0!</v>
      </c>
      <c r="BF128" s="2" t="e">
        <f t="shared" si="158"/>
        <v>#DIV/0!</v>
      </c>
      <c r="BJ128" s="8" t="e">
        <f t="shared" si="121"/>
        <v>#DIV/0!</v>
      </c>
      <c r="BK128" s="2" t="e">
        <f t="shared" si="122"/>
        <v>#DIV/0!</v>
      </c>
      <c r="BL128" s="2" t="e">
        <f t="shared" si="123"/>
        <v>#DIV/0!</v>
      </c>
      <c r="BM128" s="2" t="e">
        <f t="shared" si="159"/>
        <v>#DIV/0!</v>
      </c>
      <c r="BN128" s="2" t="e">
        <f t="shared" si="160"/>
        <v>#DIV/0!</v>
      </c>
      <c r="BO128" s="2" t="e">
        <f t="shared" si="161"/>
        <v>#DIV/0!</v>
      </c>
      <c r="BS128" s="8" t="e">
        <f t="shared" si="124"/>
        <v>#DIV/0!</v>
      </c>
      <c r="BT128" s="2" t="e">
        <f t="shared" si="125"/>
        <v>#DIV/0!</v>
      </c>
      <c r="BU128" s="2" t="e">
        <f t="shared" si="126"/>
        <v>#DIV/0!</v>
      </c>
      <c r="BV128" s="2" t="e">
        <f t="shared" si="162"/>
        <v>#DIV/0!</v>
      </c>
      <c r="BW128" s="2" t="e">
        <f t="shared" si="163"/>
        <v>#DIV/0!</v>
      </c>
      <c r="BX128" s="2" t="e">
        <f t="shared" si="164"/>
        <v>#DIV/0!</v>
      </c>
      <c r="CE128" s="8" t="e">
        <f t="shared" si="127"/>
        <v>#DIV/0!</v>
      </c>
      <c r="CF128" s="2" t="e">
        <f t="shared" si="128"/>
        <v>#DIV/0!</v>
      </c>
      <c r="CG128" s="2" t="e">
        <f t="shared" si="129"/>
        <v>#DIV/0!</v>
      </c>
      <c r="CH128" s="2" t="e">
        <f t="shared" si="165"/>
        <v>#DIV/0!</v>
      </c>
      <c r="CI128" s="2" t="e">
        <f t="shared" si="166"/>
        <v>#DIV/0!</v>
      </c>
      <c r="CJ128" s="2" t="e">
        <f t="shared" si="167"/>
        <v>#DIV/0!</v>
      </c>
      <c r="CQ128" s="8" t="e">
        <f t="shared" si="130"/>
        <v>#DIV/0!</v>
      </c>
      <c r="CR128" s="2" t="e">
        <f t="shared" si="131"/>
        <v>#DIV/0!</v>
      </c>
      <c r="CS128" s="2" t="e">
        <f t="shared" si="132"/>
        <v>#DIV/0!</v>
      </c>
      <c r="CT128" s="2" t="e">
        <f t="shared" si="168"/>
        <v>#DIV/0!</v>
      </c>
      <c r="CU128" s="2" t="e">
        <f t="shared" si="169"/>
        <v>#DIV/0!</v>
      </c>
      <c r="CV128" s="2" t="e">
        <f t="shared" si="170"/>
        <v>#DIV/0!</v>
      </c>
    </row>
    <row r="129" spans="1:100" x14ac:dyDescent="0.2">
      <c r="A129" s="2">
        <f t="shared" si="133"/>
        <v>6.7499999999999929</v>
      </c>
      <c r="B129" s="2">
        <f t="shared" si="134"/>
        <v>1.1708796207911827E-3</v>
      </c>
      <c r="C129" s="2">
        <f t="shared" si="96"/>
        <v>1.1708796207911827E-3</v>
      </c>
      <c r="D129" s="2">
        <f t="shared" si="96"/>
        <v>1.1708796207911827E-3</v>
      </c>
      <c r="E129" s="8">
        <f t="shared" si="135"/>
        <v>1.1708796207911827E-3</v>
      </c>
      <c r="F129" s="2">
        <f t="shared" si="136"/>
        <v>1.1708796207911827E-3</v>
      </c>
      <c r="G129" s="2">
        <f t="shared" si="137"/>
        <v>1.1708796207911827E-3</v>
      </c>
      <c r="K129" s="8" t="e">
        <f t="shared" si="138"/>
        <v>#DIV/0!</v>
      </c>
      <c r="L129" s="2" t="e">
        <f t="shared" si="139"/>
        <v>#DIV/0!</v>
      </c>
      <c r="M129" s="2" t="e">
        <f t="shared" si="140"/>
        <v>#DIV/0!</v>
      </c>
      <c r="Q129" s="8">
        <f t="shared" si="141"/>
        <v>2.8096071997489203E-2</v>
      </c>
      <c r="R129" s="2">
        <f t="shared" si="142"/>
        <v>2.8096071997489203E-2</v>
      </c>
      <c r="S129" s="2">
        <f t="shared" si="143"/>
        <v>2.8096071997489203E-2</v>
      </c>
      <c r="W129" s="8">
        <f t="shared" si="144"/>
        <v>0.12903225806451624</v>
      </c>
      <c r="X129" s="2">
        <f t="shared" si="145"/>
        <v>0.12903225806451624</v>
      </c>
      <c r="Y129" s="2">
        <f t="shared" si="146"/>
        <v>0.12903225806451624</v>
      </c>
      <c r="AC129" s="8">
        <f t="shared" si="147"/>
        <v>1.1708796207912098E-3</v>
      </c>
      <c r="AD129" s="2">
        <f t="shared" si="148"/>
        <v>1.1708796207912098E-3</v>
      </c>
      <c r="AE129" s="2">
        <f t="shared" si="149"/>
        <v>1.1708796207912098E-3</v>
      </c>
      <c r="AI129" s="8">
        <f t="shared" si="150"/>
        <v>2.8096071997489203E-2</v>
      </c>
      <c r="AJ129" s="2">
        <f t="shared" si="151"/>
        <v>2.8096071997489203E-2</v>
      </c>
      <c r="AK129" s="2">
        <f t="shared" si="152"/>
        <v>2.8096071997489203E-2</v>
      </c>
      <c r="AR129" s="8" t="e">
        <f t="shared" si="115"/>
        <v>#DIV/0!</v>
      </c>
      <c r="AS129" s="2" t="e">
        <f t="shared" si="116"/>
        <v>#DIV/0!</v>
      </c>
      <c r="AT129" s="2" t="e">
        <f t="shared" si="117"/>
        <v>#DIV/0!</v>
      </c>
      <c r="AU129" s="2" t="e">
        <f t="shared" si="153"/>
        <v>#DIV/0!</v>
      </c>
      <c r="AV129" s="2" t="e">
        <f t="shared" si="154"/>
        <v>#DIV/0!</v>
      </c>
      <c r="AW129" s="2" t="e">
        <f t="shared" si="155"/>
        <v>#DIV/0!</v>
      </c>
      <c r="BA129" s="8" t="e">
        <f t="shared" si="118"/>
        <v>#DIV/0!</v>
      </c>
      <c r="BB129" s="2" t="e">
        <f t="shared" si="119"/>
        <v>#DIV/0!</v>
      </c>
      <c r="BC129" s="2" t="e">
        <f t="shared" si="120"/>
        <v>#DIV/0!</v>
      </c>
      <c r="BD129" s="2" t="e">
        <f t="shared" si="156"/>
        <v>#DIV/0!</v>
      </c>
      <c r="BE129" s="2" t="e">
        <f t="shared" si="157"/>
        <v>#DIV/0!</v>
      </c>
      <c r="BF129" s="2" t="e">
        <f t="shared" si="158"/>
        <v>#DIV/0!</v>
      </c>
      <c r="BJ129" s="8" t="e">
        <f t="shared" si="121"/>
        <v>#DIV/0!</v>
      </c>
      <c r="BK129" s="2" t="e">
        <f t="shared" si="122"/>
        <v>#DIV/0!</v>
      </c>
      <c r="BL129" s="2" t="e">
        <f t="shared" si="123"/>
        <v>#DIV/0!</v>
      </c>
      <c r="BM129" s="2" t="e">
        <f t="shared" si="159"/>
        <v>#DIV/0!</v>
      </c>
      <c r="BN129" s="2" t="e">
        <f t="shared" si="160"/>
        <v>#DIV/0!</v>
      </c>
      <c r="BO129" s="2" t="e">
        <f t="shared" si="161"/>
        <v>#DIV/0!</v>
      </c>
      <c r="BS129" s="8" t="e">
        <f t="shared" si="124"/>
        <v>#DIV/0!</v>
      </c>
      <c r="BT129" s="2" t="e">
        <f t="shared" si="125"/>
        <v>#DIV/0!</v>
      </c>
      <c r="BU129" s="2" t="e">
        <f t="shared" si="126"/>
        <v>#DIV/0!</v>
      </c>
      <c r="BV129" s="2" t="e">
        <f t="shared" si="162"/>
        <v>#DIV/0!</v>
      </c>
      <c r="BW129" s="2" t="e">
        <f t="shared" si="163"/>
        <v>#DIV/0!</v>
      </c>
      <c r="BX129" s="2" t="e">
        <f t="shared" si="164"/>
        <v>#DIV/0!</v>
      </c>
      <c r="CE129" s="8" t="e">
        <f t="shared" si="127"/>
        <v>#DIV/0!</v>
      </c>
      <c r="CF129" s="2" t="e">
        <f t="shared" si="128"/>
        <v>#DIV/0!</v>
      </c>
      <c r="CG129" s="2" t="e">
        <f t="shared" si="129"/>
        <v>#DIV/0!</v>
      </c>
      <c r="CH129" s="2" t="e">
        <f t="shared" si="165"/>
        <v>#DIV/0!</v>
      </c>
      <c r="CI129" s="2" t="e">
        <f t="shared" si="166"/>
        <v>#DIV/0!</v>
      </c>
      <c r="CJ129" s="2" t="e">
        <f t="shared" si="167"/>
        <v>#DIV/0!</v>
      </c>
      <c r="CQ129" s="8" t="e">
        <f t="shared" si="130"/>
        <v>#DIV/0!</v>
      </c>
      <c r="CR129" s="2" t="e">
        <f t="shared" si="131"/>
        <v>#DIV/0!</v>
      </c>
      <c r="CS129" s="2" t="e">
        <f t="shared" si="132"/>
        <v>#DIV/0!</v>
      </c>
      <c r="CT129" s="2" t="e">
        <f t="shared" si="168"/>
        <v>#DIV/0!</v>
      </c>
      <c r="CU129" s="2" t="e">
        <f t="shared" si="169"/>
        <v>#DIV/0!</v>
      </c>
      <c r="CV129" s="2" t="e">
        <f t="shared" si="170"/>
        <v>#DIV/0!</v>
      </c>
    </row>
    <row r="130" spans="1:100" x14ac:dyDescent="0.2">
      <c r="A130" s="2">
        <f t="shared" si="133"/>
        <v>6.8333333333333259</v>
      </c>
      <c r="B130" s="2">
        <f t="shared" si="134"/>
        <v>1.0772612553122281E-3</v>
      </c>
      <c r="C130" s="2">
        <f t="shared" ref="C130:D145" si="171">EXP(-$A130*$B$43*C$43)</f>
        <v>1.0772612553122281E-3</v>
      </c>
      <c r="D130" s="2">
        <f t="shared" si="171"/>
        <v>1.0772612553122281E-3</v>
      </c>
      <c r="E130" s="8">
        <f t="shared" si="135"/>
        <v>1.0772612553122281E-3</v>
      </c>
      <c r="F130" s="2">
        <f t="shared" si="136"/>
        <v>1.0772612553122281E-3</v>
      </c>
      <c r="G130" s="2">
        <f t="shared" si="137"/>
        <v>1.0772612553122281E-3</v>
      </c>
      <c r="K130" s="8" t="e">
        <f t="shared" si="138"/>
        <v>#DIV/0!</v>
      </c>
      <c r="L130" s="2" t="e">
        <f t="shared" si="139"/>
        <v>#DIV/0!</v>
      </c>
      <c r="M130" s="2" t="e">
        <f t="shared" si="140"/>
        <v>#DIV/0!</v>
      </c>
      <c r="Q130" s="8">
        <f t="shared" si="141"/>
        <v>2.7314671313038219E-2</v>
      </c>
      <c r="R130" s="2">
        <f t="shared" si="142"/>
        <v>2.7314671313038219E-2</v>
      </c>
      <c r="S130" s="2">
        <f t="shared" si="143"/>
        <v>2.7314671313038219E-2</v>
      </c>
      <c r="W130" s="8">
        <f t="shared" si="144"/>
        <v>0.12765957446808518</v>
      </c>
      <c r="X130" s="2">
        <f t="shared" si="145"/>
        <v>0.12765957446808518</v>
      </c>
      <c r="Y130" s="2">
        <f t="shared" si="146"/>
        <v>0.12765957446808518</v>
      </c>
      <c r="AC130" s="8">
        <f t="shared" si="147"/>
        <v>1.0772612553122674E-3</v>
      </c>
      <c r="AD130" s="2">
        <f t="shared" si="148"/>
        <v>1.0772612553122674E-3</v>
      </c>
      <c r="AE130" s="2">
        <f t="shared" si="149"/>
        <v>1.0772612553122674E-3</v>
      </c>
      <c r="AI130" s="8">
        <f t="shared" si="150"/>
        <v>2.7314671313038219E-2</v>
      </c>
      <c r="AJ130" s="2">
        <f t="shared" si="151"/>
        <v>2.7314671313038219E-2</v>
      </c>
      <c r="AK130" s="2">
        <f t="shared" si="152"/>
        <v>2.7314671313038219E-2</v>
      </c>
      <c r="AR130" s="8" t="e">
        <f t="shared" si="115"/>
        <v>#DIV/0!</v>
      </c>
      <c r="AS130" s="2" t="e">
        <f t="shared" si="116"/>
        <v>#DIV/0!</v>
      </c>
      <c r="AT130" s="2" t="e">
        <f t="shared" si="117"/>
        <v>#DIV/0!</v>
      </c>
      <c r="AU130" s="2" t="e">
        <f t="shared" si="153"/>
        <v>#DIV/0!</v>
      </c>
      <c r="AV130" s="2" t="e">
        <f t="shared" si="154"/>
        <v>#DIV/0!</v>
      </c>
      <c r="AW130" s="2" t="e">
        <f t="shared" si="155"/>
        <v>#DIV/0!</v>
      </c>
      <c r="BA130" s="8" t="e">
        <f t="shared" si="118"/>
        <v>#DIV/0!</v>
      </c>
      <c r="BB130" s="2" t="e">
        <f t="shared" si="119"/>
        <v>#DIV/0!</v>
      </c>
      <c r="BC130" s="2" t="e">
        <f t="shared" si="120"/>
        <v>#DIV/0!</v>
      </c>
      <c r="BD130" s="2" t="e">
        <f t="shared" si="156"/>
        <v>#DIV/0!</v>
      </c>
      <c r="BE130" s="2" t="e">
        <f t="shared" si="157"/>
        <v>#DIV/0!</v>
      </c>
      <c r="BF130" s="2" t="e">
        <f t="shared" si="158"/>
        <v>#DIV/0!</v>
      </c>
      <c r="BJ130" s="8" t="e">
        <f t="shared" si="121"/>
        <v>#DIV/0!</v>
      </c>
      <c r="BK130" s="2" t="e">
        <f t="shared" si="122"/>
        <v>#DIV/0!</v>
      </c>
      <c r="BL130" s="2" t="e">
        <f t="shared" si="123"/>
        <v>#DIV/0!</v>
      </c>
      <c r="BM130" s="2" t="e">
        <f t="shared" si="159"/>
        <v>#DIV/0!</v>
      </c>
      <c r="BN130" s="2" t="e">
        <f t="shared" si="160"/>
        <v>#DIV/0!</v>
      </c>
      <c r="BO130" s="2" t="e">
        <f t="shared" si="161"/>
        <v>#DIV/0!</v>
      </c>
      <c r="BS130" s="8" t="e">
        <f t="shared" si="124"/>
        <v>#DIV/0!</v>
      </c>
      <c r="BT130" s="2" t="e">
        <f t="shared" si="125"/>
        <v>#DIV/0!</v>
      </c>
      <c r="BU130" s="2" t="e">
        <f t="shared" si="126"/>
        <v>#DIV/0!</v>
      </c>
      <c r="BV130" s="2" t="e">
        <f t="shared" si="162"/>
        <v>#DIV/0!</v>
      </c>
      <c r="BW130" s="2" t="e">
        <f t="shared" si="163"/>
        <v>#DIV/0!</v>
      </c>
      <c r="BX130" s="2" t="e">
        <f t="shared" si="164"/>
        <v>#DIV/0!</v>
      </c>
      <c r="CE130" s="8" t="e">
        <f t="shared" si="127"/>
        <v>#DIV/0!</v>
      </c>
      <c r="CF130" s="2" t="e">
        <f t="shared" si="128"/>
        <v>#DIV/0!</v>
      </c>
      <c r="CG130" s="2" t="e">
        <f t="shared" si="129"/>
        <v>#DIV/0!</v>
      </c>
      <c r="CH130" s="2" t="e">
        <f t="shared" si="165"/>
        <v>#DIV/0!</v>
      </c>
      <c r="CI130" s="2" t="e">
        <f t="shared" si="166"/>
        <v>#DIV/0!</v>
      </c>
      <c r="CJ130" s="2" t="e">
        <f t="shared" si="167"/>
        <v>#DIV/0!</v>
      </c>
      <c r="CQ130" s="8" t="e">
        <f t="shared" si="130"/>
        <v>#DIV/0!</v>
      </c>
      <c r="CR130" s="2" t="e">
        <f t="shared" si="131"/>
        <v>#DIV/0!</v>
      </c>
      <c r="CS130" s="2" t="e">
        <f t="shared" si="132"/>
        <v>#DIV/0!</v>
      </c>
      <c r="CT130" s="2" t="e">
        <f t="shared" si="168"/>
        <v>#DIV/0!</v>
      </c>
      <c r="CU130" s="2" t="e">
        <f t="shared" si="169"/>
        <v>#DIV/0!</v>
      </c>
      <c r="CV130" s="2" t="e">
        <f t="shared" si="170"/>
        <v>#DIV/0!</v>
      </c>
    </row>
    <row r="131" spans="1:100" x14ac:dyDescent="0.2">
      <c r="A131" s="2">
        <f t="shared" si="133"/>
        <v>6.916666666666659</v>
      </c>
      <c r="B131" s="2">
        <f t="shared" si="134"/>
        <v>9.9112820104658907E-4</v>
      </c>
      <c r="C131" s="2">
        <f t="shared" si="171"/>
        <v>9.9112820104658907E-4</v>
      </c>
      <c r="D131" s="2">
        <f t="shared" si="171"/>
        <v>9.9112820104658907E-4</v>
      </c>
      <c r="E131" s="8">
        <f t="shared" si="135"/>
        <v>9.9112820104658907E-4</v>
      </c>
      <c r="F131" s="2">
        <f t="shared" si="136"/>
        <v>9.9112820104658907E-4</v>
      </c>
      <c r="G131" s="2">
        <f t="shared" si="137"/>
        <v>9.9112820104658907E-4</v>
      </c>
      <c r="K131" s="8" t="e">
        <f t="shared" si="138"/>
        <v>#DIV/0!</v>
      </c>
      <c r="L131" s="2" t="e">
        <f t="shared" si="139"/>
        <v>#DIV/0!</v>
      </c>
      <c r="M131" s="2" t="e">
        <f t="shared" si="140"/>
        <v>#DIV/0!</v>
      </c>
      <c r="Q131" s="8">
        <f t="shared" si="141"/>
        <v>2.6560624148051049E-2</v>
      </c>
      <c r="R131" s="2">
        <f t="shared" si="142"/>
        <v>2.6560624148051049E-2</v>
      </c>
      <c r="S131" s="2">
        <f t="shared" si="143"/>
        <v>2.6560624148051049E-2</v>
      </c>
      <c r="W131" s="8">
        <f t="shared" si="144"/>
        <v>0.12631578947368438</v>
      </c>
      <c r="X131" s="2">
        <f t="shared" si="145"/>
        <v>0.12631578947368438</v>
      </c>
      <c r="Y131" s="2">
        <f t="shared" si="146"/>
        <v>0.12631578947368438</v>
      </c>
      <c r="AC131" s="8">
        <f t="shared" si="147"/>
        <v>9.9112820104663157E-4</v>
      </c>
      <c r="AD131" s="2">
        <f t="shared" si="148"/>
        <v>9.9112820104663157E-4</v>
      </c>
      <c r="AE131" s="2">
        <f t="shared" si="149"/>
        <v>9.9112820104663157E-4</v>
      </c>
      <c r="AI131" s="8">
        <f t="shared" si="150"/>
        <v>2.6560624148051049E-2</v>
      </c>
      <c r="AJ131" s="2">
        <f t="shared" si="151"/>
        <v>2.6560624148051049E-2</v>
      </c>
      <c r="AK131" s="2">
        <f t="shared" si="152"/>
        <v>2.6560624148051049E-2</v>
      </c>
      <c r="AR131" s="8" t="e">
        <f t="shared" si="115"/>
        <v>#DIV/0!</v>
      </c>
      <c r="AS131" s="2" t="e">
        <f t="shared" si="116"/>
        <v>#DIV/0!</v>
      </c>
      <c r="AT131" s="2" t="e">
        <f t="shared" si="117"/>
        <v>#DIV/0!</v>
      </c>
      <c r="AU131" s="2" t="e">
        <f t="shared" si="153"/>
        <v>#DIV/0!</v>
      </c>
      <c r="AV131" s="2" t="e">
        <f t="shared" si="154"/>
        <v>#DIV/0!</v>
      </c>
      <c r="AW131" s="2" t="e">
        <f t="shared" si="155"/>
        <v>#DIV/0!</v>
      </c>
      <c r="BA131" s="8" t="e">
        <f t="shared" si="118"/>
        <v>#DIV/0!</v>
      </c>
      <c r="BB131" s="2" t="e">
        <f t="shared" si="119"/>
        <v>#DIV/0!</v>
      </c>
      <c r="BC131" s="2" t="e">
        <f t="shared" si="120"/>
        <v>#DIV/0!</v>
      </c>
      <c r="BD131" s="2" t="e">
        <f t="shared" si="156"/>
        <v>#DIV/0!</v>
      </c>
      <c r="BE131" s="2" t="e">
        <f t="shared" si="157"/>
        <v>#DIV/0!</v>
      </c>
      <c r="BF131" s="2" t="e">
        <f t="shared" si="158"/>
        <v>#DIV/0!</v>
      </c>
      <c r="BJ131" s="8" t="e">
        <f t="shared" si="121"/>
        <v>#DIV/0!</v>
      </c>
      <c r="BK131" s="2" t="e">
        <f t="shared" si="122"/>
        <v>#DIV/0!</v>
      </c>
      <c r="BL131" s="2" t="e">
        <f t="shared" si="123"/>
        <v>#DIV/0!</v>
      </c>
      <c r="BM131" s="2" t="e">
        <f t="shared" si="159"/>
        <v>#DIV/0!</v>
      </c>
      <c r="BN131" s="2" t="e">
        <f t="shared" si="160"/>
        <v>#DIV/0!</v>
      </c>
      <c r="BO131" s="2" t="e">
        <f t="shared" si="161"/>
        <v>#DIV/0!</v>
      </c>
      <c r="BS131" s="8" t="e">
        <f t="shared" si="124"/>
        <v>#DIV/0!</v>
      </c>
      <c r="BT131" s="2" t="e">
        <f t="shared" si="125"/>
        <v>#DIV/0!</v>
      </c>
      <c r="BU131" s="2" t="e">
        <f t="shared" si="126"/>
        <v>#DIV/0!</v>
      </c>
      <c r="BV131" s="2" t="e">
        <f t="shared" si="162"/>
        <v>#DIV/0!</v>
      </c>
      <c r="BW131" s="2" t="e">
        <f t="shared" si="163"/>
        <v>#DIV/0!</v>
      </c>
      <c r="BX131" s="2" t="e">
        <f t="shared" si="164"/>
        <v>#DIV/0!</v>
      </c>
      <c r="CE131" s="8" t="e">
        <f t="shared" si="127"/>
        <v>#DIV/0!</v>
      </c>
      <c r="CF131" s="2" t="e">
        <f t="shared" si="128"/>
        <v>#DIV/0!</v>
      </c>
      <c r="CG131" s="2" t="e">
        <f t="shared" si="129"/>
        <v>#DIV/0!</v>
      </c>
      <c r="CH131" s="2" t="e">
        <f t="shared" si="165"/>
        <v>#DIV/0!</v>
      </c>
      <c r="CI131" s="2" t="e">
        <f t="shared" si="166"/>
        <v>#DIV/0!</v>
      </c>
      <c r="CJ131" s="2" t="e">
        <f t="shared" si="167"/>
        <v>#DIV/0!</v>
      </c>
      <c r="CQ131" s="8" t="e">
        <f t="shared" si="130"/>
        <v>#DIV/0!</v>
      </c>
      <c r="CR131" s="2" t="e">
        <f t="shared" si="131"/>
        <v>#DIV/0!</v>
      </c>
      <c r="CS131" s="2" t="e">
        <f t="shared" si="132"/>
        <v>#DIV/0!</v>
      </c>
      <c r="CT131" s="2" t="e">
        <f t="shared" si="168"/>
        <v>#DIV/0!</v>
      </c>
      <c r="CU131" s="2" t="e">
        <f t="shared" si="169"/>
        <v>#DIV/0!</v>
      </c>
      <c r="CV131" s="2" t="e">
        <f t="shared" si="170"/>
        <v>#DIV/0!</v>
      </c>
    </row>
    <row r="132" spans="1:100" x14ac:dyDescent="0.2">
      <c r="A132" s="2">
        <f t="shared" si="133"/>
        <v>6.999999999999992</v>
      </c>
      <c r="B132" s="2">
        <f t="shared" si="134"/>
        <v>9.1188196555452351E-4</v>
      </c>
      <c r="C132" s="2">
        <f t="shared" si="171"/>
        <v>9.1188196555452351E-4</v>
      </c>
      <c r="D132" s="2">
        <f t="shared" si="171"/>
        <v>9.1188196555452351E-4</v>
      </c>
      <c r="E132" s="8">
        <f t="shared" si="135"/>
        <v>9.1188196555452351E-4</v>
      </c>
      <c r="F132" s="2">
        <f t="shared" si="136"/>
        <v>9.1188196555452351E-4</v>
      </c>
      <c r="G132" s="2">
        <f t="shared" si="137"/>
        <v>9.1188196555452351E-4</v>
      </c>
      <c r="K132" s="8" t="e">
        <f t="shared" si="138"/>
        <v>#DIV/0!</v>
      </c>
      <c r="L132" s="2" t="e">
        <f t="shared" si="139"/>
        <v>#DIV/0!</v>
      </c>
      <c r="M132" s="2" t="e">
        <f t="shared" si="140"/>
        <v>#DIV/0!</v>
      </c>
      <c r="Q132" s="8">
        <f t="shared" si="141"/>
        <v>2.5832766804592233E-2</v>
      </c>
      <c r="R132" s="2">
        <f t="shared" si="142"/>
        <v>2.5832766804592233E-2</v>
      </c>
      <c r="S132" s="2">
        <f t="shared" si="143"/>
        <v>2.5832766804592233E-2</v>
      </c>
      <c r="W132" s="8">
        <f t="shared" si="144"/>
        <v>0.12500000000000011</v>
      </c>
      <c r="X132" s="2">
        <f t="shared" si="145"/>
        <v>0.12500000000000011</v>
      </c>
      <c r="Y132" s="2">
        <f t="shared" si="146"/>
        <v>0.12500000000000011</v>
      </c>
      <c r="AC132" s="8">
        <f t="shared" si="147"/>
        <v>9.1188196555447298E-4</v>
      </c>
      <c r="AD132" s="2">
        <f t="shared" si="148"/>
        <v>9.1188196555447298E-4</v>
      </c>
      <c r="AE132" s="2">
        <f t="shared" si="149"/>
        <v>9.1188196555447298E-4</v>
      </c>
      <c r="AI132" s="8">
        <f t="shared" si="150"/>
        <v>2.5832766804592233E-2</v>
      </c>
      <c r="AJ132" s="2">
        <f t="shared" si="151"/>
        <v>2.5832766804592233E-2</v>
      </c>
      <c r="AK132" s="2">
        <f t="shared" si="152"/>
        <v>2.5832766804592233E-2</v>
      </c>
      <c r="AR132" s="8" t="e">
        <f t="shared" si="115"/>
        <v>#DIV/0!</v>
      </c>
      <c r="AS132" s="2" t="e">
        <f t="shared" si="116"/>
        <v>#DIV/0!</v>
      </c>
      <c r="AT132" s="2" t="e">
        <f t="shared" si="117"/>
        <v>#DIV/0!</v>
      </c>
      <c r="AU132" s="2" t="e">
        <f t="shared" si="153"/>
        <v>#DIV/0!</v>
      </c>
      <c r="AV132" s="2" t="e">
        <f t="shared" si="154"/>
        <v>#DIV/0!</v>
      </c>
      <c r="AW132" s="2" t="e">
        <f t="shared" si="155"/>
        <v>#DIV/0!</v>
      </c>
      <c r="BA132" s="8" t="e">
        <f t="shared" si="118"/>
        <v>#DIV/0!</v>
      </c>
      <c r="BB132" s="2" t="e">
        <f t="shared" si="119"/>
        <v>#DIV/0!</v>
      </c>
      <c r="BC132" s="2" t="e">
        <f t="shared" si="120"/>
        <v>#DIV/0!</v>
      </c>
      <c r="BD132" s="2" t="e">
        <f t="shared" si="156"/>
        <v>#DIV/0!</v>
      </c>
      <c r="BE132" s="2" t="e">
        <f t="shared" si="157"/>
        <v>#DIV/0!</v>
      </c>
      <c r="BF132" s="2" t="e">
        <f t="shared" si="158"/>
        <v>#DIV/0!</v>
      </c>
      <c r="BJ132" s="8" t="e">
        <f t="shared" si="121"/>
        <v>#DIV/0!</v>
      </c>
      <c r="BK132" s="2" t="e">
        <f t="shared" si="122"/>
        <v>#DIV/0!</v>
      </c>
      <c r="BL132" s="2" t="e">
        <f t="shared" si="123"/>
        <v>#DIV/0!</v>
      </c>
      <c r="BM132" s="2" t="e">
        <f t="shared" si="159"/>
        <v>#DIV/0!</v>
      </c>
      <c r="BN132" s="2" t="e">
        <f t="shared" si="160"/>
        <v>#DIV/0!</v>
      </c>
      <c r="BO132" s="2" t="e">
        <f t="shared" si="161"/>
        <v>#DIV/0!</v>
      </c>
      <c r="BS132" s="8" t="e">
        <f t="shared" si="124"/>
        <v>#DIV/0!</v>
      </c>
      <c r="BT132" s="2" t="e">
        <f t="shared" si="125"/>
        <v>#DIV/0!</v>
      </c>
      <c r="BU132" s="2" t="e">
        <f t="shared" si="126"/>
        <v>#DIV/0!</v>
      </c>
      <c r="BV132" s="2" t="e">
        <f t="shared" si="162"/>
        <v>#DIV/0!</v>
      </c>
      <c r="BW132" s="2" t="e">
        <f t="shared" si="163"/>
        <v>#DIV/0!</v>
      </c>
      <c r="BX132" s="2" t="e">
        <f t="shared" si="164"/>
        <v>#DIV/0!</v>
      </c>
      <c r="CE132" s="8" t="e">
        <f t="shared" si="127"/>
        <v>#DIV/0!</v>
      </c>
      <c r="CF132" s="2" t="e">
        <f t="shared" si="128"/>
        <v>#DIV/0!</v>
      </c>
      <c r="CG132" s="2" t="e">
        <f t="shared" si="129"/>
        <v>#DIV/0!</v>
      </c>
      <c r="CH132" s="2" t="e">
        <f t="shared" si="165"/>
        <v>#DIV/0!</v>
      </c>
      <c r="CI132" s="2" t="e">
        <f t="shared" si="166"/>
        <v>#DIV/0!</v>
      </c>
      <c r="CJ132" s="2" t="e">
        <f t="shared" si="167"/>
        <v>#DIV/0!</v>
      </c>
      <c r="CQ132" s="8" t="e">
        <f t="shared" si="130"/>
        <v>#DIV/0!</v>
      </c>
      <c r="CR132" s="2" t="e">
        <f t="shared" si="131"/>
        <v>#DIV/0!</v>
      </c>
      <c r="CS132" s="2" t="e">
        <f t="shared" si="132"/>
        <v>#DIV/0!</v>
      </c>
      <c r="CT132" s="2" t="e">
        <f t="shared" si="168"/>
        <v>#DIV/0!</v>
      </c>
      <c r="CU132" s="2" t="e">
        <f t="shared" si="169"/>
        <v>#DIV/0!</v>
      </c>
      <c r="CV132" s="2" t="e">
        <f t="shared" si="170"/>
        <v>#DIV/0!</v>
      </c>
    </row>
    <row r="133" spans="1:100" x14ac:dyDescent="0.2">
      <c r="A133" s="2">
        <f t="shared" si="133"/>
        <v>7.083333333333325</v>
      </c>
      <c r="B133" s="2">
        <f t="shared" si="134"/>
        <v>8.3897190920964853E-4</v>
      </c>
      <c r="C133" s="2">
        <f t="shared" si="171"/>
        <v>8.3897190920964853E-4</v>
      </c>
      <c r="D133" s="2">
        <f t="shared" si="171"/>
        <v>8.3897190920964853E-4</v>
      </c>
      <c r="E133" s="8">
        <f t="shared" si="135"/>
        <v>8.3897190920964853E-4</v>
      </c>
      <c r="F133" s="2">
        <f t="shared" si="136"/>
        <v>8.3897190920964853E-4</v>
      </c>
      <c r="G133" s="2">
        <f t="shared" si="137"/>
        <v>8.3897190920964853E-4</v>
      </c>
      <c r="K133" s="8" t="e">
        <f t="shared" si="138"/>
        <v>#DIV/0!</v>
      </c>
      <c r="L133" s="2" t="e">
        <f t="shared" si="139"/>
        <v>#DIV/0!</v>
      </c>
      <c r="M133" s="2" t="e">
        <f t="shared" si="140"/>
        <v>#DIV/0!</v>
      </c>
      <c r="Q133" s="8">
        <f t="shared" si="141"/>
        <v>2.5129994111808607E-2</v>
      </c>
      <c r="R133" s="2">
        <f t="shared" si="142"/>
        <v>2.5129994111808607E-2</v>
      </c>
      <c r="S133" s="2">
        <f t="shared" si="143"/>
        <v>2.5129994111808607E-2</v>
      </c>
      <c r="W133" s="8">
        <f t="shared" si="144"/>
        <v>0.12371134020618568</v>
      </c>
      <c r="X133" s="2">
        <f t="shared" si="145"/>
        <v>0.12371134020618568</v>
      </c>
      <c r="Y133" s="2">
        <f t="shared" si="146"/>
        <v>0.12371134020618568</v>
      </c>
      <c r="AC133" s="8">
        <f t="shared" si="147"/>
        <v>8.3897190920967368E-4</v>
      </c>
      <c r="AD133" s="2">
        <f t="shared" si="148"/>
        <v>8.3897190920967368E-4</v>
      </c>
      <c r="AE133" s="2">
        <f t="shared" si="149"/>
        <v>8.3897190920967368E-4</v>
      </c>
      <c r="AI133" s="8">
        <f t="shared" si="150"/>
        <v>2.5129994111808607E-2</v>
      </c>
      <c r="AJ133" s="2">
        <f t="shared" si="151"/>
        <v>2.5129994111808607E-2</v>
      </c>
      <c r="AK133" s="2">
        <f t="shared" si="152"/>
        <v>2.5129994111808607E-2</v>
      </c>
      <c r="AR133" s="8" t="e">
        <f t="shared" si="115"/>
        <v>#DIV/0!</v>
      </c>
      <c r="AS133" s="2" t="e">
        <f t="shared" si="116"/>
        <v>#DIV/0!</v>
      </c>
      <c r="AT133" s="2" t="e">
        <f t="shared" si="117"/>
        <v>#DIV/0!</v>
      </c>
      <c r="AU133" s="2" t="e">
        <f t="shared" si="153"/>
        <v>#DIV/0!</v>
      </c>
      <c r="AV133" s="2" t="e">
        <f t="shared" si="154"/>
        <v>#DIV/0!</v>
      </c>
      <c r="AW133" s="2" t="e">
        <f t="shared" si="155"/>
        <v>#DIV/0!</v>
      </c>
      <c r="BA133" s="8" t="e">
        <f t="shared" si="118"/>
        <v>#DIV/0!</v>
      </c>
      <c r="BB133" s="2" t="e">
        <f t="shared" si="119"/>
        <v>#DIV/0!</v>
      </c>
      <c r="BC133" s="2" t="e">
        <f t="shared" si="120"/>
        <v>#DIV/0!</v>
      </c>
      <c r="BD133" s="2" t="e">
        <f t="shared" si="156"/>
        <v>#DIV/0!</v>
      </c>
      <c r="BE133" s="2" t="e">
        <f t="shared" si="157"/>
        <v>#DIV/0!</v>
      </c>
      <c r="BF133" s="2" t="e">
        <f t="shared" si="158"/>
        <v>#DIV/0!</v>
      </c>
      <c r="BJ133" s="8" t="e">
        <f t="shared" si="121"/>
        <v>#DIV/0!</v>
      </c>
      <c r="BK133" s="2" t="e">
        <f t="shared" si="122"/>
        <v>#DIV/0!</v>
      </c>
      <c r="BL133" s="2" t="e">
        <f t="shared" si="123"/>
        <v>#DIV/0!</v>
      </c>
      <c r="BM133" s="2" t="e">
        <f t="shared" si="159"/>
        <v>#DIV/0!</v>
      </c>
      <c r="BN133" s="2" t="e">
        <f t="shared" si="160"/>
        <v>#DIV/0!</v>
      </c>
      <c r="BO133" s="2" t="e">
        <f t="shared" si="161"/>
        <v>#DIV/0!</v>
      </c>
      <c r="BS133" s="8" t="e">
        <f t="shared" si="124"/>
        <v>#DIV/0!</v>
      </c>
      <c r="BT133" s="2" t="e">
        <f t="shared" si="125"/>
        <v>#DIV/0!</v>
      </c>
      <c r="BU133" s="2" t="e">
        <f t="shared" si="126"/>
        <v>#DIV/0!</v>
      </c>
      <c r="BV133" s="2" t="e">
        <f t="shared" si="162"/>
        <v>#DIV/0!</v>
      </c>
      <c r="BW133" s="2" t="e">
        <f t="shared" si="163"/>
        <v>#DIV/0!</v>
      </c>
      <c r="BX133" s="2" t="e">
        <f t="shared" si="164"/>
        <v>#DIV/0!</v>
      </c>
      <c r="CE133" s="8" t="e">
        <f t="shared" si="127"/>
        <v>#DIV/0!</v>
      </c>
      <c r="CF133" s="2" t="e">
        <f t="shared" si="128"/>
        <v>#DIV/0!</v>
      </c>
      <c r="CG133" s="2" t="e">
        <f t="shared" si="129"/>
        <v>#DIV/0!</v>
      </c>
      <c r="CH133" s="2" t="e">
        <f t="shared" si="165"/>
        <v>#DIV/0!</v>
      </c>
      <c r="CI133" s="2" t="e">
        <f t="shared" si="166"/>
        <v>#DIV/0!</v>
      </c>
      <c r="CJ133" s="2" t="e">
        <f t="shared" si="167"/>
        <v>#DIV/0!</v>
      </c>
      <c r="CQ133" s="8" t="e">
        <f t="shared" si="130"/>
        <v>#DIV/0!</v>
      </c>
      <c r="CR133" s="2" t="e">
        <f t="shared" si="131"/>
        <v>#DIV/0!</v>
      </c>
      <c r="CS133" s="2" t="e">
        <f t="shared" si="132"/>
        <v>#DIV/0!</v>
      </c>
      <c r="CT133" s="2" t="e">
        <f t="shared" si="168"/>
        <v>#DIV/0!</v>
      </c>
      <c r="CU133" s="2" t="e">
        <f t="shared" si="169"/>
        <v>#DIV/0!</v>
      </c>
      <c r="CV133" s="2" t="e">
        <f t="shared" si="170"/>
        <v>#DIV/0!</v>
      </c>
    </row>
    <row r="134" spans="1:100" x14ac:dyDescent="0.2">
      <c r="A134" s="2">
        <f t="shared" si="133"/>
        <v>7.1666666666666581</v>
      </c>
      <c r="B134" s="2">
        <f t="shared" si="134"/>
        <v>7.71891419099237E-4</v>
      </c>
      <c r="C134" s="2">
        <f t="shared" si="171"/>
        <v>7.71891419099237E-4</v>
      </c>
      <c r="D134" s="2">
        <f t="shared" si="171"/>
        <v>7.71891419099237E-4</v>
      </c>
      <c r="E134" s="8">
        <f t="shared" si="135"/>
        <v>7.71891419099237E-4</v>
      </c>
      <c r="F134" s="2">
        <f t="shared" si="136"/>
        <v>7.71891419099237E-4</v>
      </c>
      <c r="G134" s="2">
        <f t="shared" si="137"/>
        <v>7.71891419099237E-4</v>
      </c>
      <c r="K134" s="8" t="e">
        <f t="shared" si="138"/>
        <v>#DIV/0!</v>
      </c>
      <c r="L134" s="2" t="e">
        <f t="shared" si="139"/>
        <v>#DIV/0!</v>
      </c>
      <c r="M134" s="2" t="e">
        <f t="shared" si="140"/>
        <v>#DIV/0!</v>
      </c>
      <c r="Q134" s="8">
        <f t="shared" si="141"/>
        <v>2.4451256021976842E-2</v>
      </c>
      <c r="R134" s="2">
        <f t="shared" si="142"/>
        <v>2.4451256021976842E-2</v>
      </c>
      <c r="S134" s="2">
        <f t="shared" si="143"/>
        <v>2.4451256021976842E-2</v>
      </c>
      <c r="W134" s="8">
        <f t="shared" si="144"/>
        <v>0.12244897959183687</v>
      </c>
      <c r="X134" s="2">
        <f t="shared" si="145"/>
        <v>0.12244897959183687</v>
      </c>
      <c r="Y134" s="2">
        <f t="shared" si="146"/>
        <v>0.12244897959183687</v>
      </c>
      <c r="AC134" s="8">
        <f t="shared" si="147"/>
        <v>7.7189141909927983E-4</v>
      </c>
      <c r="AD134" s="2">
        <f t="shared" si="148"/>
        <v>7.7189141909927983E-4</v>
      </c>
      <c r="AE134" s="2">
        <f t="shared" si="149"/>
        <v>7.7189141909927983E-4</v>
      </c>
      <c r="AI134" s="8">
        <f t="shared" si="150"/>
        <v>2.4451256021976842E-2</v>
      </c>
      <c r="AJ134" s="2">
        <f t="shared" si="151"/>
        <v>2.4451256021976842E-2</v>
      </c>
      <c r="AK134" s="2">
        <f t="shared" si="152"/>
        <v>2.4451256021976842E-2</v>
      </c>
      <c r="AR134" s="8" t="e">
        <f t="shared" si="115"/>
        <v>#DIV/0!</v>
      </c>
      <c r="AS134" s="2" t="e">
        <f t="shared" si="116"/>
        <v>#DIV/0!</v>
      </c>
      <c r="AT134" s="2" t="e">
        <f t="shared" si="117"/>
        <v>#DIV/0!</v>
      </c>
      <c r="AU134" s="2" t="e">
        <f t="shared" si="153"/>
        <v>#DIV/0!</v>
      </c>
      <c r="AV134" s="2" t="e">
        <f t="shared" si="154"/>
        <v>#DIV/0!</v>
      </c>
      <c r="AW134" s="2" t="e">
        <f t="shared" si="155"/>
        <v>#DIV/0!</v>
      </c>
      <c r="BA134" s="8" t="e">
        <f t="shared" si="118"/>
        <v>#DIV/0!</v>
      </c>
      <c r="BB134" s="2" t="e">
        <f t="shared" si="119"/>
        <v>#DIV/0!</v>
      </c>
      <c r="BC134" s="2" t="e">
        <f t="shared" si="120"/>
        <v>#DIV/0!</v>
      </c>
      <c r="BD134" s="2" t="e">
        <f t="shared" si="156"/>
        <v>#DIV/0!</v>
      </c>
      <c r="BE134" s="2" t="e">
        <f t="shared" si="157"/>
        <v>#DIV/0!</v>
      </c>
      <c r="BF134" s="2" t="e">
        <f t="shared" si="158"/>
        <v>#DIV/0!</v>
      </c>
      <c r="BJ134" s="8" t="e">
        <f t="shared" si="121"/>
        <v>#DIV/0!</v>
      </c>
      <c r="BK134" s="2" t="e">
        <f t="shared" si="122"/>
        <v>#DIV/0!</v>
      </c>
      <c r="BL134" s="2" t="e">
        <f t="shared" si="123"/>
        <v>#DIV/0!</v>
      </c>
      <c r="BM134" s="2" t="e">
        <f t="shared" si="159"/>
        <v>#DIV/0!</v>
      </c>
      <c r="BN134" s="2" t="e">
        <f t="shared" si="160"/>
        <v>#DIV/0!</v>
      </c>
      <c r="BO134" s="2" t="e">
        <f t="shared" si="161"/>
        <v>#DIV/0!</v>
      </c>
      <c r="BS134" s="8" t="e">
        <f t="shared" si="124"/>
        <v>#DIV/0!</v>
      </c>
      <c r="BT134" s="2" t="e">
        <f t="shared" si="125"/>
        <v>#DIV/0!</v>
      </c>
      <c r="BU134" s="2" t="e">
        <f t="shared" si="126"/>
        <v>#DIV/0!</v>
      </c>
      <c r="BV134" s="2" t="e">
        <f t="shared" si="162"/>
        <v>#DIV/0!</v>
      </c>
      <c r="BW134" s="2" t="e">
        <f t="shared" si="163"/>
        <v>#DIV/0!</v>
      </c>
      <c r="BX134" s="2" t="e">
        <f t="shared" si="164"/>
        <v>#DIV/0!</v>
      </c>
      <c r="CE134" s="8" t="e">
        <f t="shared" si="127"/>
        <v>#DIV/0!</v>
      </c>
      <c r="CF134" s="2" t="e">
        <f t="shared" si="128"/>
        <v>#DIV/0!</v>
      </c>
      <c r="CG134" s="2" t="e">
        <f t="shared" si="129"/>
        <v>#DIV/0!</v>
      </c>
      <c r="CH134" s="2" t="e">
        <f t="shared" si="165"/>
        <v>#DIV/0!</v>
      </c>
      <c r="CI134" s="2" t="e">
        <f t="shared" si="166"/>
        <v>#DIV/0!</v>
      </c>
      <c r="CJ134" s="2" t="e">
        <f t="shared" si="167"/>
        <v>#DIV/0!</v>
      </c>
      <c r="CQ134" s="8" t="e">
        <f t="shared" si="130"/>
        <v>#DIV/0!</v>
      </c>
      <c r="CR134" s="2" t="e">
        <f t="shared" si="131"/>
        <v>#DIV/0!</v>
      </c>
      <c r="CS134" s="2" t="e">
        <f t="shared" si="132"/>
        <v>#DIV/0!</v>
      </c>
      <c r="CT134" s="2" t="e">
        <f t="shared" si="168"/>
        <v>#DIV/0!</v>
      </c>
      <c r="CU134" s="2" t="e">
        <f t="shared" si="169"/>
        <v>#DIV/0!</v>
      </c>
      <c r="CV134" s="2" t="e">
        <f t="shared" si="170"/>
        <v>#DIV/0!</v>
      </c>
    </row>
    <row r="135" spans="1:100" x14ac:dyDescent="0.2">
      <c r="A135" s="2">
        <f t="shared" si="133"/>
        <v>7.2499999999999911</v>
      </c>
      <c r="B135" s="2">
        <f t="shared" si="134"/>
        <v>7.1017438884255542E-4</v>
      </c>
      <c r="C135" s="2">
        <f t="shared" si="171"/>
        <v>7.1017438884255542E-4</v>
      </c>
      <c r="D135" s="2">
        <f t="shared" si="171"/>
        <v>7.1017438884255542E-4</v>
      </c>
      <c r="E135" s="8">
        <f t="shared" si="135"/>
        <v>7.1017438884255542E-4</v>
      </c>
      <c r="F135" s="2">
        <f t="shared" si="136"/>
        <v>7.1017438884255542E-4</v>
      </c>
      <c r="G135" s="2">
        <f t="shared" si="137"/>
        <v>7.1017438884255542E-4</v>
      </c>
      <c r="K135" s="8" t="e">
        <f t="shared" si="138"/>
        <v>#DIV/0!</v>
      </c>
      <c r="L135" s="2" t="e">
        <f t="shared" si="139"/>
        <v>#DIV/0!</v>
      </c>
      <c r="M135" s="2" t="e">
        <f t="shared" si="140"/>
        <v>#DIV/0!</v>
      </c>
      <c r="Q135" s="8">
        <f t="shared" si="141"/>
        <v>2.3795554431433441E-2</v>
      </c>
      <c r="R135" s="2">
        <f t="shared" si="142"/>
        <v>2.3795554431433441E-2</v>
      </c>
      <c r="S135" s="2">
        <f t="shared" si="143"/>
        <v>2.3795554431433441E-2</v>
      </c>
      <c r="W135" s="8">
        <f t="shared" si="144"/>
        <v>0.12121212121212144</v>
      </c>
      <c r="X135" s="2">
        <f t="shared" si="145"/>
        <v>0.12121212121212144</v>
      </c>
      <c r="Y135" s="2">
        <f t="shared" si="146"/>
        <v>0.12121212121212144</v>
      </c>
      <c r="AC135" s="8">
        <f t="shared" si="147"/>
        <v>7.1017438884257711E-4</v>
      </c>
      <c r="AD135" s="2">
        <f t="shared" si="148"/>
        <v>7.1017438884257711E-4</v>
      </c>
      <c r="AE135" s="2">
        <f t="shared" si="149"/>
        <v>7.1017438884257711E-4</v>
      </c>
      <c r="AI135" s="8">
        <f t="shared" si="150"/>
        <v>2.3795554431433441E-2</v>
      </c>
      <c r="AJ135" s="2">
        <f t="shared" si="151"/>
        <v>2.3795554431433441E-2</v>
      </c>
      <c r="AK135" s="2">
        <f t="shared" si="152"/>
        <v>2.3795554431433441E-2</v>
      </c>
      <c r="AR135" s="8" t="e">
        <f t="shared" si="115"/>
        <v>#DIV/0!</v>
      </c>
      <c r="AS135" s="2" t="e">
        <f t="shared" si="116"/>
        <v>#DIV/0!</v>
      </c>
      <c r="AT135" s="2" t="e">
        <f t="shared" si="117"/>
        <v>#DIV/0!</v>
      </c>
      <c r="AU135" s="2" t="e">
        <f t="shared" si="153"/>
        <v>#DIV/0!</v>
      </c>
      <c r="AV135" s="2" t="e">
        <f t="shared" si="154"/>
        <v>#DIV/0!</v>
      </c>
      <c r="AW135" s="2" t="e">
        <f t="shared" si="155"/>
        <v>#DIV/0!</v>
      </c>
      <c r="BA135" s="8" t="e">
        <f t="shared" si="118"/>
        <v>#DIV/0!</v>
      </c>
      <c r="BB135" s="2" t="e">
        <f t="shared" si="119"/>
        <v>#DIV/0!</v>
      </c>
      <c r="BC135" s="2" t="e">
        <f t="shared" si="120"/>
        <v>#DIV/0!</v>
      </c>
      <c r="BD135" s="2" t="e">
        <f t="shared" si="156"/>
        <v>#DIV/0!</v>
      </c>
      <c r="BE135" s="2" t="e">
        <f t="shared" si="157"/>
        <v>#DIV/0!</v>
      </c>
      <c r="BF135" s="2" t="e">
        <f t="shared" si="158"/>
        <v>#DIV/0!</v>
      </c>
      <c r="BJ135" s="8" t="e">
        <f t="shared" si="121"/>
        <v>#DIV/0!</v>
      </c>
      <c r="BK135" s="2" t="e">
        <f t="shared" si="122"/>
        <v>#DIV/0!</v>
      </c>
      <c r="BL135" s="2" t="e">
        <f t="shared" si="123"/>
        <v>#DIV/0!</v>
      </c>
      <c r="BM135" s="2" t="e">
        <f t="shared" si="159"/>
        <v>#DIV/0!</v>
      </c>
      <c r="BN135" s="2" t="e">
        <f t="shared" si="160"/>
        <v>#DIV/0!</v>
      </c>
      <c r="BO135" s="2" t="e">
        <f t="shared" si="161"/>
        <v>#DIV/0!</v>
      </c>
      <c r="BS135" s="8" t="e">
        <f t="shared" si="124"/>
        <v>#DIV/0!</v>
      </c>
      <c r="BT135" s="2" t="e">
        <f t="shared" si="125"/>
        <v>#DIV/0!</v>
      </c>
      <c r="BU135" s="2" t="e">
        <f t="shared" si="126"/>
        <v>#DIV/0!</v>
      </c>
      <c r="BV135" s="2" t="e">
        <f t="shared" si="162"/>
        <v>#DIV/0!</v>
      </c>
      <c r="BW135" s="2" t="e">
        <f t="shared" si="163"/>
        <v>#DIV/0!</v>
      </c>
      <c r="BX135" s="2" t="e">
        <f t="shared" si="164"/>
        <v>#DIV/0!</v>
      </c>
      <c r="CE135" s="8" t="e">
        <f t="shared" si="127"/>
        <v>#DIV/0!</v>
      </c>
      <c r="CF135" s="2" t="e">
        <f t="shared" si="128"/>
        <v>#DIV/0!</v>
      </c>
      <c r="CG135" s="2" t="e">
        <f t="shared" si="129"/>
        <v>#DIV/0!</v>
      </c>
      <c r="CH135" s="2" t="e">
        <f t="shared" si="165"/>
        <v>#DIV/0!</v>
      </c>
      <c r="CI135" s="2" t="e">
        <f t="shared" si="166"/>
        <v>#DIV/0!</v>
      </c>
      <c r="CJ135" s="2" t="e">
        <f t="shared" si="167"/>
        <v>#DIV/0!</v>
      </c>
      <c r="CQ135" s="8" t="e">
        <f t="shared" si="130"/>
        <v>#DIV/0!</v>
      </c>
      <c r="CR135" s="2" t="e">
        <f t="shared" si="131"/>
        <v>#DIV/0!</v>
      </c>
      <c r="CS135" s="2" t="e">
        <f t="shared" si="132"/>
        <v>#DIV/0!</v>
      </c>
      <c r="CT135" s="2" t="e">
        <f t="shared" si="168"/>
        <v>#DIV/0!</v>
      </c>
      <c r="CU135" s="2" t="e">
        <f t="shared" si="169"/>
        <v>#DIV/0!</v>
      </c>
      <c r="CV135" s="2" t="e">
        <f t="shared" si="170"/>
        <v>#DIV/0!</v>
      </c>
    </row>
    <row r="136" spans="1:100" x14ac:dyDescent="0.2">
      <c r="A136" s="2">
        <f t="shared" si="133"/>
        <v>7.3333333333333242</v>
      </c>
      <c r="B136" s="2">
        <f t="shared" si="134"/>
        <v>6.5339197986738647E-4</v>
      </c>
      <c r="C136" s="2">
        <f t="shared" si="171"/>
        <v>6.5339197986738647E-4</v>
      </c>
      <c r="D136" s="2">
        <f t="shared" si="171"/>
        <v>6.5339197986738647E-4</v>
      </c>
      <c r="E136" s="8">
        <f t="shared" si="135"/>
        <v>6.5339197986738647E-4</v>
      </c>
      <c r="F136" s="2">
        <f t="shared" si="136"/>
        <v>6.5339197986738647E-4</v>
      </c>
      <c r="G136" s="2">
        <f t="shared" si="137"/>
        <v>6.5339197986738647E-4</v>
      </c>
      <c r="K136" s="8" t="e">
        <f t="shared" si="138"/>
        <v>#DIV/0!</v>
      </c>
      <c r="L136" s="2" t="e">
        <f t="shared" si="139"/>
        <v>#DIV/0!</v>
      </c>
      <c r="M136" s="2" t="e">
        <f t="shared" si="140"/>
        <v>#DIV/0!</v>
      </c>
      <c r="Q136" s="8">
        <f t="shared" si="141"/>
        <v>2.3161940209759813E-2</v>
      </c>
      <c r="R136" s="2">
        <f t="shared" si="142"/>
        <v>2.3161940209759813E-2</v>
      </c>
      <c r="S136" s="2">
        <f t="shared" si="143"/>
        <v>2.3161940209759813E-2</v>
      </c>
      <c r="W136" s="8">
        <f t="shared" si="144"/>
        <v>0.12000000000000011</v>
      </c>
      <c r="X136" s="2">
        <f t="shared" si="145"/>
        <v>0.12000000000000011</v>
      </c>
      <c r="Y136" s="2">
        <f t="shared" si="146"/>
        <v>0.12000000000000011</v>
      </c>
      <c r="AC136" s="8">
        <f t="shared" si="147"/>
        <v>6.5339197986735709E-4</v>
      </c>
      <c r="AD136" s="2">
        <f t="shared" si="148"/>
        <v>6.5339197986735709E-4</v>
      </c>
      <c r="AE136" s="2">
        <f t="shared" si="149"/>
        <v>6.5339197986735709E-4</v>
      </c>
      <c r="AI136" s="8">
        <f t="shared" si="150"/>
        <v>2.3161940209759813E-2</v>
      </c>
      <c r="AJ136" s="2">
        <f t="shared" si="151"/>
        <v>2.3161940209759813E-2</v>
      </c>
      <c r="AK136" s="2">
        <f t="shared" si="152"/>
        <v>2.3161940209759813E-2</v>
      </c>
      <c r="AR136" s="8" t="e">
        <f t="shared" si="115"/>
        <v>#DIV/0!</v>
      </c>
      <c r="AS136" s="2" t="e">
        <f t="shared" si="116"/>
        <v>#DIV/0!</v>
      </c>
      <c r="AT136" s="2" t="e">
        <f t="shared" si="117"/>
        <v>#DIV/0!</v>
      </c>
      <c r="AU136" s="2" t="e">
        <f t="shared" si="153"/>
        <v>#DIV/0!</v>
      </c>
      <c r="AV136" s="2" t="e">
        <f t="shared" si="154"/>
        <v>#DIV/0!</v>
      </c>
      <c r="AW136" s="2" t="e">
        <f t="shared" si="155"/>
        <v>#DIV/0!</v>
      </c>
      <c r="BA136" s="8" t="e">
        <f t="shared" si="118"/>
        <v>#DIV/0!</v>
      </c>
      <c r="BB136" s="2" t="e">
        <f t="shared" si="119"/>
        <v>#DIV/0!</v>
      </c>
      <c r="BC136" s="2" t="e">
        <f t="shared" si="120"/>
        <v>#DIV/0!</v>
      </c>
      <c r="BD136" s="2" t="e">
        <f t="shared" si="156"/>
        <v>#DIV/0!</v>
      </c>
      <c r="BE136" s="2" t="e">
        <f t="shared" si="157"/>
        <v>#DIV/0!</v>
      </c>
      <c r="BF136" s="2" t="e">
        <f t="shared" si="158"/>
        <v>#DIV/0!</v>
      </c>
      <c r="BJ136" s="8" t="e">
        <f t="shared" si="121"/>
        <v>#DIV/0!</v>
      </c>
      <c r="BK136" s="2" t="e">
        <f t="shared" si="122"/>
        <v>#DIV/0!</v>
      </c>
      <c r="BL136" s="2" t="e">
        <f t="shared" si="123"/>
        <v>#DIV/0!</v>
      </c>
      <c r="BM136" s="2" t="e">
        <f t="shared" si="159"/>
        <v>#DIV/0!</v>
      </c>
      <c r="BN136" s="2" t="e">
        <f t="shared" si="160"/>
        <v>#DIV/0!</v>
      </c>
      <c r="BO136" s="2" t="e">
        <f t="shared" si="161"/>
        <v>#DIV/0!</v>
      </c>
      <c r="BS136" s="8" t="e">
        <f t="shared" si="124"/>
        <v>#DIV/0!</v>
      </c>
      <c r="BT136" s="2" t="e">
        <f t="shared" si="125"/>
        <v>#DIV/0!</v>
      </c>
      <c r="BU136" s="2" t="e">
        <f t="shared" si="126"/>
        <v>#DIV/0!</v>
      </c>
      <c r="BV136" s="2" t="e">
        <f t="shared" si="162"/>
        <v>#DIV/0!</v>
      </c>
      <c r="BW136" s="2" t="e">
        <f t="shared" si="163"/>
        <v>#DIV/0!</v>
      </c>
      <c r="BX136" s="2" t="e">
        <f t="shared" si="164"/>
        <v>#DIV/0!</v>
      </c>
      <c r="CE136" s="8" t="e">
        <f t="shared" si="127"/>
        <v>#DIV/0!</v>
      </c>
      <c r="CF136" s="2" t="e">
        <f t="shared" si="128"/>
        <v>#DIV/0!</v>
      </c>
      <c r="CG136" s="2" t="e">
        <f t="shared" si="129"/>
        <v>#DIV/0!</v>
      </c>
      <c r="CH136" s="2" t="e">
        <f t="shared" si="165"/>
        <v>#DIV/0!</v>
      </c>
      <c r="CI136" s="2" t="e">
        <f t="shared" si="166"/>
        <v>#DIV/0!</v>
      </c>
      <c r="CJ136" s="2" t="e">
        <f t="shared" si="167"/>
        <v>#DIV/0!</v>
      </c>
      <c r="CQ136" s="8" t="e">
        <f t="shared" si="130"/>
        <v>#DIV/0!</v>
      </c>
      <c r="CR136" s="2" t="e">
        <f t="shared" si="131"/>
        <v>#DIV/0!</v>
      </c>
      <c r="CS136" s="2" t="e">
        <f t="shared" si="132"/>
        <v>#DIV/0!</v>
      </c>
      <c r="CT136" s="2" t="e">
        <f t="shared" si="168"/>
        <v>#DIV/0!</v>
      </c>
      <c r="CU136" s="2" t="e">
        <f t="shared" si="169"/>
        <v>#DIV/0!</v>
      </c>
      <c r="CV136" s="2" t="e">
        <f t="shared" si="170"/>
        <v>#DIV/0!</v>
      </c>
    </row>
    <row r="137" spans="1:100" x14ac:dyDescent="0.2">
      <c r="A137" s="2">
        <f t="shared" si="133"/>
        <v>7.4166666666666572</v>
      </c>
      <c r="B137" s="2">
        <f t="shared" si="134"/>
        <v>6.0114964164058435E-4</v>
      </c>
      <c r="C137" s="2">
        <f t="shared" si="171"/>
        <v>6.0114964164058435E-4</v>
      </c>
      <c r="D137" s="2">
        <f t="shared" si="171"/>
        <v>6.0114964164058435E-4</v>
      </c>
      <c r="E137" s="8">
        <f t="shared" si="135"/>
        <v>6.0114964164058435E-4</v>
      </c>
      <c r="F137" s="2">
        <f t="shared" si="136"/>
        <v>6.0114964164058435E-4</v>
      </c>
      <c r="G137" s="2">
        <f t="shared" si="137"/>
        <v>6.0114964164058435E-4</v>
      </c>
      <c r="K137" s="8" t="e">
        <f t="shared" si="138"/>
        <v>#DIV/0!</v>
      </c>
      <c r="L137" s="2" t="e">
        <f t="shared" si="139"/>
        <v>#DIV/0!</v>
      </c>
      <c r="M137" s="2" t="e">
        <f t="shared" si="140"/>
        <v>#DIV/0!</v>
      </c>
      <c r="Q137" s="8">
        <f t="shared" si="141"/>
        <v>2.2549510421949082E-2</v>
      </c>
      <c r="R137" s="2">
        <f t="shared" si="142"/>
        <v>2.2549510421949082E-2</v>
      </c>
      <c r="S137" s="2">
        <f t="shared" si="143"/>
        <v>2.2549510421949082E-2</v>
      </c>
      <c r="W137" s="8">
        <f t="shared" si="144"/>
        <v>0.11881188118811892</v>
      </c>
      <c r="X137" s="2">
        <f t="shared" si="145"/>
        <v>0.11881188118811892</v>
      </c>
      <c r="Y137" s="2">
        <f t="shared" si="146"/>
        <v>0.11881188118811892</v>
      </c>
      <c r="AC137" s="8">
        <f t="shared" si="147"/>
        <v>6.0114964164059703E-4</v>
      </c>
      <c r="AD137" s="2">
        <f t="shared" si="148"/>
        <v>6.0114964164059703E-4</v>
      </c>
      <c r="AE137" s="2">
        <f t="shared" si="149"/>
        <v>6.0114964164059703E-4</v>
      </c>
      <c r="AI137" s="8">
        <f t="shared" si="150"/>
        <v>2.2549510421949082E-2</v>
      </c>
      <c r="AJ137" s="2">
        <f t="shared" si="151"/>
        <v>2.2549510421949082E-2</v>
      </c>
      <c r="AK137" s="2">
        <f t="shared" si="152"/>
        <v>2.2549510421949082E-2</v>
      </c>
      <c r="AR137" s="8" t="e">
        <f t="shared" si="115"/>
        <v>#DIV/0!</v>
      </c>
      <c r="AS137" s="2" t="e">
        <f t="shared" si="116"/>
        <v>#DIV/0!</v>
      </c>
      <c r="AT137" s="2" t="e">
        <f t="shared" si="117"/>
        <v>#DIV/0!</v>
      </c>
      <c r="AU137" s="2" t="e">
        <f t="shared" si="153"/>
        <v>#DIV/0!</v>
      </c>
      <c r="AV137" s="2" t="e">
        <f t="shared" si="154"/>
        <v>#DIV/0!</v>
      </c>
      <c r="AW137" s="2" t="e">
        <f t="shared" si="155"/>
        <v>#DIV/0!</v>
      </c>
      <c r="BA137" s="8" t="e">
        <f t="shared" si="118"/>
        <v>#DIV/0!</v>
      </c>
      <c r="BB137" s="2" t="e">
        <f t="shared" si="119"/>
        <v>#DIV/0!</v>
      </c>
      <c r="BC137" s="2" t="e">
        <f t="shared" si="120"/>
        <v>#DIV/0!</v>
      </c>
      <c r="BD137" s="2" t="e">
        <f t="shared" si="156"/>
        <v>#DIV/0!</v>
      </c>
      <c r="BE137" s="2" t="e">
        <f t="shared" si="157"/>
        <v>#DIV/0!</v>
      </c>
      <c r="BF137" s="2" t="e">
        <f t="shared" si="158"/>
        <v>#DIV/0!</v>
      </c>
      <c r="BJ137" s="8" t="e">
        <f t="shared" si="121"/>
        <v>#DIV/0!</v>
      </c>
      <c r="BK137" s="2" t="e">
        <f t="shared" si="122"/>
        <v>#DIV/0!</v>
      </c>
      <c r="BL137" s="2" t="e">
        <f t="shared" si="123"/>
        <v>#DIV/0!</v>
      </c>
      <c r="BM137" s="2" t="e">
        <f t="shared" si="159"/>
        <v>#DIV/0!</v>
      </c>
      <c r="BN137" s="2" t="e">
        <f t="shared" si="160"/>
        <v>#DIV/0!</v>
      </c>
      <c r="BO137" s="2" t="e">
        <f t="shared" si="161"/>
        <v>#DIV/0!</v>
      </c>
      <c r="BS137" s="8" t="e">
        <f t="shared" si="124"/>
        <v>#DIV/0!</v>
      </c>
      <c r="BT137" s="2" t="e">
        <f t="shared" si="125"/>
        <v>#DIV/0!</v>
      </c>
      <c r="BU137" s="2" t="e">
        <f t="shared" si="126"/>
        <v>#DIV/0!</v>
      </c>
      <c r="BV137" s="2" t="e">
        <f t="shared" si="162"/>
        <v>#DIV/0!</v>
      </c>
      <c r="BW137" s="2" t="e">
        <f t="shared" si="163"/>
        <v>#DIV/0!</v>
      </c>
      <c r="BX137" s="2" t="e">
        <f t="shared" si="164"/>
        <v>#DIV/0!</v>
      </c>
      <c r="CE137" s="8" t="e">
        <f t="shared" si="127"/>
        <v>#DIV/0!</v>
      </c>
      <c r="CF137" s="2" t="e">
        <f t="shared" si="128"/>
        <v>#DIV/0!</v>
      </c>
      <c r="CG137" s="2" t="e">
        <f t="shared" si="129"/>
        <v>#DIV/0!</v>
      </c>
      <c r="CH137" s="2" t="e">
        <f t="shared" si="165"/>
        <v>#DIV/0!</v>
      </c>
      <c r="CI137" s="2" t="e">
        <f t="shared" si="166"/>
        <v>#DIV/0!</v>
      </c>
      <c r="CJ137" s="2" t="e">
        <f t="shared" si="167"/>
        <v>#DIV/0!</v>
      </c>
      <c r="CQ137" s="8" t="e">
        <f t="shared" si="130"/>
        <v>#DIV/0!</v>
      </c>
      <c r="CR137" s="2" t="e">
        <f t="shared" si="131"/>
        <v>#DIV/0!</v>
      </c>
      <c r="CS137" s="2" t="e">
        <f t="shared" si="132"/>
        <v>#DIV/0!</v>
      </c>
      <c r="CT137" s="2" t="e">
        <f t="shared" si="168"/>
        <v>#DIV/0!</v>
      </c>
      <c r="CU137" s="2" t="e">
        <f t="shared" si="169"/>
        <v>#DIV/0!</v>
      </c>
      <c r="CV137" s="2" t="e">
        <f t="shared" si="170"/>
        <v>#DIV/0!</v>
      </c>
    </row>
    <row r="138" spans="1:100" x14ac:dyDescent="0.2">
      <c r="A138" s="2">
        <f t="shared" si="133"/>
        <v>7.4999999999999902</v>
      </c>
      <c r="B138" s="2">
        <f t="shared" si="134"/>
        <v>5.5308437014783894E-4</v>
      </c>
      <c r="C138" s="2">
        <f t="shared" si="171"/>
        <v>5.5308437014783894E-4</v>
      </c>
      <c r="D138" s="2">
        <f t="shared" si="171"/>
        <v>5.5308437014783894E-4</v>
      </c>
      <c r="E138" s="8">
        <f t="shared" si="135"/>
        <v>5.5308437014783894E-4</v>
      </c>
      <c r="F138" s="2">
        <f t="shared" si="136"/>
        <v>5.5308437014783894E-4</v>
      </c>
      <c r="G138" s="2">
        <f t="shared" si="137"/>
        <v>5.5308437014783894E-4</v>
      </c>
      <c r="K138" s="8" t="e">
        <f t="shared" si="138"/>
        <v>#DIV/0!</v>
      </c>
      <c r="L138" s="2" t="e">
        <f t="shared" si="139"/>
        <v>#DIV/0!</v>
      </c>
      <c r="M138" s="2" t="e">
        <f t="shared" si="140"/>
        <v>#DIV/0!</v>
      </c>
      <c r="Q138" s="8">
        <f t="shared" si="141"/>
        <v>2.1957405729526314E-2</v>
      </c>
      <c r="R138" s="2">
        <f t="shared" si="142"/>
        <v>2.1957405729526314E-2</v>
      </c>
      <c r="S138" s="2">
        <f t="shared" si="143"/>
        <v>2.1957405729526314E-2</v>
      </c>
      <c r="W138" s="8">
        <f t="shared" si="144"/>
        <v>0.11764705882352955</v>
      </c>
      <c r="X138" s="2">
        <f t="shared" si="145"/>
        <v>0.11764705882352955</v>
      </c>
      <c r="Y138" s="2">
        <f t="shared" si="146"/>
        <v>0.11764705882352955</v>
      </c>
      <c r="AC138" s="8">
        <f t="shared" si="147"/>
        <v>5.530843701478938E-4</v>
      </c>
      <c r="AD138" s="2">
        <f t="shared" si="148"/>
        <v>5.530843701478938E-4</v>
      </c>
      <c r="AE138" s="2">
        <f t="shared" si="149"/>
        <v>5.530843701478938E-4</v>
      </c>
      <c r="AI138" s="8">
        <f t="shared" si="150"/>
        <v>2.1957405729526314E-2</v>
      </c>
      <c r="AJ138" s="2">
        <f t="shared" si="151"/>
        <v>2.1957405729526314E-2</v>
      </c>
      <c r="AK138" s="2">
        <f t="shared" si="152"/>
        <v>2.1957405729526314E-2</v>
      </c>
      <c r="AR138" s="8" t="e">
        <f t="shared" si="115"/>
        <v>#DIV/0!</v>
      </c>
      <c r="AS138" s="2" t="e">
        <f t="shared" si="116"/>
        <v>#DIV/0!</v>
      </c>
      <c r="AT138" s="2" t="e">
        <f t="shared" si="117"/>
        <v>#DIV/0!</v>
      </c>
      <c r="AU138" s="2" t="e">
        <f t="shared" si="153"/>
        <v>#DIV/0!</v>
      </c>
      <c r="AV138" s="2" t="e">
        <f t="shared" si="154"/>
        <v>#DIV/0!</v>
      </c>
      <c r="AW138" s="2" t="e">
        <f t="shared" si="155"/>
        <v>#DIV/0!</v>
      </c>
      <c r="BA138" s="8" t="e">
        <f t="shared" si="118"/>
        <v>#DIV/0!</v>
      </c>
      <c r="BB138" s="2" t="e">
        <f t="shared" si="119"/>
        <v>#DIV/0!</v>
      </c>
      <c r="BC138" s="2" t="e">
        <f t="shared" si="120"/>
        <v>#DIV/0!</v>
      </c>
      <c r="BD138" s="2" t="e">
        <f t="shared" si="156"/>
        <v>#DIV/0!</v>
      </c>
      <c r="BE138" s="2" t="e">
        <f t="shared" si="157"/>
        <v>#DIV/0!</v>
      </c>
      <c r="BF138" s="2" t="e">
        <f t="shared" si="158"/>
        <v>#DIV/0!</v>
      </c>
      <c r="BJ138" s="8" t="e">
        <f t="shared" si="121"/>
        <v>#DIV/0!</v>
      </c>
      <c r="BK138" s="2" t="e">
        <f t="shared" si="122"/>
        <v>#DIV/0!</v>
      </c>
      <c r="BL138" s="2" t="e">
        <f t="shared" si="123"/>
        <v>#DIV/0!</v>
      </c>
      <c r="BM138" s="2" t="e">
        <f t="shared" si="159"/>
        <v>#DIV/0!</v>
      </c>
      <c r="BN138" s="2" t="e">
        <f t="shared" si="160"/>
        <v>#DIV/0!</v>
      </c>
      <c r="BO138" s="2" t="e">
        <f t="shared" si="161"/>
        <v>#DIV/0!</v>
      </c>
      <c r="BS138" s="8" t="e">
        <f t="shared" si="124"/>
        <v>#DIV/0!</v>
      </c>
      <c r="BT138" s="2" t="e">
        <f t="shared" si="125"/>
        <v>#DIV/0!</v>
      </c>
      <c r="BU138" s="2" t="e">
        <f t="shared" si="126"/>
        <v>#DIV/0!</v>
      </c>
      <c r="BV138" s="2" t="e">
        <f t="shared" si="162"/>
        <v>#DIV/0!</v>
      </c>
      <c r="BW138" s="2" t="e">
        <f t="shared" si="163"/>
        <v>#DIV/0!</v>
      </c>
      <c r="BX138" s="2" t="e">
        <f t="shared" si="164"/>
        <v>#DIV/0!</v>
      </c>
      <c r="CE138" s="8" t="e">
        <f t="shared" si="127"/>
        <v>#DIV/0!</v>
      </c>
      <c r="CF138" s="2" t="e">
        <f t="shared" si="128"/>
        <v>#DIV/0!</v>
      </c>
      <c r="CG138" s="2" t="e">
        <f t="shared" si="129"/>
        <v>#DIV/0!</v>
      </c>
      <c r="CH138" s="2" t="e">
        <f t="shared" si="165"/>
        <v>#DIV/0!</v>
      </c>
      <c r="CI138" s="2" t="e">
        <f t="shared" si="166"/>
        <v>#DIV/0!</v>
      </c>
      <c r="CJ138" s="2" t="e">
        <f t="shared" si="167"/>
        <v>#DIV/0!</v>
      </c>
      <c r="CQ138" s="8" t="e">
        <f t="shared" si="130"/>
        <v>#DIV/0!</v>
      </c>
      <c r="CR138" s="2" t="e">
        <f t="shared" si="131"/>
        <v>#DIV/0!</v>
      </c>
      <c r="CS138" s="2" t="e">
        <f t="shared" si="132"/>
        <v>#DIV/0!</v>
      </c>
      <c r="CT138" s="2" t="e">
        <f t="shared" si="168"/>
        <v>#DIV/0!</v>
      </c>
      <c r="CU138" s="2" t="e">
        <f t="shared" si="169"/>
        <v>#DIV/0!</v>
      </c>
      <c r="CV138" s="2" t="e">
        <f t="shared" si="170"/>
        <v>#DIV/0!</v>
      </c>
    </row>
    <row r="139" spans="1:100" x14ac:dyDescent="0.2">
      <c r="A139" s="2">
        <f t="shared" si="133"/>
        <v>7.5833333333333233</v>
      </c>
      <c r="B139" s="2">
        <f t="shared" si="134"/>
        <v>5.0886218557329665E-4</v>
      </c>
      <c r="C139" s="2">
        <f t="shared" si="171"/>
        <v>5.0886218557329665E-4</v>
      </c>
      <c r="D139" s="2">
        <f t="shared" si="171"/>
        <v>5.0886218557329665E-4</v>
      </c>
      <c r="E139" s="8">
        <f t="shared" si="135"/>
        <v>5.0886218557329665E-4</v>
      </c>
      <c r="F139" s="2">
        <f t="shared" si="136"/>
        <v>5.0886218557329665E-4</v>
      </c>
      <c r="G139" s="2">
        <f t="shared" si="137"/>
        <v>5.0886218557329665E-4</v>
      </c>
      <c r="K139" s="8" t="e">
        <f t="shared" si="138"/>
        <v>#DIV/0!</v>
      </c>
      <c r="L139" s="2" t="e">
        <f t="shared" si="139"/>
        <v>#DIV/0!</v>
      </c>
      <c r="M139" s="2" t="e">
        <f t="shared" si="140"/>
        <v>#DIV/0!</v>
      </c>
      <c r="Q139" s="8">
        <f t="shared" si="141"/>
        <v>2.1384807957713803E-2</v>
      </c>
      <c r="R139" s="2">
        <f t="shared" si="142"/>
        <v>2.1384807957713803E-2</v>
      </c>
      <c r="S139" s="2">
        <f t="shared" si="143"/>
        <v>2.1384807957713803E-2</v>
      </c>
      <c r="W139" s="8">
        <f t="shared" si="144"/>
        <v>0.11650485436893221</v>
      </c>
      <c r="X139" s="2">
        <f t="shared" si="145"/>
        <v>0.11650485436893221</v>
      </c>
      <c r="Y139" s="2">
        <f t="shared" si="146"/>
        <v>0.11650485436893221</v>
      </c>
      <c r="AC139" s="8">
        <f t="shared" si="147"/>
        <v>5.0886218557333329E-4</v>
      </c>
      <c r="AD139" s="2">
        <f t="shared" si="148"/>
        <v>5.0886218557333329E-4</v>
      </c>
      <c r="AE139" s="2">
        <f t="shared" si="149"/>
        <v>5.0886218557333329E-4</v>
      </c>
      <c r="AI139" s="8">
        <f t="shared" si="150"/>
        <v>2.1384807957713803E-2</v>
      </c>
      <c r="AJ139" s="2">
        <f t="shared" si="151"/>
        <v>2.1384807957713803E-2</v>
      </c>
      <c r="AK139" s="2">
        <f t="shared" si="152"/>
        <v>2.1384807957713803E-2</v>
      </c>
      <c r="AR139" s="8" t="e">
        <f t="shared" si="115"/>
        <v>#DIV/0!</v>
      </c>
      <c r="AS139" s="2" t="e">
        <f t="shared" si="116"/>
        <v>#DIV/0!</v>
      </c>
      <c r="AT139" s="2" t="e">
        <f t="shared" si="117"/>
        <v>#DIV/0!</v>
      </c>
      <c r="AU139" s="2" t="e">
        <f t="shared" si="153"/>
        <v>#DIV/0!</v>
      </c>
      <c r="AV139" s="2" t="e">
        <f t="shared" si="154"/>
        <v>#DIV/0!</v>
      </c>
      <c r="AW139" s="2" t="e">
        <f t="shared" si="155"/>
        <v>#DIV/0!</v>
      </c>
      <c r="BA139" s="8" t="e">
        <f t="shared" si="118"/>
        <v>#DIV/0!</v>
      </c>
      <c r="BB139" s="2" t="e">
        <f t="shared" si="119"/>
        <v>#DIV/0!</v>
      </c>
      <c r="BC139" s="2" t="e">
        <f t="shared" si="120"/>
        <v>#DIV/0!</v>
      </c>
      <c r="BD139" s="2" t="e">
        <f t="shared" si="156"/>
        <v>#DIV/0!</v>
      </c>
      <c r="BE139" s="2" t="e">
        <f t="shared" si="157"/>
        <v>#DIV/0!</v>
      </c>
      <c r="BF139" s="2" t="e">
        <f t="shared" si="158"/>
        <v>#DIV/0!</v>
      </c>
      <c r="BJ139" s="8" t="e">
        <f t="shared" si="121"/>
        <v>#DIV/0!</v>
      </c>
      <c r="BK139" s="2" t="e">
        <f t="shared" si="122"/>
        <v>#DIV/0!</v>
      </c>
      <c r="BL139" s="2" t="e">
        <f t="shared" si="123"/>
        <v>#DIV/0!</v>
      </c>
      <c r="BM139" s="2" t="e">
        <f t="shared" si="159"/>
        <v>#DIV/0!</v>
      </c>
      <c r="BN139" s="2" t="e">
        <f t="shared" si="160"/>
        <v>#DIV/0!</v>
      </c>
      <c r="BO139" s="2" t="e">
        <f t="shared" si="161"/>
        <v>#DIV/0!</v>
      </c>
      <c r="BS139" s="8" t="e">
        <f t="shared" si="124"/>
        <v>#DIV/0!</v>
      </c>
      <c r="BT139" s="2" t="e">
        <f t="shared" si="125"/>
        <v>#DIV/0!</v>
      </c>
      <c r="BU139" s="2" t="e">
        <f t="shared" si="126"/>
        <v>#DIV/0!</v>
      </c>
      <c r="BV139" s="2" t="e">
        <f t="shared" si="162"/>
        <v>#DIV/0!</v>
      </c>
      <c r="BW139" s="2" t="e">
        <f t="shared" si="163"/>
        <v>#DIV/0!</v>
      </c>
      <c r="BX139" s="2" t="e">
        <f t="shared" si="164"/>
        <v>#DIV/0!</v>
      </c>
      <c r="CE139" s="8" t="e">
        <f t="shared" si="127"/>
        <v>#DIV/0!</v>
      </c>
      <c r="CF139" s="2" t="e">
        <f t="shared" si="128"/>
        <v>#DIV/0!</v>
      </c>
      <c r="CG139" s="2" t="e">
        <f t="shared" si="129"/>
        <v>#DIV/0!</v>
      </c>
      <c r="CH139" s="2" t="e">
        <f t="shared" si="165"/>
        <v>#DIV/0!</v>
      </c>
      <c r="CI139" s="2" t="e">
        <f t="shared" si="166"/>
        <v>#DIV/0!</v>
      </c>
      <c r="CJ139" s="2" t="e">
        <f t="shared" si="167"/>
        <v>#DIV/0!</v>
      </c>
      <c r="CQ139" s="8" t="e">
        <f t="shared" si="130"/>
        <v>#DIV/0!</v>
      </c>
      <c r="CR139" s="2" t="e">
        <f t="shared" si="131"/>
        <v>#DIV/0!</v>
      </c>
      <c r="CS139" s="2" t="e">
        <f t="shared" si="132"/>
        <v>#DIV/0!</v>
      </c>
      <c r="CT139" s="2" t="e">
        <f t="shared" si="168"/>
        <v>#DIV/0!</v>
      </c>
      <c r="CU139" s="2" t="e">
        <f t="shared" si="169"/>
        <v>#DIV/0!</v>
      </c>
      <c r="CV139" s="2" t="e">
        <f t="shared" si="170"/>
        <v>#DIV/0!</v>
      </c>
    </row>
    <row r="140" spans="1:100" x14ac:dyDescent="0.2">
      <c r="A140" s="2">
        <f t="shared" si="133"/>
        <v>7.6666666666666563</v>
      </c>
      <c r="B140" s="2">
        <f t="shared" si="134"/>
        <v>4.6817581165278186E-4</v>
      </c>
      <c r="C140" s="2">
        <f t="shared" si="171"/>
        <v>4.6817581165278186E-4</v>
      </c>
      <c r="D140" s="2">
        <f t="shared" si="171"/>
        <v>4.6817581165278186E-4</v>
      </c>
      <c r="E140" s="8">
        <f t="shared" si="135"/>
        <v>4.6817581165278186E-4</v>
      </c>
      <c r="F140" s="2">
        <f t="shared" si="136"/>
        <v>4.6817581165278186E-4</v>
      </c>
      <c r="G140" s="2">
        <f t="shared" si="137"/>
        <v>4.6817581165278186E-4</v>
      </c>
      <c r="K140" s="8" t="e">
        <f t="shared" si="138"/>
        <v>#DIV/0!</v>
      </c>
      <c r="L140" s="2" t="e">
        <f t="shared" si="139"/>
        <v>#DIV/0!</v>
      </c>
      <c r="M140" s="2" t="e">
        <f t="shared" si="140"/>
        <v>#DIV/0!</v>
      </c>
      <c r="Q140" s="8">
        <f t="shared" si="141"/>
        <v>2.0830937816769701E-2</v>
      </c>
      <c r="R140" s="2">
        <f t="shared" si="142"/>
        <v>2.0830937816769701E-2</v>
      </c>
      <c r="S140" s="2">
        <f t="shared" si="143"/>
        <v>2.0830937816769701E-2</v>
      </c>
      <c r="W140" s="8">
        <f t="shared" si="144"/>
        <v>0.11538461538461553</v>
      </c>
      <c r="X140" s="2">
        <f t="shared" si="145"/>
        <v>0.11538461538461553</v>
      </c>
      <c r="Y140" s="2">
        <f t="shared" si="146"/>
        <v>0.11538461538461553</v>
      </c>
      <c r="AC140" s="8">
        <f t="shared" si="147"/>
        <v>4.6817581165281563E-4</v>
      </c>
      <c r="AD140" s="2">
        <f t="shared" si="148"/>
        <v>4.6817581165281563E-4</v>
      </c>
      <c r="AE140" s="2">
        <f t="shared" si="149"/>
        <v>4.6817581165281563E-4</v>
      </c>
      <c r="AI140" s="8">
        <f t="shared" si="150"/>
        <v>2.0830937816769701E-2</v>
      </c>
      <c r="AJ140" s="2">
        <f t="shared" si="151"/>
        <v>2.0830937816769701E-2</v>
      </c>
      <c r="AK140" s="2">
        <f t="shared" si="152"/>
        <v>2.0830937816769701E-2</v>
      </c>
      <c r="AR140" s="8" t="e">
        <f t="shared" si="115"/>
        <v>#DIV/0!</v>
      </c>
      <c r="AS140" s="2" t="e">
        <f t="shared" si="116"/>
        <v>#DIV/0!</v>
      </c>
      <c r="AT140" s="2" t="e">
        <f t="shared" si="117"/>
        <v>#DIV/0!</v>
      </c>
      <c r="AU140" s="2" t="e">
        <f t="shared" si="153"/>
        <v>#DIV/0!</v>
      </c>
      <c r="AV140" s="2" t="e">
        <f t="shared" si="154"/>
        <v>#DIV/0!</v>
      </c>
      <c r="AW140" s="2" t="e">
        <f t="shared" si="155"/>
        <v>#DIV/0!</v>
      </c>
      <c r="BA140" s="8" t="e">
        <f t="shared" si="118"/>
        <v>#DIV/0!</v>
      </c>
      <c r="BB140" s="2" t="e">
        <f t="shared" si="119"/>
        <v>#DIV/0!</v>
      </c>
      <c r="BC140" s="2" t="e">
        <f t="shared" si="120"/>
        <v>#DIV/0!</v>
      </c>
      <c r="BD140" s="2" t="e">
        <f t="shared" si="156"/>
        <v>#DIV/0!</v>
      </c>
      <c r="BE140" s="2" t="e">
        <f t="shared" si="157"/>
        <v>#DIV/0!</v>
      </c>
      <c r="BF140" s="2" t="e">
        <f t="shared" si="158"/>
        <v>#DIV/0!</v>
      </c>
      <c r="BJ140" s="8" t="e">
        <f t="shared" si="121"/>
        <v>#DIV/0!</v>
      </c>
      <c r="BK140" s="2" t="e">
        <f t="shared" si="122"/>
        <v>#DIV/0!</v>
      </c>
      <c r="BL140" s="2" t="e">
        <f t="shared" si="123"/>
        <v>#DIV/0!</v>
      </c>
      <c r="BM140" s="2" t="e">
        <f t="shared" si="159"/>
        <v>#DIV/0!</v>
      </c>
      <c r="BN140" s="2" t="e">
        <f t="shared" si="160"/>
        <v>#DIV/0!</v>
      </c>
      <c r="BO140" s="2" t="e">
        <f t="shared" si="161"/>
        <v>#DIV/0!</v>
      </c>
      <c r="BS140" s="8" t="e">
        <f t="shared" si="124"/>
        <v>#DIV/0!</v>
      </c>
      <c r="BT140" s="2" t="e">
        <f t="shared" si="125"/>
        <v>#DIV/0!</v>
      </c>
      <c r="BU140" s="2" t="e">
        <f t="shared" si="126"/>
        <v>#DIV/0!</v>
      </c>
      <c r="BV140" s="2" t="e">
        <f t="shared" si="162"/>
        <v>#DIV/0!</v>
      </c>
      <c r="BW140" s="2" t="e">
        <f t="shared" si="163"/>
        <v>#DIV/0!</v>
      </c>
      <c r="BX140" s="2" t="e">
        <f t="shared" si="164"/>
        <v>#DIV/0!</v>
      </c>
      <c r="CE140" s="8" t="e">
        <f t="shared" si="127"/>
        <v>#DIV/0!</v>
      </c>
      <c r="CF140" s="2" t="e">
        <f t="shared" si="128"/>
        <v>#DIV/0!</v>
      </c>
      <c r="CG140" s="2" t="e">
        <f t="shared" si="129"/>
        <v>#DIV/0!</v>
      </c>
      <c r="CH140" s="2" t="e">
        <f t="shared" si="165"/>
        <v>#DIV/0!</v>
      </c>
      <c r="CI140" s="2" t="e">
        <f t="shared" si="166"/>
        <v>#DIV/0!</v>
      </c>
      <c r="CJ140" s="2" t="e">
        <f t="shared" si="167"/>
        <v>#DIV/0!</v>
      </c>
      <c r="CQ140" s="8" t="e">
        <f t="shared" si="130"/>
        <v>#DIV/0!</v>
      </c>
      <c r="CR140" s="2" t="e">
        <f t="shared" si="131"/>
        <v>#DIV/0!</v>
      </c>
      <c r="CS140" s="2" t="e">
        <f t="shared" si="132"/>
        <v>#DIV/0!</v>
      </c>
      <c r="CT140" s="2" t="e">
        <f t="shared" si="168"/>
        <v>#DIV/0!</v>
      </c>
      <c r="CU140" s="2" t="e">
        <f t="shared" si="169"/>
        <v>#DIV/0!</v>
      </c>
      <c r="CV140" s="2" t="e">
        <f t="shared" si="170"/>
        <v>#DIV/0!</v>
      </c>
    </row>
    <row r="141" spans="1:100" x14ac:dyDescent="0.2">
      <c r="A141" s="2">
        <f t="shared" si="133"/>
        <v>7.7499999999999893</v>
      </c>
      <c r="B141" s="2">
        <f t="shared" si="134"/>
        <v>4.3074254057569214E-4</v>
      </c>
      <c r="C141" s="2">
        <f t="shared" si="171"/>
        <v>4.3074254057569214E-4</v>
      </c>
      <c r="D141" s="2">
        <f t="shared" si="171"/>
        <v>4.3074254057569214E-4</v>
      </c>
      <c r="E141" s="8">
        <f t="shared" si="135"/>
        <v>4.3074254057569214E-4</v>
      </c>
      <c r="F141" s="2">
        <f t="shared" si="136"/>
        <v>4.3074254057569214E-4</v>
      </c>
      <c r="G141" s="2">
        <f t="shared" si="137"/>
        <v>4.3074254057569214E-4</v>
      </c>
      <c r="K141" s="8" t="e">
        <f t="shared" si="138"/>
        <v>#DIV/0!</v>
      </c>
      <c r="L141" s="2" t="e">
        <f t="shared" si="139"/>
        <v>#DIV/0!</v>
      </c>
      <c r="M141" s="2" t="e">
        <f t="shared" si="140"/>
        <v>#DIV/0!</v>
      </c>
      <c r="Q141" s="8">
        <f t="shared" si="141"/>
        <v>2.0295052766562183E-2</v>
      </c>
      <c r="R141" s="2">
        <f t="shared" si="142"/>
        <v>2.0295052766562183E-2</v>
      </c>
      <c r="S141" s="2">
        <f t="shared" si="143"/>
        <v>2.0295052766562183E-2</v>
      </c>
      <c r="W141" s="8">
        <f t="shared" si="144"/>
        <v>0.11428571428571432</v>
      </c>
      <c r="X141" s="2">
        <f t="shared" si="145"/>
        <v>0.11428571428571432</v>
      </c>
      <c r="Y141" s="2">
        <f t="shared" si="146"/>
        <v>0.11428571428571432</v>
      </c>
      <c r="AC141" s="8">
        <f t="shared" si="147"/>
        <v>4.307425405757348E-4</v>
      </c>
      <c r="AD141" s="2">
        <f t="shared" si="148"/>
        <v>4.307425405757348E-4</v>
      </c>
      <c r="AE141" s="2">
        <f t="shared" si="149"/>
        <v>4.307425405757348E-4</v>
      </c>
      <c r="AI141" s="8">
        <f t="shared" si="150"/>
        <v>2.0295052766562183E-2</v>
      </c>
      <c r="AJ141" s="2">
        <f t="shared" si="151"/>
        <v>2.0295052766562183E-2</v>
      </c>
      <c r="AK141" s="2">
        <f t="shared" si="152"/>
        <v>2.0295052766562183E-2</v>
      </c>
      <c r="AR141" s="8" t="e">
        <f t="shared" si="115"/>
        <v>#DIV/0!</v>
      </c>
      <c r="AS141" s="2" t="e">
        <f t="shared" si="116"/>
        <v>#DIV/0!</v>
      </c>
      <c r="AT141" s="2" t="e">
        <f t="shared" si="117"/>
        <v>#DIV/0!</v>
      </c>
      <c r="AU141" s="2" t="e">
        <f t="shared" si="153"/>
        <v>#DIV/0!</v>
      </c>
      <c r="AV141" s="2" t="e">
        <f t="shared" si="154"/>
        <v>#DIV/0!</v>
      </c>
      <c r="AW141" s="2" t="e">
        <f t="shared" si="155"/>
        <v>#DIV/0!</v>
      </c>
      <c r="BA141" s="8" t="e">
        <f t="shared" si="118"/>
        <v>#DIV/0!</v>
      </c>
      <c r="BB141" s="2" t="e">
        <f t="shared" si="119"/>
        <v>#DIV/0!</v>
      </c>
      <c r="BC141" s="2" t="e">
        <f t="shared" si="120"/>
        <v>#DIV/0!</v>
      </c>
      <c r="BD141" s="2" t="e">
        <f t="shared" si="156"/>
        <v>#DIV/0!</v>
      </c>
      <c r="BE141" s="2" t="e">
        <f t="shared" si="157"/>
        <v>#DIV/0!</v>
      </c>
      <c r="BF141" s="2" t="e">
        <f t="shared" si="158"/>
        <v>#DIV/0!</v>
      </c>
      <c r="BJ141" s="8" t="e">
        <f t="shared" si="121"/>
        <v>#DIV/0!</v>
      </c>
      <c r="BK141" s="2" t="e">
        <f t="shared" si="122"/>
        <v>#DIV/0!</v>
      </c>
      <c r="BL141" s="2" t="e">
        <f t="shared" si="123"/>
        <v>#DIV/0!</v>
      </c>
      <c r="BM141" s="2" t="e">
        <f t="shared" si="159"/>
        <v>#DIV/0!</v>
      </c>
      <c r="BN141" s="2" t="e">
        <f t="shared" si="160"/>
        <v>#DIV/0!</v>
      </c>
      <c r="BO141" s="2" t="e">
        <f t="shared" si="161"/>
        <v>#DIV/0!</v>
      </c>
      <c r="BS141" s="8" t="e">
        <f t="shared" si="124"/>
        <v>#DIV/0!</v>
      </c>
      <c r="BT141" s="2" t="e">
        <f t="shared" si="125"/>
        <v>#DIV/0!</v>
      </c>
      <c r="BU141" s="2" t="e">
        <f t="shared" si="126"/>
        <v>#DIV/0!</v>
      </c>
      <c r="BV141" s="2" t="e">
        <f t="shared" si="162"/>
        <v>#DIV/0!</v>
      </c>
      <c r="BW141" s="2" t="e">
        <f t="shared" si="163"/>
        <v>#DIV/0!</v>
      </c>
      <c r="BX141" s="2" t="e">
        <f t="shared" si="164"/>
        <v>#DIV/0!</v>
      </c>
      <c r="CE141" s="8" t="e">
        <f t="shared" si="127"/>
        <v>#DIV/0!</v>
      </c>
      <c r="CF141" s="2" t="e">
        <f t="shared" si="128"/>
        <v>#DIV/0!</v>
      </c>
      <c r="CG141" s="2" t="e">
        <f t="shared" si="129"/>
        <v>#DIV/0!</v>
      </c>
      <c r="CH141" s="2" t="e">
        <f t="shared" si="165"/>
        <v>#DIV/0!</v>
      </c>
      <c r="CI141" s="2" t="e">
        <f t="shared" si="166"/>
        <v>#DIV/0!</v>
      </c>
      <c r="CJ141" s="2" t="e">
        <f t="shared" si="167"/>
        <v>#DIV/0!</v>
      </c>
      <c r="CQ141" s="8" t="e">
        <f t="shared" si="130"/>
        <v>#DIV/0!</v>
      </c>
      <c r="CR141" s="2" t="e">
        <f t="shared" si="131"/>
        <v>#DIV/0!</v>
      </c>
      <c r="CS141" s="2" t="e">
        <f t="shared" si="132"/>
        <v>#DIV/0!</v>
      </c>
      <c r="CT141" s="2" t="e">
        <f t="shared" si="168"/>
        <v>#DIV/0!</v>
      </c>
      <c r="CU141" s="2" t="e">
        <f t="shared" si="169"/>
        <v>#DIV/0!</v>
      </c>
      <c r="CV141" s="2" t="e">
        <f t="shared" si="170"/>
        <v>#DIV/0!</v>
      </c>
    </row>
    <row r="142" spans="1:100" x14ac:dyDescent="0.2">
      <c r="A142" s="2">
        <f t="shared" si="133"/>
        <v>7.8333333333333224</v>
      </c>
      <c r="B142" s="2">
        <f t="shared" si="134"/>
        <v>3.9630226859991029E-4</v>
      </c>
      <c r="C142" s="2">
        <f t="shared" si="171"/>
        <v>3.9630226859991029E-4</v>
      </c>
      <c r="D142" s="2">
        <f t="shared" si="171"/>
        <v>3.9630226859991029E-4</v>
      </c>
      <c r="E142" s="8">
        <f t="shared" si="135"/>
        <v>3.9630226859991029E-4</v>
      </c>
      <c r="F142" s="2">
        <f t="shared" si="136"/>
        <v>3.9630226859991029E-4</v>
      </c>
      <c r="G142" s="2">
        <f t="shared" si="137"/>
        <v>3.9630226859991029E-4</v>
      </c>
      <c r="K142" s="8" t="e">
        <f t="shared" si="138"/>
        <v>#DIV/0!</v>
      </c>
      <c r="L142" s="2" t="e">
        <f t="shared" si="139"/>
        <v>#DIV/0!</v>
      </c>
      <c r="M142" s="2" t="e">
        <f t="shared" si="140"/>
        <v>#DIV/0!</v>
      </c>
      <c r="Q142" s="8">
        <f t="shared" si="141"/>
        <v>1.9776445014302646E-2</v>
      </c>
      <c r="R142" s="2">
        <f t="shared" si="142"/>
        <v>1.9776445014302646E-2</v>
      </c>
      <c r="S142" s="2">
        <f t="shared" si="143"/>
        <v>1.9776445014302646E-2</v>
      </c>
      <c r="W142" s="8">
        <f t="shared" si="144"/>
        <v>0.11320754716981152</v>
      </c>
      <c r="X142" s="2">
        <f t="shared" si="145"/>
        <v>0.11320754716981152</v>
      </c>
      <c r="Y142" s="2">
        <f t="shared" si="146"/>
        <v>0.11320754716981152</v>
      </c>
      <c r="AC142" s="8">
        <f t="shared" si="147"/>
        <v>3.963022685998796E-4</v>
      </c>
      <c r="AD142" s="2">
        <f t="shared" si="148"/>
        <v>3.963022685998796E-4</v>
      </c>
      <c r="AE142" s="2">
        <f t="shared" si="149"/>
        <v>3.963022685998796E-4</v>
      </c>
      <c r="AI142" s="8">
        <f t="shared" si="150"/>
        <v>1.9776445014302646E-2</v>
      </c>
      <c r="AJ142" s="2">
        <f t="shared" si="151"/>
        <v>1.9776445014302646E-2</v>
      </c>
      <c r="AK142" s="2">
        <f t="shared" si="152"/>
        <v>1.9776445014302646E-2</v>
      </c>
      <c r="AR142" s="8" t="e">
        <f t="shared" si="115"/>
        <v>#DIV/0!</v>
      </c>
      <c r="AS142" s="2" t="e">
        <f t="shared" si="116"/>
        <v>#DIV/0!</v>
      </c>
      <c r="AT142" s="2" t="e">
        <f t="shared" si="117"/>
        <v>#DIV/0!</v>
      </c>
      <c r="AU142" s="2" t="e">
        <f t="shared" si="153"/>
        <v>#DIV/0!</v>
      </c>
      <c r="AV142" s="2" t="e">
        <f t="shared" si="154"/>
        <v>#DIV/0!</v>
      </c>
      <c r="AW142" s="2" t="e">
        <f t="shared" si="155"/>
        <v>#DIV/0!</v>
      </c>
      <c r="BA142" s="8" t="e">
        <f t="shared" si="118"/>
        <v>#DIV/0!</v>
      </c>
      <c r="BB142" s="2" t="e">
        <f t="shared" si="119"/>
        <v>#DIV/0!</v>
      </c>
      <c r="BC142" s="2" t="e">
        <f t="shared" si="120"/>
        <v>#DIV/0!</v>
      </c>
      <c r="BD142" s="2" t="e">
        <f t="shared" si="156"/>
        <v>#DIV/0!</v>
      </c>
      <c r="BE142" s="2" t="e">
        <f t="shared" si="157"/>
        <v>#DIV/0!</v>
      </c>
      <c r="BF142" s="2" t="e">
        <f t="shared" si="158"/>
        <v>#DIV/0!</v>
      </c>
      <c r="BJ142" s="8" t="e">
        <f t="shared" si="121"/>
        <v>#DIV/0!</v>
      </c>
      <c r="BK142" s="2" t="e">
        <f t="shared" si="122"/>
        <v>#DIV/0!</v>
      </c>
      <c r="BL142" s="2" t="e">
        <f t="shared" si="123"/>
        <v>#DIV/0!</v>
      </c>
      <c r="BM142" s="2" t="e">
        <f t="shared" si="159"/>
        <v>#DIV/0!</v>
      </c>
      <c r="BN142" s="2" t="e">
        <f t="shared" si="160"/>
        <v>#DIV/0!</v>
      </c>
      <c r="BO142" s="2" t="e">
        <f t="shared" si="161"/>
        <v>#DIV/0!</v>
      </c>
      <c r="BS142" s="8" t="e">
        <f t="shared" si="124"/>
        <v>#DIV/0!</v>
      </c>
      <c r="BT142" s="2" t="e">
        <f t="shared" si="125"/>
        <v>#DIV/0!</v>
      </c>
      <c r="BU142" s="2" t="e">
        <f t="shared" si="126"/>
        <v>#DIV/0!</v>
      </c>
      <c r="BV142" s="2" t="e">
        <f t="shared" si="162"/>
        <v>#DIV/0!</v>
      </c>
      <c r="BW142" s="2" t="e">
        <f t="shared" si="163"/>
        <v>#DIV/0!</v>
      </c>
      <c r="BX142" s="2" t="e">
        <f t="shared" si="164"/>
        <v>#DIV/0!</v>
      </c>
      <c r="CE142" s="8" t="e">
        <f t="shared" si="127"/>
        <v>#DIV/0!</v>
      </c>
      <c r="CF142" s="2" t="e">
        <f t="shared" si="128"/>
        <v>#DIV/0!</v>
      </c>
      <c r="CG142" s="2" t="e">
        <f t="shared" si="129"/>
        <v>#DIV/0!</v>
      </c>
      <c r="CH142" s="2" t="e">
        <f t="shared" si="165"/>
        <v>#DIV/0!</v>
      </c>
      <c r="CI142" s="2" t="e">
        <f t="shared" si="166"/>
        <v>#DIV/0!</v>
      </c>
      <c r="CJ142" s="2" t="e">
        <f t="shared" si="167"/>
        <v>#DIV/0!</v>
      </c>
      <c r="CQ142" s="8" t="e">
        <f t="shared" si="130"/>
        <v>#DIV/0!</v>
      </c>
      <c r="CR142" s="2" t="e">
        <f t="shared" si="131"/>
        <v>#DIV/0!</v>
      </c>
      <c r="CS142" s="2" t="e">
        <f t="shared" si="132"/>
        <v>#DIV/0!</v>
      </c>
      <c r="CT142" s="2" t="e">
        <f t="shared" si="168"/>
        <v>#DIV/0!</v>
      </c>
      <c r="CU142" s="2" t="e">
        <f t="shared" si="169"/>
        <v>#DIV/0!</v>
      </c>
      <c r="CV142" s="2" t="e">
        <f t="shared" si="170"/>
        <v>#DIV/0!</v>
      </c>
    </row>
    <row r="143" spans="1:100" x14ac:dyDescent="0.2">
      <c r="A143" s="2">
        <f t="shared" si="133"/>
        <v>7.9166666666666554</v>
      </c>
      <c r="B143" s="2">
        <f t="shared" si="134"/>
        <v>3.6461568873027739E-4</v>
      </c>
      <c r="C143" s="2">
        <f t="shared" si="171"/>
        <v>3.6461568873027739E-4</v>
      </c>
      <c r="D143" s="2">
        <f t="shared" si="171"/>
        <v>3.6461568873027739E-4</v>
      </c>
      <c r="E143" s="8">
        <f t="shared" si="135"/>
        <v>3.6461568873027739E-4</v>
      </c>
      <c r="F143" s="2">
        <f t="shared" si="136"/>
        <v>3.6461568873027739E-4</v>
      </c>
      <c r="G143" s="2">
        <f t="shared" si="137"/>
        <v>3.6461568873027739E-4</v>
      </c>
      <c r="K143" s="8" t="e">
        <f t="shared" si="138"/>
        <v>#DIV/0!</v>
      </c>
      <c r="L143" s="2" t="e">
        <f t="shared" si="139"/>
        <v>#DIV/0!</v>
      </c>
      <c r="M143" s="2" t="e">
        <f t="shared" si="140"/>
        <v>#DIV/0!</v>
      </c>
      <c r="Q143" s="8">
        <f t="shared" si="141"/>
        <v>1.9274439636141727E-2</v>
      </c>
      <c r="R143" s="2">
        <f t="shared" si="142"/>
        <v>1.9274439636141727E-2</v>
      </c>
      <c r="S143" s="2">
        <f t="shared" si="143"/>
        <v>1.9274439636141727E-2</v>
      </c>
      <c r="W143" s="8">
        <f t="shared" si="144"/>
        <v>0.1121495327102805</v>
      </c>
      <c r="X143" s="2">
        <f t="shared" si="145"/>
        <v>0.1121495327102805</v>
      </c>
      <c r="Y143" s="2">
        <f t="shared" si="146"/>
        <v>0.1121495327102805</v>
      </c>
      <c r="AC143" s="8">
        <f t="shared" si="147"/>
        <v>3.6461568873025207E-4</v>
      </c>
      <c r="AD143" s="2">
        <f t="shared" si="148"/>
        <v>3.6461568873025207E-4</v>
      </c>
      <c r="AE143" s="2">
        <f t="shared" si="149"/>
        <v>3.6461568873025207E-4</v>
      </c>
      <c r="AI143" s="8">
        <f t="shared" si="150"/>
        <v>1.9274439636141727E-2</v>
      </c>
      <c r="AJ143" s="2">
        <f t="shared" si="151"/>
        <v>1.9274439636141727E-2</v>
      </c>
      <c r="AK143" s="2">
        <f t="shared" si="152"/>
        <v>1.9274439636141727E-2</v>
      </c>
      <c r="AR143" s="8" t="e">
        <f t="shared" si="115"/>
        <v>#DIV/0!</v>
      </c>
      <c r="AS143" s="2" t="e">
        <f t="shared" si="116"/>
        <v>#DIV/0!</v>
      </c>
      <c r="AT143" s="2" t="e">
        <f t="shared" si="117"/>
        <v>#DIV/0!</v>
      </c>
      <c r="AU143" s="2" t="e">
        <f t="shared" si="153"/>
        <v>#DIV/0!</v>
      </c>
      <c r="AV143" s="2" t="e">
        <f t="shared" si="154"/>
        <v>#DIV/0!</v>
      </c>
      <c r="AW143" s="2" t="e">
        <f t="shared" si="155"/>
        <v>#DIV/0!</v>
      </c>
      <c r="BA143" s="8" t="e">
        <f t="shared" si="118"/>
        <v>#DIV/0!</v>
      </c>
      <c r="BB143" s="2" t="e">
        <f t="shared" si="119"/>
        <v>#DIV/0!</v>
      </c>
      <c r="BC143" s="2" t="e">
        <f t="shared" si="120"/>
        <v>#DIV/0!</v>
      </c>
      <c r="BD143" s="2" t="e">
        <f t="shared" si="156"/>
        <v>#DIV/0!</v>
      </c>
      <c r="BE143" s="2" t="e">
        <f t="shared" si="157"/>
        <v>#DIV/0!</v>
      </c>
      <c r="BF143" s="2" t="e">
        <f t="shared" si="158"/>
        <v>#DIV/0!</v>
      </c>
      <c r="BJ143" s="8" t="e">
        <f t="shared" si="121"/>
        <v>#DIV/0!</v>
      </c>
      <c r="BK143" s="2" t="e">
        <f t="shared" si="122"/>
        <v>#DIV/0!</v>
      </c>
      <c r="BL143" s="2" t="e">
        <f t="shared" si="123"/>
        <v>#DIV/0!</v>
      </c>
      <c r="BM143" s="2" t="e">
        <f t="shared" si="159"/>
        <v>#DIV/0!</v>
      </c>
      <c r="BN143" s="2" t="e">
        <f t="shared" si="160"/>
        <v>#DIV/0!</v>
      </c>
      <c r="BO143" s="2" t="e">
        <f t="shared" si="161"/>
        <v>#DIV/0!</v>
      </c>
      <c r="BS143" s="8" t="e">
        <f t="shared" si="124"/>
        <v>#DIV/0!</v>
      </c>
      <c r="BT143" s="2" t="e">
        <f t="shared" si="125"/>
        <v>#DIV/0!</v>
      </c>
      <c r="BU143" s="2" t="e">
        <f t="shared" si="126"/>
        <v>#DIV/0!</v>
      </c>
      <c r="BV143" s="2" t="e">
        <f t="shared" si="162"/>
        <v>#DIV/0!</v>
      </c>
      <c r="BW143" s="2" t="e">
        <f t="shared" si="163"/>
        <v>#DIV/0!</v>
      </c>
      <c r="BX143" s="2" t="e">
        <f t="shared" si="164"/>
        <v>#DIV/0!</v>
      </c>
      <c r="CE143" s="8" t="e">
        <f t="shared" si="127"/>
        <v>#DIV/0!</v>
      </c>
      <c r="CF143" s="2" t="e">
        <f t="shared" si="128"/>
        <v>#DIV/0!</v>
      </c>
      <c r="CG143" s="2" t="e">
        <f t="shared" si="129"/>
        <v>#DIV/0!</v>
      </c>
      <c r="CH143" s="2" t="e">
        <f t="shared" si="165"/>
        <v>#DIV/0!</v>
      </c>
      <c r="CI143" s="2" t="e">
        <f t="shared" si="166"/>
        <v>#DIV/0!</v>
      </c>
      <c r="CJ143" s="2" t="e">
        <f t="shared" si="167"/>
        <v>#DIV/0!</v>
      </c>
      <c r="CQ143" s="8" t="e">
        <f t="shared" si="130"/>
        <v>#DIV/0!</v>
      </c>
      <c r="CR143" s="2" t="e">
        <f t="shared" si="131"/>
        <v>#DIV/0!</v>
      </c>
      <c r="CS143" s="2" t="e">
        <f t="shared" si="132"/>
        <v>#DIV/0!</v>
      </c>
      <c r="CT143" s="2" t="e">
        <f t="shared" si="168"/>
        <v>#DIV/0!</v>
      </c>
      <c r="CU143" s="2" t="e">
        <f t="shared" si="169"/>
        <v>#DIV/0!</v>
      </c>
      <c r="CV143" s="2" t="e">
        <f t="shared" si="170"/>
        <v>#DIV/0!</v>
      </c>
    </row>
    <row r="144" spans="1:100" x14ac:dyDescent="0.2">
      <c r="A144" s="2">
        <f t="shared" si="133"/>
        <v>7.9999999999999885</v>
      </c>
      <c r="B144" s="2">
        <f t="shared" si="134"/>
        <v>3.354626279025157E-4</v>
      </c>
      <c r="C144" s="2">
        <f t="shared" si="171"/>
        <v>3.354626279025157E-4</v>
      </c>
      <c r="D144" s="2">
        <f t="shared" si="171"/>
        <v>3.354626279025157E-4</v>
      </c>
      <c r="E144" s="8">
        <f t="shared" si="135"/>
        <v>3.354626279025157E-4</v>
      </c>
      <c r="F144" s="2">
        <f t="shared" si="136"/>
        <v>3.354626279025157E-4</v>
      </c>
      <c r="G144" s="2">
        <f t="shared" si="137"/>
        <v>3.354626279025157E-4</v>
      </c>
      <c r="K144" s="8" t="e">
        <f t="shared" si="138"/>
        <v>#DIV/0!</v>
      </c>
      <c r="L144" s="2" t="e">
        <f t="shared" si="139"/>
        <v>#DIV/0!</v>
      </c>
      <c r="M144" s="2" t="e">
        <f t="shared" si="140"/>
        <v>#DIV/0!</v>
      </c>
      <c r="Q144" s="8">
        <f t="shared" si="141"/>
        <v>1.8788392814055199E-2</v>
      </c>
      <c r="R144" s="2">
        <f t="shared" si="142"/>
        <v>1.8788392814055199E-2</v>
      </c>
      <c r="S144" s="2">
        <f t="shared" si="143"/>
        <v>1.8788392814055199E-2</v>
      </c>
      <c r="W144" s="8">
        <f t="shared" si="144"/>
        <v>0.11111111111111127</v>
      </c>
      <c r="X144" s="2">
        <f t="shared" si="145"/>
        <v>0.11111111111111127</v>
      </c>
      <c r="Y144" s="2">
        <f t="shared" si="146"/>
        <v>0.11111111111111127</v>
      </c>
      <c r="AC144" s="8">
        <f t="shared" si="147"/>
        <v>3.3546262790251635E-4</v>
      </c>
      <c r="AD144" s="2">
        <f t="shared" si="148"/>
        <v>3.3546262790251635E-4</v>
      </c>
      <c r="AE144" s="2">
        <f t="shared" si="149"/>
        <v>3.3546262790251635E-4</v>
      </c>
      <c r="AI144" s="8">
        <f t="shared" si="150"/>
        <v>1.8788392814055199E-2</v>
      </c>
      <c r="AJ144" s="2">
        <f t="shared" si="151"/>
        <v>1.8788392814055199E-2</v>
      </c>
      <c r="AK144" s="2">
        <f t="shared" si="152"/>
        <v>1.8788392814055199E-2</v>
      </c>
      <c r="AR144" s="8" t="e">
        <f t="shared" si="115"/>
        <v>#DIV/0!</v>
      </c>
      <c r="AS144" s="2" t="e">
        <f t="shared" si="116"/>
        <v>#DIV/0!</v>
      </c>
      <c r="AT144" s="2" t="e">
        <f t="shared" si="117"/>
        <v>#DIV/0!</v>
      </c>
      <c r="AU144" s="2" t="e">
        <f t="shared" si="153"/>
        <v>#DIV/0!</v>
      </c>
      <c r="AV144" s="2" t="e">
        <f t="shared" si="154"/>
        <v>#DIV/0!</v>
      </c>
      <c r="AW144" s="2" t="e">
        <f t="shared" si="155"/>
        <v>#DIV/0!</v>
      </c>
      <c r="BA144" s="8" t="e">
        <f t="shared" si="118"/>
        <v>#DIV/0!</v>
      </c>
      <c r="BB144" s="2" t="e">
        <f t="shared" si="119"/>
        <v>#DIV/0!</v>
      </c>
      <c r="BC144" s="2" t="e">
        <f t="shared" si="120"/>
        <v>#DIV/0!</v>
      </c>
      <c r="BD144" s="2" t="e">
        <f t="shared" si="156"/>
        <v>#DIV/0!</v>
      </c>
      <c r="BE144" s="2" t="e">
        <f t="shared" si="157"/>
        <v>#DIV/0!</v>
      </c>
      <c r="BF144" s="2" t="e">
        <f t="shared" si="158"/>
        <v>#DIV/0!</v>
      </c>
      <c r="BJ144" s="8" t="e">
        <f t="shared" si="121"/>
        <v>#DIV/0!</v>
      </c>
      <c r="BK144" s="2" t="e">
        <f t="shared" si="122"/>
        <v>#DIV/0!</v>
      </c>
      <c r="BL144" s="2" t="e">
        <f t="shared" si="123"/>
        <v>#DIV/0!</v>
      </c>
      <c r="BM144" s="2" t="e">
        <f t="shared" si="159"/>
        <v>#DIV/0!</v>
      </c>
      <c r="BN144" s="2" t="e">
        <f t="shared" si="160"/>
        <v>#DIV/0!</v>
      </c>
      <c r="BO144" s="2" t="e">
        <f t="shared" si="161"/>
        <v>#DIV/0!</v>
      </c>
      <c r="BS144" s="8" t="e">
        <f t="shared" si="124"/>
        <v>#DIV/0!</v>
      </c>
      <c r="BT144" s="2" t="e">
        <f t="shared" si="125"/>
        <v>#DIV/0!</v>
      </c>
      <c r="BU144" s="2" t="e">
        <f t="shared" si="126"/>
        <v>#DIV/0!</v>
      </c>
      <c r="BV144" s="2" t="e">
        <f t="shared" si="162"/>
        <v>#DIV/0!</v>
      </c>
      <c r="BW144" s="2" t="e">
        <f t="shared" si="163"/>
        <v>#DIV/0!</v>
      </c>
      <c r="BX144" s="2" t="e">
        <f t="shared" si="164"/>
        <v>#DIV/0!</v>
      </c>
      <c r="CE144" s="8" t="e">
        <f t="shared" si="127"/>
        <v>#DIV/0!</v>
      </c>
      <c r="CF144" s="2" t="e">
        <f t="shared" si="128"/>
        <v>#DIV/0!</v>
      </c>
      <c r="CG144" s="2" t="e">
        <f t="shared" si="129"/>
        <v>#DIV/0!</v>
      </c>
      <c r="CH144" s="2" t="e">
        <f t="shared" si="165"/>
        <v>#DIV/0!</v>
      </c>
      <c r="CI144" s="2" t="e">
        <f t="shared" si="166"/>
        <v>#DIV/0!</v>
      </c>
      <c r="CJ144" s="2" t="e">
        <f t="shared" si="167"/>
        <v>#DIV/0!</v>
      </c>
      <c r="CQ144" s="8" t="e">
        <f t="shared" si="130"/>
        <v>#DIV/0!</v>
      </c>
      <c r="CR144" s="2" t="e">
        <f t="shared" si="131"/>
        <v>#DIV/0!</v>
      </c>
      <c r="CS144" s="2" t="e">
        <f t="shared" si="132"/>
        <v>#DIV/0!</v>
      </c>
      <c r="CT144" s="2" t="e">
        <f t="shared" si="168"/>
        <v>#DIV/0!</v>
      </c>
      <c r="CU144" s="2" t="e">
        <f t="shared" si="169"/>
        <v>#DIV/0!</v>
      </c>
      <c r="CV144" s="2" t="e">
        <f t="shared" si="170"/>
        <v>#DIV/0!</v>
      </c>
    </row>
    <row r="145" spans="1:100" x14ac:dyDescent="0.2">
      <c r="A145" s="2">
        <f t="shared" si="133"/>
        <v>8.0833333333333215</v>
      </c>
      <c r="B145" s="2">
        <f t="shared" si="134"/>
        <v>3.0864051711858466E-4</v>
      </c>
      <c r="C145" s="2">
        <f t="shared" si="171"/>
        <v>3.0864051711858466E-4</v>
      </c>
      <c r="D145" s="2">
        <f t="shared" si="171"/>
        <v>3.0864051711858466E-4</v>
      </c>
      <c r="E145" s="8">
        <f t="shared" si="135"/>
        <v>3.0864051711858466E-4</v>
      </c>
      <c r="F145" s="2">
        <f t="shared" si="136"/>
        <v>3.0864051711858466E-4</v>
      </c>
      <c r="G145" s="2">
        <f t="shared" si="137"/>
        <v>3.0864051711858466E-4</v>
      </c>
      <c r="K145" s="8" t="e">
        <f t="shared" si="138"/>
        <v>#DIV/0!</v>
      </c>
      <c r="L145" s="2" t="e">
        <f t="shared" si="139"/>
        <v>#DIV/0!</v>
      </c>
      <c r="M145" s="2" t="e">
        <f t="shared" si="140"/>
        <v>#DIV/0!</v>
      </c>
      <c r="Q145" s="8">
        <f t="shared" si="141"/>
        <v>1.8317690180096213E-2</v>
      </c>
      <c r="R145" s="2">
        <f t="shared" si="142"/>
        <v>1.8317690180096213E-2</v>
      </c>
      <c r="S145" s="2">
        <f t="shared" si="143"/>
        <v>1.8317690180096213E-2</v>
      </c>
      <c r="W145" s="8">
        <f t="shared" si="144"/>
        <v>0.11009174311926628</v>
      </c>
      <c r="X145" s="2">
        <f t="shared" si="145"/>
        <v>0.11009174311926628</v>
      </c>
      <c r="Y145" s="2">
        <f t="shared" si="146"/>
        <v>0.11009174311926628</v>
      </c>
      <c r="AC145" s="8">
        <f t="shared" si="147"/>
        <v>3.0864051711854135E-4</v>
      </c>
      <c r="AD145" s="2">
        <f t="shared" si="148"/>
        <v>3.0864051711854135E-4</v>
      </c>
      <c r="AE145" s="2">
        <f t="shared" si="149"/>
        <v>3.0864051711854135E-4</v>
      </c>
      <c r="AI145" s="8">
        <f t="shared" si="150"/>
        <v>1.8317690180096213E-2</v>
      </c>
      <c r="AJ145" s="2">
        <f t="shared" si="151"/>
        <v>1.8317690180096213E-2</v>
      </c>
      <c r="AK145" s="2">
        <f t="shared" si="152"/>
        <v>1.8317690180096213E-2</v>
      </c>
      <c r="AR145" s="8" t="e">
        <f t="shared" ref="AR145:AR168" si="172">AR$43+
AS$43*LN($A145)+
AT$43*(MAX(LN($A145)-AS$9,0)^3-AT$45*MAX(LN($A145)-AR$9,0)^3-(1-AT$45)*MAX(LN($A145)-AT$9,0)^3)</f>
        <v>#DIV/0!</v>
      </c>
      <c r="AS145" s="2" t="e">
        <f t="shared" ref="AS145:AS168" si="173">AR$43+
AW$43*LN($A145)+
AY$43*(MAX(LN($A145)-AS$9,0)^3-AT$45*MAX(LN($A145)-AR$9,0)^3-(1-AT$45)*MAX(LN($A145)-AT$9,0)^3)</f>
        <v>#DIV/0!</v>
      </c>
      <c r="AT145" s="2" t="e">
        <f t="shared" ref="AT145:AT168" si="174">AR$43+
AX$43*LN($A145)+
AZ$43*(MAX(LN($A145)-AS$9,0)^3-AT$45*MAX(LN($A145)-AR$9,0)^3-(1-AT$45)*MAX(LN($A145)-AT$9,0)^3)</f>
        <v>#DIV/0!</v>
      </c>
      <c r="AU145" s="2" t="e">
        <f t="shared" si="153"/>
        <v>#DIV/0!</v>
      </c>
      <c r="AV145" s="2" t="e">
        <f t="shared" si="154"/>
        <v>#DIV/0!</v>
      </c>
      <c r="AW145" s="2" t="e">
        <f t="shared" si="155"/>
        <v>#DIV/0!</v>
      </c>
      <c r="BA145" s="8" t="e">
        <f t="shared" ref="BA145:BA168" si="175">BA$43+
BB$43*LN($A145)+
BC$43*(MAX(LN($A145)-BB$9,0)^3-BC$45*MAX(LN($A145)-BA$9,0)^3-(1-BC$45)*MAX(LN($A145)-BC$9,0)^3)</f>
        <v>#DIV/0!</v>
      </c>
      <c r="BB145" s="2" t="e">
        <f t="shared" ref="BB145:BB168" si="176">BA$43+
BF$43*LN($A145)+
BH$43*(MAX(LN($A145)-BB$9,0)^3-BC$45*MAX(LN($A145)-BA$9,0)^3-(1-BC$45)*MAX(LN($A145)-BC$9,0)^3)</f>
        <v>#DIV/0!</v>
      </c>
      <c r="BC145" s="2" t="e">
        <f t="shared" ref="BC145:BC168" si="177">BA$43+
BG$43*LN($A145)+
BI$43*(MAX(LN($A145)-BB$9,0)^3-BC$45*MAX(LN($A145)-BA$9,0)^3-(1-BC$45)*MAX(LN($A145)-BC$9,0)^3)</f>
        <v>#DIV/0!</v>
      </c>
      <c r="BD145" s="2" t="e">
        <f t="shared" si="156"/>
        <v>#DIV/0!</v>
      </c>
      <c r="BE145" s="2" t="e">
        <f t="shared" si="157"/>
        <v>#DIV/0!</v>
      </c>
      <c r="BF145" s="2" t="e">
        <f t="shared" si="158"/>
        <v>#DIV/0!</v>
      </c>
      <c r="BJ145" s="8" t="e">
        <f t="shared" ref="BJ145:BJ168" si="178">BJ$43+
BK$43*LN($A145)+
BL$43*(MAX(LN($A145)-BK$9,0)^3-BL$45*MAX(LN($A145)-BJ$9,0)^3-(1-BL$45)*MAX(LN($A145)-BL$9,0)^3)</f>
        <v>#DIV/0!</v>
      </c>
      <c r="BK145" s="2" t="e">
        <f t="shared" ref="BK145:BK168" si="179">BJ$43+
BO$43*LN($A145)+
BQ$43*(MAX(LN($A145)-BK$9,0)^3-BL$45*MAX(LN($A145)-BJ$9,0)^3-(1-BL$45)*MAX(LN($A145)-BL$9,0)^3)</f>
        <v>#DIV/0!</v>
      </c>
      <c r="BL145" s="2" t="e">
        <f t="shared" ref="BL145:BL168" si="180">BJ$43+
BP$43*LN($A145)+
BR$43*(MAX(LN($A145)-BK$9,0)^3-BL$45*MAX(LN($A145)-BJ$9,0)^3-(1-BL$45)*MAX(LN($A145)-BL$9,0)^3)</f>
        <v>#DIV/0!</v>
      </c>
      <c r="BM145" s="2" t="e">
        <f t="shared" si="159"/>
        <v>#DIV/0!</v>
      </c>
      <c r="BN145" s="2" t="e">
        <f t="shared" si="160"/>
        <v>#DIV/0!</v>
      </c>
      <c r="BO145" s="2" t="e">
        <f t="shared" si="161"/>
        <v>#DIV/0!</v>
      </c>
      <c r="BS145" s="8" t="e">
        <f t="shared" ref="BS145:BS168" si="181">BS$43+
BT$43*LN($A145)+
BU$43*(MAX(LN($A145)-BT$9,0)^3-BU$45*MAX(LN($A145)-BS$9,0)^3-(1-BU$45)*MAX(LN($A145)-BV$9,0)^3)+
BV$43*(MAX(LN($A145)-BU$9,0)^3-BV$45*MAX(LN($A145)-BS$9,0)^3-(1-BV$45)*MAX(LN($A145)-BV$9,0)^3)</f>
        <v>#DIV/0!</v>
      </c>
      <c r="BT145" s="2" t="e">
        <f t="shared" ref="BT145:BT168" si="182">BS$43+
BY$43*LN($A145)+
CA$43*(MAX(LN($A145)-BT$9,0)^3-BU$45*MAX(LN($A145)-BS$9,0)^3-(1-BU$45)*MAX(LN($A145)-BV$9,0)^3)+
CC$43*(MAX(LN($A145)-BU$9,0)^3-BV$45*MAX(LN($A145)-BS$9,0)^3-(1-BV$45)*MAX(LN($A145)-BV$9,0)^3)</f>
        <v>#DIV/0!</v>
      </c>
      <c r="BU145" s="2" t="e">
        <f t="shared" ref="BU145:BU168" si="183">BS$43+
BZ$43*LN($A145)+
CB$43*(MAX(LN($A145)-BT$9,0)^3-BU$45*MAX(LN($A145)-BS$9,0)^3-(1-BU$45)*MAX(LN($A145)-BV$9,0)^3)+
CD$43*(MAX(LN($A145)-BU$9,0)^3-BV$45*MAX(LN($A145)-BS$9,0)^3-(1-BV$45)*MAX(LN($A145)-BV$9,0)^3)</f>
        <v>#DIV/0!</v>
      </c>
      <c r="BV145" s="2" t="e">
        <f t="shared" si="162"/>
        <v>#DIV/0!</v>
      </c>
      <c r="BW145" s="2" t="e">
        <f t="shared" si="163"/>
        <v>#DIV/0!</v>
      </c>
      <c r="BX145" s="2" t="e">
        <f t="shared" si="164"/>
        <v>#DIV/0!</v>
      </c>
      <c r="CE145" s="8" t="e">
        <f t="shared" ref="CE145:CE168" si="184">CE$43+
CF$43*LN($A145)+
CG$43*(MAX(LN($A145)-CF$9,0)^3-CG$45*MAX(LN($A145)-CE$9,0)^3-(1-CG$45)*MAX(LN($A145)-CH$9,0)^3)+
CH$43*(MAX(LN($A145)-CG$9,0)^3-CH$45*MAX(LN($A145)-CE$9,0)^3-(1-CH$45)*MAX(LN($A145)-CH$9,0)^3)</f>
        <v>#DIV/0!</v>
      </c>
      <c r="CF145" s="2" t="e">
        <f t="shared" ref="CF145:CF168" si="185">CE$43+
CK$43*LN($A145)+
CM$43*(MAX(LN($A145)-CF$9,0)^3-CG$45*MAX(LN($A145)-CE$9,0)^3-(1-CG$45)*MAX(LN($A145)-CH$9,0)^3)+
CO$43*(MAX(LN($A145)-CG$9,0)^3-CH$45*MAX(LN($A145)-CE$9,0)^3-(1-CH$45)*MAX(LN($A145)-CH$9,0)^3)</f>
        <v>#DIV/0!</v>
      </c>
      <c r="CG145" s="2" t="e">
        <f t="shared" ref="CG145:CG168" si="186">CE$43+
CL$43*LN($A145)+
CN$43*(MAX(LN($A145)-CF$9,0)^3-CG$45*MAX(LN($A145)-CE$9,0)^3-(1-CG$45)*MAX(LN($A145)-CH$9,0)^3)+
CP$43*(MAX(LN($A145)-CG$9,0)^3-CH$45*MAX(LN($A145)-CE$9,0)^3-(1-CH$45)*MAX(LN($A145)-CH$9,0)^3)</f>
        <v>#DIV/0!</v>
      </c>
      <c r="CH145" s="2" t="e">
        <f t="shared" si="165"/>
        <v>#DIV/0!</v>
      </c>
      <c r="CI145" s="2" t="e">
        <f t="shared" si="166"/>
        <v>#DIV/0!</v>
      </c>
      <c r="CJ145" s="2" t="e">
        <f t="shared" si="167"/>
        <v>#DIV/0!</v>
      </c>
      <c r="CQ145" s="8" t="e">
        <f t="shared" ref="CQ145:CQ168" si="187">CQ$43+
CR$43*LN($A145)+
CS$43*(MAX(LN($A145)-CR$9,0)^3-CS$45*MAX(LN($A145)-CQ$9,0)^3-(1-CS$45)*MAX(LN($A145)-CT$9,0)^3)+
CT$43*(MAX(LN($A145)-CS$9,0)^3-CT$45*MAX(LN($A145)-CQ$9,0)^3-(1-CT$45)*MAX(LN($A145)-CT$9,0)^3)</f>
        <v>#DIV/0!</v>
      </c>
      <c r="CR145" s="2" t="e">
        <f t="shared" ref="CR145:CR168" si="188">CQ$43+
CW$43*LN($A145)+
CY$43*(MAX(LN($A145)-CR$9,0)^3-CS$45*MAX(LN($A145)-CQ$9,0)^3-(1-CS$45)*MAX(LN($A145)-CT$9,0)^3)+
DA$43*(MAX(LN($A145)-CS$9,0)^3-CT$45*MAX(LN($A145)-CQ$9,0)^3-(1-CT$45)*MAX(LN($A145)-CT$9,0)^3)</f>
        <v>#DIV/0!</v>
      </c>
      <c r="CS145" s="2" t="e">
        <f t="shared" ref="CS145:CS168" si="189">CQ$43+
CX$43*LN($A145)+
CZ$43*(MAX(LN($A145)-CR$9,0)^3-CS$45*MAX(LN($A145)-CQ$9,0)^3-(1-CS$45)*MAX(LN($A145)-CT$9,0)^3)+
DB$43*(MAX(LN($A145)-CS$9,0)^3-CT$45*MAX(LN($A145)-CQ$9,0)^3-(1-CT$45)*MAX(LN($A145)-CT$9,0)^3)</f>
        <v>#DIV/0!</v>
      </c>
      <c r="CT145" s="2" t="e">
        <f t="shared" si="168"/>
        <v>#DIV/0!</v>
      </c>
      <c r="CU145" s="2" t="e">
        <f t="shared" si="169"/>
        <v>#DIV/0!</v>
      </c>
      <c r="CV145" s="2" t="e">
        <f t="shared" si="170"/>
        <v>#DIV/0!</v>
      </c>
    </row>
    <row r="146" spans="1:100" x14ac:dyDescent="0.2">
      <c r="A146" s="2">
        <f t="shared" si="133"/>
        <v>8.1666666666666554</v>
      </c>
      <c r="B146" s="2">
        <f t="shared" si="134"/>
        <v>2.8396298390325966E-4</v>
      </c>
      <c r="C146" s="2">
        <f t="shared" ref="C146:D168" si="190">EXP(-$A146*$B$43*C$43)</f>
        <v>2.8396298390325966E-4</v>
      </c>
      <c r="D146" s="2">
        <f t="shared" si="190"/>
        <v>2.8396298390325966E-4</v>
      </c>
      <c r="E146" s="8">
        <f t="shared" si="135"/>
        <v>2.8396298390325966E-4</v>
      </c>
      <c r="F146" s="2">
        <f t="shared" si="136"/>
        <v>2.8396298390325966E-4</v>
      </c>
      <c r="G146" s="2">
        <f t="shared" si="137"/>
        <v>2.8396298390325966E-4</v>
      </c>
      <c r="K146" s="8" t="e">
        <f t="shared" si="138"/>
        <v>#DIV/0!</v>
      </c>
      <c r="L146" s="2" t="e">
        <f t="shared" si="139"/>
        <v>#DIV/0!</v>
      </c>
      <c r="M146" s="2" t="e">
        <f t="shared" si="140"/>
        <v>#DIV/0!</v>
      </c>
      <c r="Q146" s="8">
        <f t="shared" si="141"/>
        <v>1.7861745260699391E-2</v>
      </c>
      <c r="R146" s="2">
        <f t="shared" si="142"/>
        <v>1.7861745260699391E-2</v>
      </c>
      <c r="S146" s="2">
        <f t="shared" si="143"/>
        <v>1.7861745260699391E-2</v>
      </c>
      <c r="W146" s="8">
        <f t="shared" si="144"/>
        <v>0.10909090909090924</v>
      </c>
      <c r="X146" s="2">
        <f t="shared" si="145"/>
        <v>0.10909090909090924</v>
      </c>
      <c r="Y146" s="2">
        <f t="shared" si="146"/>
        <v>0.10909090909090924</v>
      </c>
      <c r="AC146" s="8">
        <f t="shared" si="147"/>
        <v>2.8396298390320762E-4</v>
      </c>
      <c r="AD146" s="2">
        <f t="shared" si="148"/>
        <v>2.8396298390320762E-4</v>
      </c>
      <c r="AE146" s="2">
        <f t="shared" si="149"/>
        <v>2.8396298390320762E-4</v>
      </c>
      <c r="AI146" s="8">
        <f t="shared" si="150"/>
        <v>1.7861745260699391E-2</v>
      </c>
      <c r="AJ146" s="2">
        <f t="shared" si="151"/>
        <v>1.7861745260699391E-2</v>
      </c>
      <c r="AK146" s="2">
        <f t="shared" si="152"/>
        <v>1.7861745260699391E-2</v>
      </c>
      <c r="AR146" s="8" t="e">
        <f t="shared" si="172"/>
        <v>#DIV/0!</v>
      </c>
      <c r="AS146" s="2" t="e">
        <f t="shared" si="173"/>
        <v>#DIV/0!</v>
      </c>
      <c r="AT146" s="2" t="e">
        <f t="shared" si="174"/>
        <v>#DIV/0!</v>
      </c>
      <c r="AU146" s="2" t="e">
        <f t="shared" si="153"/>
        <v>#DIV/0!</v>
      </c>
      <c r="AV146" s="2" t="e">
        <f t="shared" si="154"/>
        <v>#DIV/0!</v>
      </c>
      <c r="AW146" s="2" t="e">
        <f t="shared" si="155"/>
        <v>#DIV/0!</v>
      </c>
      <c r="BA146" s="8" t="e">
        <f t="shared" si="175"/>
        <v>#DIV/0!</v>
      </c>
      <c r="BB146" s="2" t="e">
        <f t="shared" si="176"/>
        <v>#DIV/0!</v>
      </c>
      <c r="BC146" s="2" t="e">
        <f t="shared" si="177"/>
        <v>#DIV/0!</v>
      </c>
      <c r="BD146" s="2" t="e">
        <f t="shared" si="156"/>
        <v>#DIV/0!</v>
      </c>
      <c r="BE146" s="2" t="e">
        <f t="shared" si="157"/>
        <v>#DIV/0!</v>
      </c>
      <c r="BF146" s="2" t="e">
        <f t="shared" si="158"/>
        <v>#DIV/0!</v>
      </c>
      <c r="BJ146" s="8" t="e">
        <f t="shared" si="178"/>
        <v>#DIV/0!</v>
      </c>
      <c r="BK146" s="2" t="e">
        <f t="shared" si="179"/>
        <v>#DIV/0!</v>
      </c>
      <c r="BL146" s="2" t="e">
        <f t="shared" si="180"/>
        <v>#DIV/0!</v>
      </c>
      <c r="BM146" s="2" t="e">
        <f t="shared" si="159"/>
        <v>#DIV/0!</v>
      </c>
      <c r="BN146" s="2" t="e">
        <f t="shared" si="160"/>
        <v>#DIV/0!</v>
      </c>
      <c r="BO146" s="2" t="e">
        <f t="shared" si="161"/>
        <v>#DIV/0!</v>
      </c>
      <c r="BS146" s="8" t="e">
        <f t="shared" si="181"/>
        <v>#DIV/0!</v>
      </c>
      <c r="BT146" s="2" t="e">
        <f t="shared" si="182"/>
        <v>#DIV/0!</v>
      </c>
      <c r="BU146" s="2" t="e">
        <f t="shared" si="183"/>
        <v>#DIV/0!</v>
      </c>
      <c r="BV146" s="2" t="e">
        <f t="shared" si="162"/>
        <v>#DIV/0!</v>
      </c>
      <c r="BW146" s="2" t="e">
        <f t="shared" si="163"/>
        <v>#DIV/0!</v>
      </c>
      <c r="BX146" s="2" t="e">
        <f t="shared" si="164"/>
        <v>#DIV/0!</v>
      </c>
      <c r="CE146" s="8" t="e">
        <f t="shared" si="184"/>
        <v>#DIV/0!</v>
      </c>
      <c r="CF146" s="2" t="e">
        <f t="shared" si="185"/>
        <v>#DIV/0!</v>
      </c>
      <c r="CG146" s="2" t="e">
        <f t="shared" si="186"/>
        <v>#DIV/0!</v>
      </c>
      <c r="CH146" s="2" t="e">
        <f t="shared" si="165"/>
        <v>#DIV/0!</v>
      </c>
      <c r="CI146" s="2" t="e">
        <f t="shared" si="166"/>
        <v>#DIV/0!</v>
      </c>
      <c r="CJ146" s="2" t="e">
        <f t="shared" si="167"/>
        <v>#DIV/0!</v>
      </c>
      <c r="CQ146" s="8" t="e">
        <f t="shared" si="187"/>
        <v>#DIV/0!</v>
      </c>
      <c r="CR146" s="2" t="e">
        <f t="shared" si="188"/>
        <v>#DIV/0!</v>
      </c>
      <c r="CS146" s="2" t="e">
        <f t="shared" si="189"/>
        <v>#DIV/0!</v>
      </c>
      <c r="CT146" s="2" t="e">
        <f t="shared" si="168"/>
        <v>#DIV/0!</v>
      </c>
      <c r="CU146" s="2" t="e">
        <f t="shared" si="169"/>
        <v>#DIV/0!</v>
      </c>
      <c r="CV146" s="2" t="e">
        <f t="shared" si="170"/>
        <v>#DIV/0!</v>
      </c>
    </row>
    <row r="147" spans="1:100" x14ac:dyDescent="0.2">
      <c r="A147" s="2">
        <f t="shared" si="133"/>
        <v>8.2499999999999893</v>
      </c>
      <c r="B147" s="2">
        <f t="shared" si="134"/>
        <v>2.612585573016703E-4</v>
      </c>
      <c r="C147" s="2">
        <f t="shared" si="190"/>
        <v>2.612585573016703E-4</v>
      </c>
      <c r="D147" s="2">
        <f t="shared" si="190"/>
        <v>2.612585573016703E-4</v>
      </c>
      <c r="E147" s="8">
        <f t="shared" si="135"/>
        <v>2.612585573016703E-4</v>
      </c>
      <c r="F147" s="2">
        <f t="shared" si="136"/>
        <v>2.612585573016703E-4</v>
      </c>
      <c r="G147" s="2">
        <f t="shared" si="137"/>
        <v>2.612585573016703E-4</v>
      </c>
      <c r="K147" s="8" t="e">
        <f t="shared" si="138"/>
        <v>#DIV/0!</v>
      </c>
      <c r="L147" s="2" t="e">
        <f t="shared" si="139"/>
        <v>#DIV/0!</v>
      </c>
      <c r="M147" s="2" t="e">
        <f t="shared" si="140"/>
        <v>#DIV/0!</v>
      </c>
      <c r="Q147" s="8">
        <f t="shared" si="141"/>
        <v>1.7419998014267635E-2</v>
      </c>
      <c r="R147" s="2">
        <f t="shared" si="142"/>
        <v>1.7419998014267635E-2</v>
      </c>
      <c r="S147" s="2">
        <f t="shared" si="143"/>
        <v>1.7419998014267635E-2</v>
      </c>
      <c r="W147" s="8">
        <f t="shared" si="144"/>
        <v>0.10810810810810823</v>
      </c>
      <c r="X147" s="2">
        <f t="shared" si="145"/>
        <v>0.10810810810810823</v>
      </c>
      <c r="Y147" s="2">
        <f t="shared" si="146"/>
        <v>0.10810810810810823</v>
      </c>
      <c r="AC147" s="8">
        <f t="shared" si="147"/>
        <v>2.6125855730163572E-4</v>
      </c>
      <c r="AD147" s="2">
        <f t="shared" si="148"/>
        <v>2.6125855730163572E-4</v>
      </c>
      <c r="AE147" s="2">
        <f t="shared" si="149"/>
        <v>2.6125855730163572E-4</v>
      </c>
      <c r="AI147" s="8">
        <f t="shared" si="150"/>
        <v>1.7419998014267635E-2</v>
      </c>
      <c r="AJ147" s="2">
        <f t="shared" si="151"/>
        <v>1.7419998014267635E-2</v>
      </c>
      <c r="AK147" s="2">
        <f t="shared" si="152"/>
        <v>1.7419998014267635E-2</v>
      </c>
      <c r="AR147" s="8" t="e">
        <f t="shared" si="172"/>
        <v>#DIV/0!</v>
      </c>
      <c r="AS147" s="2" t="e">
        <f t="shared" si="173"/>
        <v>#DIV/0!</v>
      </c>
      <c r="AT147" s="2" t="e">
        <f t="shared" si="174"/>
        <v>#DIV/0!</v>
      </c>
      <c r="AU147" s="2" t="e">
        <f t="shared" si="153"/>
        <v>#DIV/0!</v>
      </c>
      <c r="AV147" s="2" t="e">
        <f t="shared" si="154"/>
        <v>#DIV/0!</v>
      </c>
      <c r="AW147" s="2" t="e">
        <f t="shared" si="155"/>
        <v>#DIV/0!</v>
      </c>
      <c r="BA147" s="8" t="e">
        <f t="shared" si="175"/>
        <v>#DIV/0!</v>
      </c>
      <c r="BB147" s="2" t="e">
        <f t="shared" si="176"/>
        <v>#DIV/0!</v>
      </c>
      <c r="BC147" s="2" t="e">
        <f t="shared" si="177"/>
        <v>#DIV/0!</v>
      </c>
      <c r="BD147" s="2" t="e">
        <f t="shared" si="156"/>
        <v>#DIV/0!</v>
      </c>
      <c r="BE147" s="2" t="e">
        <f t="shared" si="157"/>
        <v>#DIV/0!</v>
      </c>
      <c r="BF147" s="2" t="e">
        <f t="shared" si="158"/>
        <v>#DIV/0!</v>
      </c>
      <c r="BJ147" s="8" t="e">
        <f t="shared" si="178"/>
        <v>#DIV/0!</v>
      </c>
      <c r="BK147" s="2" t="e">
        <f t="shared" si="179"/>
        <v>#DIV/0!</v>
      </c>
      <c r="BL147" s="2" t="e">
        <f t="shared" si="180"/>
        <v>#DIV/0!</v>
      </c>
      <c r="BM147" s="2" t="e">
        <f t="shared" si="159"/>
        <v>#DIV/0!</v>
      </c>
      <c r="BN147" s="2" t="e">
        <f t="shared" si="160"/>
        <v>#DIV/0!</v>
      </c>
      <c r="BO147" s="2" t="e">
        <f t="shared" si="161"/>
        <v>#DIV/0!</v>
      </c>
      <c r="BS147" s="8" t="e">
        <f t="shared" si="181"/>
        <v>#DIV/0!</v>
      </c>
      <c r="BT147" s="2" t="e">
        <f t="shared" si="182"/>
        <v>#DIV/0!</v>
      </c>
      <c r="BU147" s="2" t="e">
        <f t="shared" si="183"/>
        <v>#DIV/0!</v>
      </c>
      <c r="BV147" s="2" t="e">
        <f t="shared" si="162"/>
        <v>#DIV/0!</v>
      </c>
      <c r="BW147" s="2" t="e">
        <f t="shared" si="163"/>
        <v>#DIV/0!</v>
      </c>
      <c r="BX147" s="2" t="e">
        <f t="shared" si="164"/>
        <v>#DIV/0!</v>
      </c>
      <c r="CE147" s="8" t="e">
        <f t="shared" si="184"/>
        <v>#DIV/0!</v>
      </c>
      <c r="CF147" s="2" t="e">
        <f t="shared" si="185"/>
        <v>#DIV/0!</v>
      </c>
      <c r="CG147" s="2" t="e">
        <f t="shared" si="186"/>
        <v>#DIV/0!</v>
      </c>
      <c r="CH147" s="2" t="e">
        <f t="shared" si="165"/>
        <v>#DIV/0!</v>
      </c>
      <c r="CI147" s="2" t="e">
        <f t="shared" si="166"/>
        <v>#DIV/0!</v>
      </c>
      <c r="CJ147" s="2" t="e">
        <f t="shared" si="167"/>
        <v>#DIV/0!</v>
      </c>
      <c r="CQ147" s="8" t="e">
        <f t="shared" si="187"/>
        <v>#DIV/0!</v>
      </c>
      <c r="CR147" s="2" t="e">
        <f t="shared" si="188"/>
        <v>#DIV/0!</v>
      </c>
      <c r="CS147" s="2" t="e">
        <f t="shared" si="189"/>
        <v>#DIV/0!</v>
      </c>
      <c r="CT147" s="2" t="e">
        <f t="shared" si="168"/>
        <v>#DIV/0!</v>
      </c>
      <c r="CU147" s="2" t="e">
        <f t="shared" si="169"/>
        <v>#DIV/0!</v>
      </c>
      <c r="CV147" s="2" t="e">
        <f t="shared" si="170"/>
        <v>#DIV/0!</v>
      </c>
    </row>
    <row r="148" spans="1:100" x14ac:dyDescent="0.2">
      <c r="A148" s="2">
        <f t="shared" si="133"/>
        <v>8.3333333333333233</v>
      </c>
      <c r="B148" s="2">
        <f t="shared" si="134"/>
        <v>2.4036947641951662E-4</v>
      </c>
      <c r="C148" s="2">
        <f t="shared" si="190"/>
        <v>2.4036947641951662E-4</v>
      </c>
      <c r="D148" s="2">
        <f t="shared" si="190"/>
        <v>2.4036947641951662E-4</v>
      </c>
      <c r="E148" s="8">
        <f t="shared" si="135"/>
        <v>2.4036947641951662E-4</v>
      </c>
      <c r="F148" s="2">
        <f t="shared" si="136"/>
        <v>2.4036947641951662E-4</v>
      </c>
      <c r="G148" s="2">
        <f t="shared" si="137"/>
        <v>2.4036947641951662E-4</v>
      </c>
      <c r="K148" s="8" t="e">
        <f t="shared" si="138"/>
        <v>#DIV/0!</v>
      </c>
      <c r="L148" s="2" t="e">
        <f t="shared" si="139"/>
        <v>#DIV/0!</v>
      </c>
      <c r="M148" s="2" t="e">
        <f t="shared" si="140"/>
        <v>#DIV/0!</v>
      </c>
      <c r="Q148" s="8">
        <f t="shared" si="141"/>
        <v>1.6991913455783769E-2</v>
      </c>
      <c r="R148" s="2">
        <f t="shared" si="142"/>
        <v>1.6991913455783769E-2</v>
      </c>
      <c r="S148" s="2">
        <f t="shared" si="143"/>
        <v>1.6991913455783769E-2</v>
      </c>
      <c r="W148" s="8">
        <f t="shared" si="144"/>
        <v>0.10714285714285721</v>
      </c>
      <c r="X148" s="2">
        <f t="shared" si="145"/>
        <v>0.10714285714285721</v>
      </c>
      <c r="Y148" s="2">
        <f t="shared" si="146"/>
        <v>0.10714285714285721</v>
      </c>
      <c r="AC148" s="8">
        <f t="shared" si="147"/>
        <v>2.4036947641947748E-4</v>
      </c>
      <c r="AD148" s="2">
        <f t="shared" si="148"/>
        <v>2.4036947641947748E-4</v>
      </c>
      <c r="AE148" s="2">
        <f t="shared" si="149"/>
        <v>2.4036947641947748E-4</v>
      </c>
      <c r="AI148" s="8">
        <f t="shared" si="150"/>
        <v>1.6991913455783769E-2</v>
      </c>
      <c r="AJ148" s="2">
        <f t="shared" si="151"/>
        <v>1.6991913455783769E-2</v>
      </c>
      <c r="AK148" s="2">
        <f t="shared" si="152"/>
        <v>1.6991913455783769E-2</v>
      </c>
      <c r="AR148" s="8" t="e">
        <f t="shared" si="172"/>
        <v>#DIV/0!</v>
      </c>
      <c r="AS148" s="2" t="e">
        <f t="shared" si="173"/>
        <v>#DIV/0!</v>
      </c>
      <c r="AT148" s="2" t="e">
        <f t="shared" si="174"/>
        <v>#DIV/0!</v>
      </c>
      <c r="AU148" s="2" t="e">
        <f t="shared" si="153"/>
        <v>#DIV/0!</v>
      </c>
      <c r="AV148" s="2" t="e">
        <f t="shared" si="154"/>
        <v>#DIV/0!</v>
      </c>
      <c r="AW148" s="2" t="e">
        <f t="shared" si="155"/>
        <v>#DIV/0!</v>
      </c>
      <c r="BA148" s="8" t="e">
        <f t="shared" si="175"/>
        <v>#DIV/0!</v>
      </c>
      <c r="BB148" s="2" t="e">
        <f t="shared" si="176"/>
        <v>#DIV/0!</v>
      </c>
      <c r="BC148" s="2" t="e">
        <f t="shared" si="177"/>
        <v>#DIV/0!</v>
      </c>
      <c r="BD148" s="2" t="e">
        <f t="shared" si="156"/>
        <v>#DIV/0!</v>
      </c>
      <c r="BE148" s="2" t="e">
        <f t="shared" si="157"/>
        <v>#DIV/0!</v>
      </c>
      <c r="BF148" s="2" t="e">
        <f t="shared" si="158"/>
        <v>#DIV/0!</v>
      </c>
      <c r="BJ148" s="8" t="e">
        <f t="shared" si="178"/>
        <v>#DIV/0!</v>
      </c>
      <c r="BK148" s="2" t="e">
        <f t="shared" si="179"/>
        <v>#DIV/0!</v>
      </c>
      <c r="BL148" s="2" t="e">
        <f t="shared" si="180"/>
        <v>#DIV/0!</v>
      </c>
      <c r="BM148" s="2" t="e">
        <f t="shared" si="159"/>
        <v>#DIV/0!</v>
      </c>
      <c r="BN148" s="2" t="e">
        <f t="shared" si="160"/>
        <v>#DIV/0!</v>
      </c>
      <c r="BO148" s="2" t="e">
        <f t="shared" si="161"/>
        <v>#DIV/0!</v>
      </c>
      <c r="BS148" s="8" t="e">
        <f t="shared" si="181"/>
        <v>#DIV/0!</v>
      </c>
      <c r="BT148" s="2" t="e">
        <f t="shared" si="182"/>
        <v>#DIV/0!</v>
      </c>
      <c r="BU148" s="2" t="e">
        <f t="shared" si="183"/>
        <v>#DIV/0!</v>
      </c>
      <c r="BV148" s="2" t="e">
        <f t="shared" si="162"/>
        <v>#DIV/0!</v>
      </c>
      <c r="BW148" s="2" t="e">
        <f t="shared" si="163"/>
        <v>#DIV/0!</v>
      </c>
      <c r="BX148" s="2" t="e">
        <f t="shared" si="164"/>
        <v>#DIV/0!</v>
      </c>
      <c r="CE148" s="8" t="e">
        <f t="shared" si="184"/>
        <v>#DIV/0!</v>
      </c>
      <c r="CF148" s="2" t="e">
        <f t="shared" si="185"/>
        <v>#DIV/0!</v>
      </c>
      <c r="CG148" s="2" t="e">
        <f t="shared" si="186"/>
        <v>#DIV/0!</v>
      </c>
      <c r="CH148" s="2" t="e">
        <f t="shared" si="165"/>
        <v>#DIV/0!</v>
      </c>
      <c r="CI148" s="2" t="e">
        <f t="shared" si="166"/>
        <v>#DIV/0!</v>
      </c>
      <c r="CJ148" s="2" t="e">
        <f t="shared" si="167"/>
        <v>#DIV/0!</v>
      </c>
      <c r="CQ148" s="8" t="e">
        <f t="shared" si="187"/>
        <v>#DIV/0!</v>
      </c>
      <c r="CR148" s="2" t="e">
        <f t="shared" si="188"/>
        <v>#DIV/0!</v>
      </c>
      <c r="CS148" s="2" t="e">
        <f t="shared" si="189"/>
        <v>#DIV/0!</v>
      </c>
      <c r="CT148" s="2" t="e">
        <f t="shared" si="168"/>
        <v>#DIV/0!</v>
      </c>
      <c r="CU148" s="2" t="e">
        <f t="shared" si="169"/>
        <v>#DIV/0!</v>
      </c>
      <c r="CV148" s="2" t="e">
        <f t="shared" si="170"/>
        <v>#DIV/0!</v>
      </c>
    </row>
    <row r="149" spans="1:100" x14ac:dyDescent="0.2">
      <c r="A149" s="2">
        <f t="shared" si="133"/>
        <v>8.4166666666666572</v>
      </c>
      <c r="B149" s="2">
        <f t="shared" si="134"/>
        <v>2.2115059422715097E-4</v>
      </c>
      <c r="C149" s="2">
        <f t="shared" si="190"/>
        <v>2.2115059422715097E-4</v>
      </c>
      <c r="D149" s="2">
        <f t="shared" si="190"/>
        <v>2.2115059422715097E-4</v>
      </c>
      <c r="E149" s="8">
        <f t="shared" si="135"/>
        <v>2.2115059422715097E-4</v>
      </c>
      <c r="F149" s="2">
        <f t="shared" si="136"/>
        <v>2.2115059422715097E-4</v>
      </c>
      <c r="G149" s="2">
        <f t="shared" si="137"/>
        <v>2.2115059422715097E-4</v>
      </c>
      <c r="K149" s="8" t="e">
        <f t="shared" si="138"/>
        <v>#DIV/0!</v>
      </c>
      <c r="L149" s="2" t="e">
        <f t="shared" si="139"/>
        <v>#DIV/0!</v>
      </c>
      <c r="M149" s="2" t="e">
        <f t="shared" si="140"/>
        <v>#DIV/0!</v>
      </c>
      <c r="Q149" s="8">
        <f t="shared" si="141"/>
        <v>1.6576980362649874E-2</v>
      </c>
      <c r="R149" s="2">
        <f t="shared" si="142"/>
        <v>1.6576980362649874E-2</v>
      </c>
      <c r="S149" s="2">
        <f t="shared" si="143"/>
        <v>1.6576980362649874E-2</v>
      </c>
      <c r="W149" s="8">
        <f t="shared" si="144"/>
        <v>0.10619469026548678</v>
      </c>
      <c r="X149" s="2">
        <f t="shared" si="145"/>
        <v>0.10619469026548678</v>
      </c>
      <c r="Y149" s="2">
        <f t="shared" si="146"/>
        <v>0.10619469026548678</v>
      </c>
      <c r="AC149" s="8">
        <f t="shared" si="147"/>
        <v>2.2115059422711525E-4</v>
      </c>
      <c r="AD149" s="2">
        <f t="shared" si="148"/>
        <v>2.2115059422711525E-4</v>
      </c>
      <c r="AE149" s="2">
        <f t="shared" si="149"/>
        <v>2.2115059422711525E-4</v>
      </c>
      <c r="AI149" s="8">
        <f t="shared" si="150"/>
        <v>1.6576980362649874E-2</v>
      </c>
      <c r="AJ149" s="2">
        <f t="shared" si="151"/>
        <v>1.6576980362649874E-2</v>
      </c>
      <c r="AK149" s="2">
        <f t="shared" si="152"/>
        <v>1.6576980362649874E-2</v>
      </c>
      <c r="AR149" s="8" t="e">
        <f t="shared" si="172"/>
        <v>#DIV/0!</v>
      </c>
      <c r="AS149" s="2" t="e">
        <f t="shared" si="173"/>
        <v>#DIV/0!</v>
      </c>
      <c r="AT149" s="2" t="e">
        <f t="shared" si="174"/>
        <v>#DIV/0!</v>
      </c>
      <c r="AU149" s="2" t="e">
        <f t="shared" si="153"/>
        <v>#DIV/0!</v>
      </c>
      <c r="AV149" s="2" t="e">
        <f t="shared" si="154"/>
        <v>#DIV/0!</v>
      </c>
      <c r="AW149" s="2" t="e">
        <f t="shared" si="155"/>
        <v>#DIV/0!</v>
      </c>
      <c r="BA149" s="8" t="e">
        <f t="shared" si="175"/>
        <v>#DIV/0!</v>
      </c>
      <c r="BB149" s="2" t="e">
        <f t="shared" si="176"/>
        <v>#DIV/0!</v>
      </c>
      <c r="BC149" s="2" t="e">
        <f t="shared" si="177"/>
        <v>#DIV/0!</v>
      </c>
      <c r="BD149" s="2" t="e">
        <f t="shared" si="156"/>
        <v>#DIV/0!</v>
      </c>
      <c r="BE149" s="2" t="e">
        <f t="shared" si="157"/>
        <v>#DIV/0!</v>
      </c>
      <c r="BF149" s="2" t="e">
        <f t="shared" si="158"/>
        <v>#DIV/0!</v>
      </c>
      <c r="BJ149" s="8" t="e">
        <f t="shared" si="178"/>
        <v>#DIV/0!</v>
      </c>
      <c r="BK149" s="2" t="e">
        <f t="shared" si="179"/>
        <v>#DIV/0!</v>
      </c>
      <c r="BL149" s="2" t="e">
        <f t="shared" si="180"/>
        <v>#DIV/0!</v>
      </c>
      <c r="BM149" s="2" t="e">
        <f t="shared" si="159"/>
        <v>#DIV/0!</v>
      </c>
      <c r="BN149" s="2" t="e">
        <f t="shared" si="160"/>
        <v>#DIV/0!</v>
      </c>
      <c r="BO149" s="2" t="e">
        <f t="shared" si="161"/>
        <v>#DIV/0!</v>
      </c>
      <c r="BS149" s="8" t="e">
        <f t="shared" si="181"/>
        <v>#DIV/0!</v>
      </c>
      <c r="BT149" s="2" t="e">
        <f t="shared" si="182"/>
        <v>#DIV/0!</v>
      </c>
      <c r="BU149" s="2" t="e">
        <f t="shared" si="183"/>
        <v>#DIV/0!</v>
      </c>
      <c r="BV149" s="2" t="e">
        <f t="shared" si="162"/>
        <v>#DIV/0!</v>
      </c>
      <c r="BW149" s="2" t="e">
        <f t="shared" si="163"/>
        <v>#DIV/0!</v>
      </c>
      <c r="BX149" s="2" t="e">
        <f t="shared" si="164"/>
        <v>#DIV/0!</v>
      </c>
      <c r="CE149" s="8" t="e">
        <f t="shared" si="184"/>
        <v>#DIV/0!</v>
      </c>
      <c r="CF149" s="2" t="e">
        <f t="shared" si="185"/>
        <v>#DIV/0!</v>
      </c>
      <c r="CG149" s="2" t="e">
        <f t="shared" si="186"/>
        <v>#DIV/0!</v>
      </c>
      <c r="CH149" s="2" t="e">
        <f t="shared" si="165"/>
        <v>#DIV/0!</v>
      </c>
      <c r="CI149" s="2" t="e">
        <f t="shared" si="166"/>
        <v>#DIV/0!</v>
      </c>
      <c r="CJ149" s="2" t="e">
        <f t="shared" si="167"/>
        <v>#DIV/0!</v>
      </c>
      <c r="CQ149" s="8" t="e">
        <f t="shared" si="187"/>
        <v>#DIV/0!</v>
      </c>
      <c r="CR149" s="2" t="e">
        <f t="shared" si="188"/>
        <v>#DIV/0!</v>
      </c>
      <c r="CS149" s="2" t="e">
        <f t="shared" si="189"/>
        <v>#DIV/0!</v>
      </c>
      <c r="CT149" s="2" t="e">
        <f t="shared" si="168"/>
        <v>#DIV/0!</v>
      </c>
      <c r="CU149" s="2" t="e">
        <f t="shared" si="169"/>
        <v>#DIV/0!</v>
      </c>
      <c r="CV149" s="2" t="e">
        <f t="shared" si="170"/>
        <v>#DIV/0!</v>
      </c>
    </row>
    <row r="150" spans="1:100" x14ac:dyDescent="0.2">
      <c r="A150" s="2">
        <f t="shared" si="133"/>
        <v>8.4999999999999911</v>
      </c>
      <c r="B150" s="2">
        <f t="shared" si="134"/>
        <v>2.0346836901064598E-4</v>
      </c>
      <c r="C150" s="2">
        <f t="shared" si="190"/>
        <v>2.0346836901064598E-4</v>
      </c>
      <c r="D150" s="2">
        <f t="shared" si="190"/>
        <v>2.0346836901064598E-4</v>
      </c>
      <c r="E150" s="8">
        <f t="shared" si="135"/>
        <v>2.0346836901064598E-4</v>
      </c>
      <c r="F150" s="2">
        <f t="shared" si="136"/>
        <v>2.0346836901064598E-4</v>
      </c>
      <c r="G150" s="2">
        <f t="shared" si="137"/>
        <v>2.0346836901064598E-4</v>
      </c>
      <c r="K150" s="8" t="e">
        <f t="shared" si="138"/>
        <v>#DIV/0!</v>
      </c>
      <c r="L150" s="2" t="e">
        <f t="shared" si="139"/>
        <v>#DIV/0!</v>
      </c>
      <c r="M150" s="2" t="e">
        <f t="shared" si="140"/>
        <v>#DIV/0!</v>
      </c>
      <c r="Q150" s="8">
        <f t="shared" si="141"/>
        <v>1.6174710056386488E-2</v>
      </c>
      <c r="R150" s="2">
        <f t="shared" si="142"/>
        <v>1.6174710056386488E-2</v>
      </c>
      <c r="S150" s="2">
        <f t="shared" si="143"/>
        <v>1.6174710056386488E-2</v>
      </c>
      <c r="W150" s="8">
        <f t="shared" si="144"/>
        <v>0.10526315789473684</v>
      </c>
      <c r="X150" s="2">
        <f t="shared" si="145"/>
        <v>0.10526315789473684</v>
      </c>
      <c r="Y150" s="2">
        <f t="shared" si="146"/>
        <v>0.10526315789473684</v>
      </c>
      <c r="AC150" s="8">
        <f t="shared" si="147"/>
        <v>2.034683690106398E-4</v>
      </c>
      <c r="AD150" s="2">
        <f t="shared" si="148"/>
        <v>2.034683690106398E-4</v>
      </c>
      <c r="AE150" s="2">
        <f t="shared" si="149"/>
        <v>2.034683690106398E-4</v>
      </c>
      <c r="AI150" s="8">
        <f t="shared" si="150"/>
        <v>1.6174710056386488E-2</v>
      </c>
      <c r="AJ150" s="2">
        <f t="shared" si="151"/>
        <v>1.6174710056386488E-2</v>
      </c>
      <c r="AK150" s="2">
        <f t="shared" si="152"/>
        <v>1.6174710056386488E-2</v>
      </c>
      <c r="AR150" s="8" t="e">
        <f t="shared" si="172"/>
        <v>#DIV/0!</v>
      </c>
      <c r="AS150" s="2" t="e">
        <f t="shared" si="173"/>
        <v>#DIV/0!</v>
      </c>
      <c r="AT150" s="2" t="e">
        <f t="shared" si="174"/>
        <v>#DIV/0!</v>
      </c>
      <c r="AU150" s="2" t="e">
        <f t="shared" si="153"/>
        <v>#DIV/0!</v>
      </c>
      <c r="AV150" s="2" t="e">
        <f t="shared" si="154"/>
        <v>#DIV/0!</v>
      </c>
      <c r="AW150" s="2" t="e">
        <f t="shared" si="155"/>
        <v>#DIV/0!</v>
      </c>
      <c r="BA150" s="8" t="e">
        <f t="shared" si="175"/>
        <v>#DIV/0!</v>
      </c>
      <c r="BB150" s="2" t="e">
        <f t="shared" si="176"/>
        <v>#DIV/0!</v>
      </c>
      <c r="BC150" s="2" t="e">
        <f t="shared" si="177"/>
        <v>#DIV/0!</v>
      </c>
      <c r="BD150" s="2" t="e">
        <f t="shared" si="156"/>
        <v>#DIV/0!</v>
      </c>
      <c r="BE150" s="2" t="e">
        <f t="shared" si="157"/>
        <v>#DIV/0!</v>
      </c>
      <c r="BF150" s="2" t="e">
        <f t="shared" si="158"/>
        <v>#DIV/0!</v>
      </c>
      <c r="BJ150" s="8" t="e">
        <f t="shared" si="178"/>
        <v>#DIV/0!</v>
      </c>
      <c r="BK150" s="2" t="e">
        <f t="shared" si="179"/>
        <v>#DIV/0!</v>
      </c>
      <c r="BL150" s="2" t="e">
        <f t="shared" si="180"/>
        <v>#DIV/0!</v>
      </c>
      <c r="BM150" s="2" t="e">
        <f t="shared" si="159"/>
        <v>#DIV/0!</v>
      </c>
      <c r="BN150" s="2" t="e">
        <f t="shared" si="160"/>
        <v>#DIV/0!</v>
      </c>
      <c r="BO150" s="2" t="e">
        <f t="shared" si="161"/>
        <v>#DIV/0!</v>
      </c>
      <c r="BS150" s="8" t="e">
        <f t="shared" si="181"/>
        <v>#DIV/0!</v>
      </c>
      <c r="BT150" s="2" t="e">
        <f t="shared" si="182"/>
        <v>#DIV/0!</v>
      </c>
      <c r="BU150" s="2" t="e">
        <f t="shared" si="183"/>
        <v>#DIV/0!</v>
      </c>
      <c r="BV150" s="2" t="e">
        <f t="shared" si="162"/>
        <v>#DIV/0!</v>
      </c>
      <c r="BW150" s="2" t="e">
        <f t="shared" si="163"/>
        <v>#DIV/0!</v>
      </c>
      <c r="BX150" s="2" t="e">
        <f t="shared" si="164"/>
        <v>#DIV/0!</v>
      </c>
      <c r="CE150" s="8" t="e">
        <f t="shared" si="184"/>
        <v>#DIV/0!</v>
      </c>
      <c r="CF150" s="2" t="e">
        <f t="shared" si="185"/>
        <v>#DIV/0!</v>
      </c>
      <c r="CG150" s="2" t="e">
        <f t="shared" si="186"/>
        <v>#DIV/0!</v>
      </c>
      <c r="CH150" s="2" t="e">
        <f t="shared" si="165"/>
        <v>#DIV/0!</v>
      </c>
      <c r="CI150" s="2" t="e">
        <f t="shared" si="166"/>
        <v>#DIV/0!</v>
      </c>
      <c r="CJ150" s="2" t="e">
        <f t="shared" si="167"/>
        <v>#DIV/0!</v>
      </c>
      <c r="CQ150" s="8" t="e">
        <f t="shared" si="187"/>
        <v>#DIV/0!</v>
      </c>
      <c r="CR150" s="2" t="e">
        <f t="shared" si="188"/>
        <v>#DIV/0!</v>
      </c>
      <c r="CS150" s="2" t="e">
        <f t="shared" si="189"/>
        <v>#DIV/0!</v>
      </c>
      <c r="CT150" s="2" t="e">
        <f t="shared" si="168"/>
        <v>#DIV/0!</v>
      </c>
      <c r="CU150" s="2" t="e">
        <f t="shared" si="169"/>
        <v>#DIV/0!</v>
      </c>
      <c r="CV150" s="2" t="e">
        <f t="shared" si="170"/>
        <v>#DIV/0!</v>
      </c>
    </row>
    <row r="151" spans="1:100" x14ac:dyDescent="0.2">
      <c r="A151" s="2">
        <f t="shared" si="133"/>
        <v>8.583333333333325</v>
      </c>
      <c r="B151" s="2">
        <f t="shared" si="134"/>
        <v>1.8719993646198281E-4</v>
      </c>
      <c r="C151" s="2">
        <f t="shared" si="190"/>
        <v>1.8719993646198281E-4</v>
      </c>
      <c r="D151" s="2">
        <f t="shared" si="190"/>
        <v>1.8719993646198281E-4</v>
      </c>
      <c r="E151" s="8">
        <f t="shared" si="135"/>
        <v>1.8719993646198281E-4</v>
      </c>
      <c r="F151" s="2">
        <f t="shared" si="136"/>
        <v>1.8719993646198281E-4</v>
      </c>
      <c r="G151" s="2">
        <f t="shared" si="137"/>
        <v>1.8719993646198281E-4</v>
      </c>
      <c r="K151" s="8" t="e">
        <f t="shared" si="138"/>
        <v>#DIV/0!</v>
      </c>
      <c r="L151" s="2" t="e">
        <f t="shared" si="139"/>
        <v>#DIV/0!</v>
      </c>
      <c r="M151" s="2" t="e">
        <f t="shared" si="140"/>
        <v>#DIV/0!</v>
      </c>
      <c r="Q151" s="8">
        <f t="shared" si="141"/>
        <v>1.5784635255215118E-2</v>
      </c>
      <c r="R151" s="2">
        <f t="shared" si="142"/>
        <v>1.5784635255215118E-2</v>
      </c>
      <c r="S151" s="2">
        <f t="shared" si="143"/>
        <v>1.5784635255215118E-2</v>
      </c>
      <c r="W151" s="8">
        <f t="shared" si="144"/>
        <v>0.1043478260869567</v>
      </c>
      <c r="X151" s="2">
        <f t="shared" si="145"/>
        <v>0.1043478260869567</v>
      </c>
      <c r="Y151" s="2">
        <f t="shared" si="146"/>
        <v>0.1043478260869567</v>
      </c>
      <c r="AC151" s="8">
        <f t="shared" si="147"/>
        <v>1.8719993646199029E-4</v>
      </c>
      <c r="AD151" s="2">
        <f t="shared" si="148"/>
        <v>1.8719993646199029E-4</v>
      </c>
      <c r="AE151" s="2">
        <f t="shared" si="149"/>
        <v>1.8719993646199029E-4</v>
      </c>
      <c r="AI151" s="8">
        <f t="shared" si="150"/>
        <v>1.5784635255215118E-2</v>
      </c>
      <c r="AJ151" s="2">
        <f t="shared" si="151"/>
        <v>1.5784635255215118E-2</v>
      </c>
      <c r="AK151" s="2">
        <f t="shared" si="152"/>
        <v>1.5784635255215118E-2</v>
      </c>
      <c r="AR151" s="8" t="e">
        <f t="shared" si="172"/>
        <v>#DIV/0!</v>
      </c>
      <c r="AS151" s="2" t="e">
        <f t="shared" si="173"/>
        <v>#DIV/0!</v>
      </c>
      <c r="AT151" s="2" t="e">
        <f t="shared" si="174"/>
        <v>#DIV/0!</v>
      </c>
      <c r="AU151" s="2" t="e">
        <f t="shared" si="153"/>
        <v>#DIV/0!</v>
      </c>
      <c r="AV151" s="2" t="e">
        <f t="shared" si="154"/>
        <v>#DIV/0!</v>
      </c>
      <c r="AW151" s="2" t="e">
        <f t="shared" si="155"/>
        <v>#DIV/0!</v>
      </c>
      <c r="BA151" s="8" t="e">
        <f t="shared" si="175"/>
        <v>#DIV/0!</v>
      </c>
      <c r="BB151" s="2" t="e">
        <f t="shared" si="176"/>
        <v>#DIV/0!</v>
      </c>
      <c r="BC151" s="2" t="e">
        <f t="shared" si="177"/>
        <v>#DIV/0!</v>
      </c>
      <c r="BD151" s="2" t="e">
        <f t="shared" si="156"/>
        <v>#DIV/0!</v>
      </c>
      <c r="BE151" s="2" t="e">
        <f t="shared" si="157"/>
        <v>#DIV/0!</v>
      </c>
      <c r="BF151" s="2" t="e">
        <f t="shared" si="158"/>
        <v>#DIV/0!</v>
      </c>
      <c r="BJ151" s="8" t="e">
        <f t="shared" si="178"/>
        <v>#DIV/0!</v>
      </c>
      <c r="BK151" s="2" t="e">
        <f t="shared" si="179"/>
        <v>#DIV/0!</v>
      </c>
      <c r="BL151" s="2" t="e">
        <f t="shared" si="180"/>
        <v>#DIV/0!</v>
      </c>
      <c r="BM151" s="2" t="e">
        <f t="shared" si="159"/>
        <v>#DIV/0!</v>
      </c>
      <c r="BN151" s="2" t="e">
        <f t="shared" si="160"/>
        <v>#DIV/0!</v>
      </c>
      <c r="BO151" s="2" t="e">
        <f t="shared" si="161"/>
        <v>#DIV/0!</v>
      </c>
      <c r="BS151" s="8" t="e">
        <f t="shared" si="181"/>
        <v>#DIV/0!</v>
      </c>
      <c r="BT151" s="2" t="e">
        <f t="shared" si="182"/>
        <v>#DIV/0!</v>
      </c>
      <c r="BU151" s="2" t="e">
        <f t="shared" si="183"/>
        <v>#DIV/0!</v>
      </c>
      <c r="BV151" s="2" t="e">
        <f t="shared" si="162"/>
        <v>#DIV/0!</v>
      </c>
      <c r="BW151" s="2" t="e">
        <f t="shared" si="163"/>
        <v>#DIV/0!</v>
      </c>
      <c r="BX151" s="2" t="e">
        <f t="shared" si="164"/>
        <v>#DIV/0!</v>
      </c>
      <c r="CE151" s="8" t="e">
        <f t="shared" si="184"/>
        <v>#DIV/0!</v>
      </c>
      <c r="CF151" s="2" t="e">
        <f t="shared" si="185"/>
        <v>#DIV/0!</v>
      </c>
      <c r="CG151" s="2" t="e">
        <f t="shared" si="186"/>
        <v>#DIV/0!</v>
      </c>
      <c r="CH151" s="2" t="e">
        <f t="shared" si="165"/>
        <v>#DIV/0!</v>
      </c>
      <c r="CI151" s="2" t="e">
        <f t="shared" si="166"/>
        <v>#DIV/0!</v>
      </c>
      <c r="CJ151" s="2" t="e">
        <f t="shared" si="167"/>
        <v>#DIV/0!</v>
      </c>
      <c r="CQ151" s="8" t="e">
        <f t="shared" si="187"/>
        <v>#DIV/0!</v>
      </c>
      <c r="CR151" s="2" t="e">
        <f t="shared" si="188"/>
        <v>#DIV/0!</v>
      </c>
      <c r="CS151" s="2" t="e">
        <f t="shared" si="189"/>
        <v>#DIV/0!</v>
      </c>
      <c r="CT151" s="2" t="e">
        <f t="shared" si="168"/>
        <v>#DIV/0!</v>
      </c>
      <c r="CU151" s="2" t="e">
        <f t="shared" si="169"/>
        <v>#DIV/0!</v>
      </c>
      <c r="CV151" s="2" t="e">
        <f t="shared" si="170"/>
        <v>#DIV/0!</v>
      </c>
    </row>
    <row r="152" spans="1:100" x14ac:dyDescent="0.2">
      <c r="A152" s="2">
        <f t="shared" si="133"/>
        <v>8.666666666666659</v>
      </c>
      <c r="B152" s="2">
        <f t="shared" si="134"/>
        <v>1.7223225596081138E-4</v>
      </c>
      <c r="C152" s="2">
        <f t="shared" si="190"/>
        <v>1.7223225596081138E-4</v>
      </c>
      <c r="D152" s="2">
        <f t="shared" si="190"/>
        <v>1.7223225596081138E-4</v>
      </c>
      <c r="E152" s="8">
        <f t="shared" si="135"/>
        <v>1.7223225596081138E-4</v>
      </c>
      <c r="F152" s="2">
        <f t="shared" si="136"/>
        <v>1.7223225596081138E-4</v>
      </c>
      <c r="G152" s="2">
        <f t="shared" si="137"/>
        <v>1.7223225596081138E-4</v>
      </c>
      <c r="K152" s="8" t="e">
        <f t="shared" si="138"/>
        <v>#DIV/0!</v>
      </c>
      <c r="L152" s="2" t="e">
        <f t="shared" si="139"/>
        <v>#DIV/0!</v>
      </c>
      <c r="M152" s="2" t="e">
        <f t="shared" si="140"/>
        <v>#DIV/0!</v>
      </c>
      <c r="Q152" s="8">
        <f t="shared" si="141"/>
        <v>1.5406308992909512E-2</v>
      </c>
      <c r="R152" s="2">
        <f t="shared" si="142"/>
        <v>1.5406308992909512E-2</v>
      </c>
      <c r="S152" s="2">
        <f t="shared" si="143"/>
        <v>1.5406308992909512E-2</v>
      </c>
      <c r="W152" s="8">
        <f t="shared" si="144"/>
        <v>0.10344827586206895</v>
      </c>
      <c r="X152" s="2">
        <f t="shared" si="145"/>
        <v>0.10344827586206895</v>
      </c>
      <c r="Y152" s="2">
        <f t="shared" si="146"/>
        <v>0.10344827586206895</v>
      </c>
      <c r="AC152" s="8">
        <f t="shared" si="147"/>
        <v>1.7223225596085801E-4</v>
      </c>
      <c r="AD152" s="2">
        <f t="shared" si="148"/>
        <v>1.7223225596085801E-4</v>
      </c>
      <c r="AE152" s="2">
        <f t="shared" si="149"/>
        <v>1.7223225596085801E-4</v>
      </c>
      <c r="AI152" s="8">
        <f t="shared" si="150"/>
        <v>1.5406308992909512E-2</v>
      </c>
      <c r="AJ152" s="2">
        <f t="shared" si="151"/>
        <v>1.5406308992909512E-2</v>
      </c>
      <c r="AK152" s="2">
        <f t="shared" si="152"/>
        <v>1.5406308992909512E-2</v>
      </c>
      <c r="AR152" s="8" t="e">
        <f t="shared" si="172"/>
        <v>#DIV/0!</v>
      </c>
      <c r="AS152" s="2" t="e">
        <f t="shared" si="173"/>
        <v>#DIV/0!</v>
      </c>
      <c r="AT152" s="2" t="e">
        <f t="shared" si="174"/>
        <v>#DIV/0!</v>
      </c>
      <c r="AU152" s="2" t="e">
        <f t="shared" si="153"/>
        <v>#DIV/0!</v>
      </c>
      <c r="AV152" s="2" t="e">
        <f t="shared" si="154"/>
        <v>#DIV/0!</v>
      </c>
      <c r="AW152" s="2" t="e">
        <f t="shared" si="155"/>
        <v>#DIV/0!</v>
      </c>
      <c r="BA152" s="8" t="e">
        <f t="shared" si="175"/>
        <v>#DIV/0!</v>
      </c>
      <c r="BB152" s="2" t="e">
        <f t="shared" si="176"/>
        <v>#DIV/0!</v>
      </c>
      <c r="BC152" s="2" t="e">
        <f t="shared" si="177"/>
        <v>#DIV/0!</v>
      </c>
      <c r="BD152" s="2" t="e">
        <f t="shared" si="156"/>
        <v>#DIV/0!</v>
      </c>
      <c r="BE152" s="2" t="e">
        <f t="shared" si="157"/>
        <v>#DIV/0!</v>
      </c>
      <c r="BF152" s="2" t="e">
        <f t="shared" si="158"/>
        <v>#DIV/0!</v>
      </c>
      <c r="BJ152" s="8" t="e">
        <f t="shared" si="178"/>
        <v>#DIV/0!</v>
      </c>
      <c r="BK152" s="2" t="e">
        <f t="shared" si="179"/>
        <v>#DIV/0!</v>
      </c>
      <c r="BL152" s="2" t="e">
        <f t="shared" si="180"/>
        <v>#DIV/0!</v>
      </c>
      <c r="BM152" s="2" t="e">
        <f t="shared" si="159"/>
        <v>#DIV/0!</v>
      </c>
      <c r="BN152" s="2" t="e">
        <f t="shared" si="160"/>
        <v>#DIV/0!</v>
      </c>
      <c r="BO152" s="2" t="e">
        <f t="shared" si="161"/>
        <v>#DIV/0!</v>
      </c>
      <c r="BS152" s="8" t="e">
        <f t="shared" si="181"/>
        <v>#DIV/0!</v>
      </c>
      <c r="BT152" s="2" t="e">
        <f t="shared" si="182"/>
        <v>#DIV/0!</v>
      </c>
      <c r="BU152" s="2" t="e">
        <f t="shared" si="183"/>
        <v>#DIV/0!</v>
      </c>
      <c r="BV152" s="2" t="e">
        <f t="shared" si="162"/>
        <v>#DIV/0!</v>
      </c>
      <c r="BW152" s="2" t="e">
        <f t="shared" si="163"/>
        <v>#DIV/0!</v>
      </c>
      <c r="BX152" s="2" t="e">
        <f t="shared" si="164"/>
        <v>#DIV/0!</v>
      </c>
      <c r="CE152" s="8" t="e">
        <f t="shared" si="184"/>
        <v>#DIV/0!</v>
      </c>
      <c r="CF152" s="2" t="e">
        <f t="shared" si="185"/>
        <v>#DIV/0!</v>
      </c>
      <c r="CG152" s="2" t="e">
        <f t="shared" si="186"/>
        <v>#DIV/0!</v>
      </c>
      <c r="CH152" s="2" t="e">
        <f t="shared" si="165"/>
        <v>#DIV/0!</v>
      </c>
      <c r="CI152" s="2" t="e">
        <f t="shared" si="166"/>
        <v>#DIV/0!</v>
      </c>
      <c r="CJ152" s="2" t="e">
        <f t="shared" si="167"/>
        <v>#DIV/0!</v>
      </c>
      <c r="CQ152" s="8" t="e">
        <f t="shared" si="187"/>
        <v>#DIV/0!</v>
      </c>
      <c r="CR152" s="2" t="e">
        <f t="shared" si="188"/>
        <v>#DIV/0!</v>
      </c>
      <c r="CS152" s="2" t="e">
        <f t="shared" si="189"/>
        <v>#DIV/0!</v>
      </c>
      <c r="CT152" s="2" t="e">
        <f t="shared" si="168"/>
        <v>#DIV/0!</v>
      </c>
      <c r="CU152" s="2" t="e">
        <f t="shared" si="169"/>
        <v>#DIV/0!</v>
      </c>
      <c r="CV152" s="2" t="e">
        <f t="shared" si="170"/>
        <v>#DIV/0!</v>
      </c>
    </row>
    <row r="153" spans="1:100" x14ac:dyDescent="0.2">
      <c r="A153" s="2">
        <f t="shared" si="133"/>
        <v>8.7499999999999929</v>
      </c>
      <c r="B153" s="2">
        <f t="shared" si="134"/>
        <v>1.5846132511575237E-4</v>
      </c>
      <c r="C153" s="2">
        <f t="shared" si="190"/>
        <v>1.5846132511575237E-4</v>
      </c>
      <c r="D153" s="2">
        <f t="shared" si="190"/>
        <v>1.5846132511575237E-4</v>
      </c>
      <c r="E153" s="8">
        <f t="shared" si="135"/>
        <v>1.5846132511575237E-4</v>
      </c>
      <c r="F153" s="2">
        <f t="shared" si="136"/>
        <v>1.5846132511575237E-4</v>
      </c>
      <c r="G153" s="2">
        <f t="shared" si="137"/>
        <v>1.5846132511575237E-4</v>
      </c>
      <c r="K153" s="8" t="e">
        <f t="shared" si="138"/>
        <v>#DIV/0!</v>
      </c>
      <c r="L153" s="2" t="e">
        <f t="shared" si="139"/>
        <v>#DIV/0!</v>
      </c>
      <c r="M153" s="2" t="e">
        <f t="shared" si="140"/>
        <v>#DIV/0!</v>
      </c>
      <c r="Q153" s="8">
        <f t="shared" si="141"/>
        <v>1.5039303599632015E-2</v>
      </c>
      <c r="R153" s="2">
        <f t="shared" si="142"/>
        <v>1.5039303599632015E-2</v>
      </c>
      <c r="S153" s="2">
        <f t="shared" si="143"/>
        <v>1.5039303599632015E-2</v>
      </c>
      <c r="W153" s="8">
        <f t="shared" si="144"/>
        <v>0.10256410256410264</v>
      </c>
      <c r="X153" s="2">
        <f t="shared" si="145"/>
        <v>0.10256410256410264</v>
      </c>
      <c r="Y153" s="2">
        <f t="shared" si="146"/>
        <v>0.10256410256410264</v>
      </c>
      <c r="AC153" s="8">
        <f t="shared" si="147"/>
        <v>1.5846132511576627E-4</v>
      </c>
      <c r="AD153" s="2">
        <f t="shared" si="148"/>
        <v>1.5846132511576627E-4</v>
      </c>
      <c r="AE153" s="2">
        <f t="shared" si="149"/>
        <v>1.5846132511576627E-4</v>
      </c>
      <c r="AI153" s="8">
        <f t="shared" si="150"/>
        <v>1.5039303599632015E-2</v>
      </c>
      <c r="AJ153" s="2">
        <f t="shared" si="151"/>
        <v>1.5039303599632015E-2</v>
      </c>
      <c r="AK153" s="2">
        <f t="shared" si="152"/>
        <v>1.5039303599632015E-2</v>
      </c>
      <c r="AR153" s="8" t="e">
        <f t="shared" si="172"/>
        <v>#DIV/0!</v>
      </c>
      <c r="AS153" s="2" t="e">
        <f t="shared" si="173"/>
        <v>#DIV/0!</v>
      </c>
      <c r="AT153" s="2" t="e">
        <f t="shared" si="174"/>
        <v>#DIV/0!</v>
      </c>
      <c r="AU153" s="2" t="e">
        <f t="shared" si="153"/>
        <v>#DIV/0!</v>
      </c>
      <c r="AV153" s="2" t="e">
        <f t="shared" si="154"/>
        <v>#DIV/0!</v>
      </c>
      <c r="AW153" s="2" t="e">
        <f t="shared" si="155"/>
        <v>#DIV/0!</v>
      </c>
      <c r="BA153" s="8" t="e">
        <f t="shared" si="175"/>
        <v>#DIV/0!</v>
      </c>
      <c r="BB153" s="2" t="e">
        <f t="shared" si="176"/>
        <v>#DIV/0!</v>
      </c>
      <c r="BC153" s="2" t="e">
        <f t="shared" si="177"/>
        <v>#DIV/0!</v>
      </c>
      <c r="BD153" s="2" t="e">
        <f t="shared" si="156"/>
        <v>#DIV/0!</v>
      </c>
      <c r="BE153" s="2" t="e">
        <f t="shared" si="157"/>
        <v>#DIV/0!</v>
      </c>
      <c r="BF153" s="2" t="e">
        <f t="shared" si="158"/>
        <v>#DIV/0!</v>
      </c>
      <c r="BJ153" s="8" t="e">
        <f t="shared" si="178"/>
        <v>#DIV/0!</v>
      </c>
      <c r="BK153" s="2" t="e">
        <f t="shared" si="179"/>
        <v>#DIV/0!</v>
      </c>
      <c r="BL153" s="2" t="e">
        <f t="shared" si="180"/>
        <v>#DIV/0!</v>
      </c>
      <c r="BM153" s="2" t="e">
        <f t="shared" si="159"/>
        <v>#DIV/0!</v>
      </c>
      <c r="BN153" s="2" t="e">
        <f t="shared" si="160"/>
        <v>#DIV/0!</v>
      </c>
      <c r="BO153" s="2" t="e">
        <f t="shared" si="161"/>
        <v>#DIV/0!</v>
      </c>
      <c r="BS153" s="8" t="e">
        <f t="shared" si="181"/>
        <v>#DIV/0!</v>
      </c>
      <c r="BT153" s="2" t="e">
        <f t="shared" si="182"/>
        <v>#DIV/0!</v>
      </c>
      <c r="BU153" s="2" t="e">
        <f t="shared" si="183"/>
        <v>#DIV/0!</v>
      </c>
      <c r="BV153" s="2" t="e">
        <f t="shared" si="162"/>
        <v>#DIV/0!</v>
      </c>
      <c r="BW153" s="2" t="e">
        <f t="shared" si="163"/>
        <v>#DIV/0!</v>
      </c>
      <c r="BX153" s="2" t="e">
        <f t="shared" si="164"/>
        <v>#DIV/0!</v>
      </c>
      <c r="CE153" s="8" t="e">
        <f t="shared" si="184"/>
        <v>#DIV/0!</v>
      </c>
      <c r="CF153" s="2" t="e">
        <f t="shared" si="185"/>
        <v>#DIV/0!</v>
      </c>
      <c r="CG153" s="2" t="e">
        <f t="shared" si="186"/>
        <v>#DIV/0!</v>
      </c>
      <c r="CH153" s="2" t="e">
        <f t="shared" si="165"/>
        <v>#DIV/0!</v>
      </c>
      <c r="CI153" s="2" t="e">
        <f t="shared" si="166"/>
        <v>#DIV/0!</v>
      </c>
      <c r="CJ153" s="2" t="e">
        <f t="shared" si="167"/>
        <v>#DIV/0!</v>
      </c>
      <c r="CQ153" s="8" t="e">
        <f t="shared" si="187"/>
        <v>#DIV/0!</v>
      </c>
      <c r="CR153" s="2" t="e">
        <f t="shared" si="188"/>
        <v>#DIV/0!</v>
      </c>
      <c r="CS153" s="2" t="e">
        <f t="shared" si="189"/>
        <v>#DIV/0!</v>
      </c>
      <c r="CT153" s="2" t="e">
        <f t="shared" si="168"/>
        <v>#DIV/0!</v>
      </c>
      <c r="CU153" s="2" t="e">
        <f t="shared" si="169"/>
        <v>#DIV/0!</v>
      </c>
      <c r="CV153" s="2" t="e">
        <f t="shared" si="170"/>
        <v>#DIV/0!</v>
      </c>
    </row>
    <row r="154" spans="1:100" x14ac:dyDescent="0.2">
      <c r="A154" s="2">
        <f t="shared" si="133"/>
        <v>8.8333333333333268</v>
      </c>
      <c r="B154" s="2">
        <f t="shared" si="134"/>
        <v>1.4579145710750919E-4</v>
      </c>
      <c r="C154" s="2">
        <f t="shared" si="190"/>
        <v>1.4579145710750919E-4</v>
      </c>
      <c r="D154" s="2">
        <f t="shared" si="190"/>
        <v>1.4579145710750919E-4</v>
      </c>
      <c r="E154" s="8">
        <f t="shared" si="135"/>
        <v>1.4579145710750919E-4</v>
      </c>
      <c r="F154" s="2">
        <f t="shared" si="136"/>
        <v>1.4579145710750919E-4</v>
      </c>
      <c r="G154" s="2">
        <f t="shared" si="137"/>
        <v>1.4579145710750919E-4</v>
      </c>
      <c r="K154" s="8" t="e">
        <f t="shared" si="138"/>
        <v>#DIV/0!</v>
      </c>
      <c r="L154" s="2" t="e">
        <f t="shared" si="139"/>
        <v>#DIV/0!</v>
      </c>
      <c r="M154" s="2" t="e">
        <f t="shared" si="140"/>
        <v>#DIV/0!</v>
      </c>
      <c r="Q154" s="8">
        <f t="shared" si="141"/>
        <v>1.4683209740778969E-2</v>
      </c>
      <c r="R154" s="2">
        <f t="shared" si="142"/>
        <v>1.4683209740778969E-2</v>
      </c>
      <c r="S154" s="2">
        <f t="shared" si="143"/>
        <v>1.4683209740778969E-2</v>
      </c>
      <c r="W154" s="8">
        <f t="shared" si="144"/>
        <v>0.10169491525423724</v>
      </c>
      <c r="X154" s="2">
        <f t="shared" si="145"/>
        <v>0.10169491525423724</v>
      </c>
      <c r="Y154" s="2">
        <f t="shared" si="146"/>
        <v>0.10169491525423724</v>
      </c>
      <c r="AC154" s="8">
        <f t="shared" si="147"/>
        <v>1.4579145710746921E-4</v>
      </c>
      <c r="AD154" s="2">
        <f t="shared" si="148"/>
        <v>1.4579145710746921E-4</v>
      </c>
      <c r="AE154" s="2">
        <f t="shared" si="149"/>
        <v>1.4579145710746921E-4</v>
      </c>
      <c r="AI154" s="8">
        <f t="shared" si="150"/>
        <v>1.4683209740778969E-2</v>
      </c>
      <c r="AJ154" s="2">
        <f t="shared" si="151"/>
        <v>1.4683209740778969E-2</v>
      </c>
      <c r="AK154" s="2">
        <f t="shared" si="152"/>
        <v>1.4683209740778969E-2</v>
      </c>
      <c r="AR154" s="8" t="e">
        <f t="shared" si="172"/>
        <v>#DIV/0!</v>
      </c>
      <c r="AS154" s="2" t="e">
        <f t="shared" si="173"/>
        <v>#DIV/0!</v>
      </c>
      <c r="AT154" s="2" t="e">
        <f t="shared" si="174"/>
        <v>#DIV/0!</v>
      </c>
      <c r="AU154" s="2" t="e">
        <f t="shared" si="153"/>
        <v>#DIV/0!</v>
      </c>
      <c r="AV154" s="2" t="e">
        <f t="shared" si="154"/>
        <v>#DIV/0!</v>
      </c>
      <c r="AW154" s="2" t="e">
        <f t="shared" si="155"/>
        <v>#DIV/0!</v>
      </c>
      <c r="BA154" s="8" t="e">
        <f t="shared" si="175"/>
        <v>#DIV/0!</v>
      </c>
      <c r="BB154" s="2" t="e">
        <f t="shared" si="176"/>
        <v>#DIV/0!</v>
      </c>
      <c r="BC154" s="2" t="e">
        <f t="shared" si="177"/>
        <v>#DIV/0!</v>
      </c>
      <c r="BD154" s="2" t="e">
        <f t="shared" si="156"/>
        <v>#DIV/0!</v>
      </c>
      <c r="BE154" s="2" t="e">
        <f t="shared" si="157"/>
        <v>#DIV/0!</v>
      </c>
      <c r="BF154" s="2" t="e">
        <f t="shared" si="158"/>
        <v>#DIV/0!</v>
      </c>
      <c r="BJ154" s="8" t="e">
        <f t="shared" si="178"/>
        <v>#DIV/0!</v>
      </c>
      <c r="BK154" s="2" t="e">
        <f t="shared" si="179"/>
        <v>#DIV/0!</v>
      </c>
      <c r="BL154" s="2" t="e">
        <f t="shared" si="180"/>
        <v>#DIV/0!</v>
      </c>
      <c r="BM154" s="2" t="e">
        <f t="shared" si="159"/>
        <v>#DIV/0!</v>
      </c>
      <c r="BN154" s="2" t="e">
        <f t="shared" si="160"/>
        <v>#DIV/0!</v>
      </c>
      <c r="BO154" s="2" t="e">
        <f t="shared" si="161"/>
        <v>#DIV/0!</v>
      </c>
      <c r="BS154" s="8" t="e">
        <f t="shared" si="181"/>
        <v>#DIV/0!</v>
      </c>
      <c r="BT154" s="2" t="e">
        <f t="shared" si="182"/>
        <v>#DIV/0!</v>
      </c>
      <c r="BU154" s="2" t="e">
        <f t="shared" si="183"/>
        <v>#DIV/0!</v>
      </c>
      <c r="BV154" s="2" t="e">
        <f t="shared" si="162"/>
        <v>#DIV/0!</v>
      </c>
      <c r="BW154" s="2" t="e">
        <f t="shared" si="163"/>
        <v>#DIV/0!</v>
      </c>
      <c r="BX154" s="2" t="e">
        <f t="shared" si="164"/>
        <v>#DIV/0!</v>
      </c>
      <c r="CE154" s="8" t="e">
        <f t="shared" si="184"/>
        <v>#DIV/0!</v>
      </c>
      <c r="CF154" s="2" t="e">
        <f t="shared" si="185"/>
        <v>#DIV/0!</v>
      </c>
      <c r="CG154" s="2" t="e">
        <f t="shared" si="186"/>
        <v>#DIV/0!</v>
      </c>
      <c r="CH154" s="2" t="e">
        <f t="shared" si="165"/>
        <v>#DIV/0!</v>
      </c>
      <c r="CI154" s="2" t="e">
        <f t="shared" si="166"/>
        <v>#DIV/0!</v>
      </c>
      <c r="CJ154" s="2" t="e">
        <f t="shared" si="167"/>
        <v>#DIV/0!</v>
      </c>
      <c r="CQ154" s="8" t="e">
        <f t="shared" si="187"/>
        <v>#DIV/0!</v>
      </c>
      <c r="CR154" s="2" t="e">
        <f t="shared" si="188"/>
        <v>#DIV/0!</v>
      </c>
      <c r="CS154" s="2" t="e">
        <f t="shared" si="189"/>
        <v>#DIV/0!</v>
      </c>
      <c r="CT154" s="2" t="e">
        <f t="shared" si="168"/>
        <v>#DIV/0!</v>
      </c>
      <c r="CU154" s="2" t="e">
        <f t="shared" si="169"/>
        <v>#DIV/0!</v>
      </c>
      <c r="CV154" s="2" t="e">
        <f t="shared" si="170"/>
        <v>#DIV/0!</v>
      </c>
    </row>
    <row r="155" spans="1:100" x14ac:dyDescent="0.2">
      <c r="A155" s="2">
        <f t="shared" si="133"/>
        <v>8.9166666666666607</v>
      </c>
      <c r="B155" s="2">
        <f t="shared" si="134"/>
        <v>1.341346158124343E-4</v>
      </c>
      <c r="C155" s="2">
        <f t="shared" si="190"/>
        <v>1.341346158124343E-4</v>
      </c>
      <c r="D155" s="2">
        <f t="shared" si="190"/>
        <v>1.341346158124343E-4</v>
      </c>
      <c r="E155" s="8">
        <f t="shared" si="135"/>
        <v>1.341346158124343E-4</v>
      </c>
      <c r="F155" s="2">
        <f t="shared" si="136"/>
        <v>1.341346158124343E-4</v>
      </c>
      <c r="G155" s="2">
        <f t="shared" si="137"/>
        <v>1.341346158124343E-4</v>
      </c>
      <c r="K155" s="8" t="e">
        <f t="shared" si="138"/>
        <v>#DIV/0!</v>
      </c>
      <c r="L155" s="2" t="e">
        <f t="shared" si="139"/>
        <v>#DIV/0!</v>
      </c>
      <c r="M155" s="2" t="e">
        <f t="shared" si="140"/>
        <v>#DIV/0!</v>
      </c>
      <c r="Q155" s="8">
        <f t="shared" si="141"/>
        <v>1.4337635510141555E-2</v>
      </c>
      <c r="R155" s="2">
        <f t="shared" si="142"/>
        <v>1.4337635510141555E-2</v>
      </c>
      <c r="S155" s="2">
        <f t="shared" si="143"/>
        <v>1.4337635510141555E-2</v>
      </c>
      <c r="W155" s="8">
        <f t="shared" si="144"/>
        <v>0.10084033613445376</v>
      </c>
      <c r="X155" s="2">
        <f t="shared" si="145"/>
        <v>0.10084033613445376</v>
      </c>
      <c r="Y155" s="2">
        <f t="shared" si="146"/>
        <v>0.10084033613445376</v>
      </c>
      <c r="AC155" s="8">
        <f t="shared" si="147"/>
        <v>1.3413461581246455E-4</v>
      </c>
      <c r="AD155" s="2">
        <f t="shared" si="148"/>
        <v>1.3413461581246455E-4</v>
      </c>
      <c r="AE155" s="2">
        <f t="shared" si="149"/>
        <v>1.3413461581246455E-4</v>
      </c>
      <c r="AI155" s="8">
        <f t="shared" si="150"/>
        <v>1.4337635510141555E-2</v>
      </c>
      <c r="AJ155" s="2">
        <f t="shared" si="151"/>
        <v>1.4337635510141555E-2</v>
      </c>
      <c r="AK155" s="2">
        <f t="shared" si="152"/>
        <v>1.4337635510141555E-2</v>
      </c>
      <c r="AR155" s="8" t="e">
        <f t="shared" si="172"/>
        <v>#DIV/0!</v>
      </c>
      <c r="AS155" s="2" t="e">
        <f t="shared" si="173"/>
        <v>#DIV/0!</v>
      </c>
      <c r="AT155" s="2" t="e">
        <f t="shared" si="174"/>
        <v>#DIV/0!</v>
      </c>
      <c r="AU155" s="2" t="e">
        <f t="shared" si="153"/>
        <v>#DIV/0!</v>
      </c>
      <c r="AV155" s="2" t="e">
        <f t="shared" si="154"/>
        <v>#DIV/0!</v>
      </c>
      <c r="AW155" s="2" t="e">
        <f t="shared" si="155"/>
        <v>#DIV/0!</v>
      </c>
      <c r="BA155" s="8" t="e">
        <f t="shared" si="175"/>
        <v>#DIV/0!</v>
      </c>
      <c r="BB155" s="2" t="e">
        <f t="shared" si="176"/>
        <v>#DIV/0!</v>
      </c>
      <c r="BC155" s="2" t="e">
        <f t="shared" si="177"/>
        <v>#DIV/0!</v>
      </c>
      <c r="BD155" s="2" t="e">
        <f t="shared" si="156"/>
        <v>#DIV/0!</v>
      </c>
      <c r="BE155" s="2" t="e">
        <f t="shared" si="157"/>
        <v>#DIV/0!</v>
      </c>
      <c r="BF155" s="2" t="e">
        <f t="shared" si="158"/>
        <v>#DIV/0!</v>
      </c>
      <c r="BJ155" s="8" t="e">
        <f t="shared" si="178"/>
        <v>#DIV/0!</v>
      </c>
      <c r="BK155" s="2" t="e">
        <f t="shared" si="179"/>
        <v>#DIV/0!</v>
      </c>
      <c r="BL155" s="2" t="e">
        <f t="shared" si="180"/>
        <v>#DIV/0!</v>
      </c>
      <c r="BM155" s="2" t="e">
        <f t="shared" si="159"/>
        <v>#DIV/0!</v>
      </c>
      <c r="BN155" s="2" t="e">
        <f t="shared" si="160"/>
        <v>#DIV/0!</v>
      </c>
      <c r="BO155" s="2" t="e">
        <f t="shared" si="161"/>
        <v>#DIV/0!</v>
      </c>
      <c r="BS155" s="8" t="e">
        <f t="shared" si="181"/>
        <v>#DIV/0!</v>
      </c>
      <c r="BT155" s="2" t="e">
        <f t="shared" si="182"/>
        <v>#DIV/0!</v>
      </c>
      <c r="BU155" s="2" t="e">
        <f t="shared" si="183"/>
        <v>#DIV/0!</v>
      </c>
      <c r="BV155" s="2" t="e">
        <f t="shared" si="162"/>
        <v>#DIV/0!</v>
      </c>
      <c r="BW155" s="2" t="e">
        <f t="shared" si="163"/>
        <v>#DIV/0!</v>
      </c>
      <c r="BX155" s="2" t="e">
        <f t="shared" si="164"/>
        <v>#DIV/0!</v>
      </c>
      <c r="CE155" s="8" t="e">
        <f t="shared" si="184"/>
        <v>#DIV/0!</v>
      </c>
      <c r="CF155" s="2" t="e">
        <f t="shared" si="185"/>
        <v>#DIV/0!</v>
      </c>
      <c r="CG155" s="2" t="e">
        <f t="shared" si="186"/>
        <v>#DIV/0!</v>
      </c>
      <c r="CH155" s="2" t="e">
        <f t="shared" si="165"/>
        <v>#DIV/0!</v>
      </c>
      <c r="CI155" s="2" t="e">
        <f t="shared" si="166"/>
        <v>#DIV/0!</v>
      </c>
      <c r="CJ155" s="2" t="e">
        <f t="shared" si="167"/>
        <v>#DIV/0!</v>
      </c>
      <c r="CQ155" s="8" t="e">
        <f t="shared" si="187"/>
        <v>#DIV/0!</v>
      </c>
      <c r="CR155" s="2" t="e">
        <f t="shared" si="188"/>
        <v>#DIV/0!</v>
      </c>
      <c r="CS155" s="2" t="e">
        <f t="shared" si="189"/>
        <v>#DIV/0!</v>
      </c>
      <c r="CT155" s="2" t="e">
        <f t="shared" si="168"/>
        <v>#DIV/0!</v>
      </c>
      <c r="CU155" s="2" t="e">
        <f t="shared" si="169"/>
        <v>#DIV/0!</v>
      </c>
      <c r="CV155" s="2" t="e">
        <f t="shared" si="170"/>
        <v>#DIV/0!</v>
      </c>
    </row>
    <row r="156" spans="1:100" x14ac:dyDescent="0.2">
      <c r="A156" s="2">
        <f t="shared" si="133"/>
        <v>8.9999999999999947</v>
      </c>
      <c r="B156" s="2">
        <f t="shared" si="134"/>
        <v>1.2340980408668021E-4</v>
      </c>
      <c r="C156" s="2">
        <f t="shared" si="190"/>
        <v>1.2340980408668021E-4</v>
      </c>
      <c r="D156" s="2">
        <f t="shared" si="190"/>
        <v>1.2340980408668021E-4</v>
      </c>
      <c r="E156" s="8">
        <f t="shared" si="135"/>
        <v>1.2340980408668021E-4</v>
      </c>
      <c r="F156" s="2">
        <f t="shared" si="136"/>
        <v>1.2340980408668021E-4</v>
      </c>
      <c r="G156" s="2">
        <f t="shared" si="137"/>
        <v>1.2340980408668021E-4</v>
      </c>
      <c r="K156" s="8" t="e">
        <f t="shared" si="138"/>
        <v>#DIV/0!</v>
      </c>
      <c r="L156" s="2" t="e">
        <f t="shared" si="139"/>
        <v>#DIV/0!</v>
      </c>
      <c r="M156" s="2" t="e">
        <f t="shared" si="140"/>
        <v>#DIV/0!</v>
      </c>
      <c r="Q156" s="8">
        <f t="shared" si="141"/>
        <v>1.4002205573945048E-2</v>
      </c>
      <c r="R156" s="2">
        <f t="shared" si="142"/>
        <v>1.4002205573945048E-2</v>
      </c>
      <c r="S156" s="2">
        <f t="shared" si="143"/>
        <v>1.4002205573945048E-2</v>
      </c>
      <c r="W156" s="8">
        <f t="shared" si="144"/>
        <v>0.10000000000000009</v>
      </c>
      <c r="X156" s="2">
        <f t="shared" si="145"/>
        <v>0.10000000000000009</v>
      </c>
      <c r="Y156" s="2">
        <f t="shared" si="146"/>
        <v>0.10000000000000009</v>
      </c>
      <c r="AC156" s="8">
        <f t="shared" si="147"/>
        <v>1.2340980408664937E-4</v>
      </c>
      <c r="AD156" s="2">
        <f t="shared" si="148"/>
        <v>1.2340980408664937E-4</v>
      </c>
      <c r="AE156" s="2">
        <f t="shared" si="149"/>
        <v>1.2340980408664937E-4</v>
      </c>
      <c r="AI156" s="8">
        <f t="shared" si="150"/>
        <v>1.4002205573945048E-2</v>
      </c>
      <c r="AJ156" s="2">
        <f t="shared" si="151"/>
        <v>1.4002205573945048E-2</v>
      </c>
      <c r="AK156" s="2">
        <f t="shared" si="152"/>
        <v>1.4002205573945048E-2</v>
      </c>
      <c r="AR156" s="8" t="e">
        <f t="shared" si="172"/>
        <v>#DIV/0!</v>
      </c>
      <c r="AS156" s="2" t="e">
        <f t="shared" si="173"/>
        <v>#DIV/0!</v>
      </c>
      <c r="AT156" s="2" t="e">
        <f t="shared" si="174"/>
        <v>#DIV/0!</v>
      </c>
      <c r="AU156" s="2" t="e">
        <f t="shared" si="153"/>
        <v>#DIV/0!</v>
      </c>
      <c r="AV156" s="2" t="e">
        <f t="shared" si="154"/>
        <v>#DIV/0!</v>
      </c>
      <c r="AW156" s="2" t="e">
        <f t="shared" si="155"/>
        <v>#DIV/0!</v>
      </c>
      <c r="BA156" s="8" t="e">
        <f t="shared" si="175"/>
        <v>#DIV/0!</v>
      </c>
      <c r="BB156" s="2" t="e">
        <f t="shared" si="176"/>
        <v>#DIV/0!</v>
      </c>
      <c r="BC156" s="2" t="e">
        <f t="shared" si="177"/>
        <v>#DIV/0!</v>
      </c>
      <c r="BD156" s="2" t="e">
        <f t="shared" si="156"/>
        <v>#DIV/0!</v>
      </c>
      <c r="BE156" s="2" t="e">
        <f t="shared" si="157"/>
        <v>#DIV/0!</v>
      </c>
      <c r="BF156" s="2" t="e">
        <f t="shared" si="158"/>
        <v>#DIV/0!</v>
      </c>
      <c r="BJ156" s="8" t="e">
        <f t="shared" si="178"/>
        <v>#DIV/0!</v>
      </c>
      <c r="BK156" s="2" t="e">
        <f t="shared" si="179"/>
        <v>#DIV/0!</v>
      </c>
      <c r="BL156" s="2" t="e">
        <f t="shared" si="180"/>
        <v>#DIV/0!</v>
      </c>
      <c r="BM156" s="2" t="e">
        <f t="shared" si="159"/>
        <v>#DIV/0!</v>
      </c>
      <c r="BN156" s="2" t="e">
        <f t="shared" si="160"/>
        <v>#DIV/0!</v>
      </c>
      <c r="BO156" s="2" t="e">
        <f t="shared" si="161"/>
        <v>#DIV/0!</v>
      </c>
      <c r="BS156" s="8" t="e">
        <f t="shared" si="181"/>
        <v>#DIV/0!</v>
      </c>
      <c r="BT156" s="2" t="e">
        <f t="shared" si="182"/>
        <v>#DIV/0!</v>
      </c>
      <c r="BU156" s="2" t="e">
        <f t="shared" si="183"/>
        <v>#DIV/0!</v>
      </c>
      <c r="BV156" s="2" t="e">
        <f t="shared" si="162"/>
        <v>#DIV/0!</v>
      </c>
      <c r="BW156" s="2" t="e">
        <f t="shared" si="163"/>
        <v>#DIV/0!</v>
      </c>
      <c r="BX156" s="2" t="e">
        <f t="shared" si="164"/>
        <v>#DIV/0!</v>
      </c>
      <c r="CE156" s="8" t="e">
        <f t="shared" si="184"/>
        <v>#DIV/0!</v>
      </c>
      <c r="CF156" s="2" t="e">
        <f t="shared" si="185"/>
        <v>#DIV/0!</v>
      </c>
      <c r="CG156" s="2" t="e">
        <f t="shared" si="186"/>
        <v>#DIV/0!</v>
      </c>
      <c r="CH156" s="2" t="e">
        <f t="shared" si="165"/>
        <v>#DIV/0!</v>
      </c>
      <c r="CI156" s="2" t="e">
        <f t="shared" si="166"/>
        <v>#DIV/0!</v>
      </c>
      <c r="CJ156" s="2" t="e">
        <f t="shared" si="167"/>
        <v>#DIV/0!</v>
      </c>
      <c r="CQ156" s="8" t="e">
        <f t="shared" si="187"/>
        <v>#DIV/0!</v>
      </c>
      <c r="CR156" s="2" t="e">
        <f t="shared" si="188"/>
        <v>#DIV/0!</v>
      </c>
      <c r="CS156" s="2" t="e">
        <f t="shared" si="189"/>
        <v>#DIV/0!</v>
      </c>
      <c r="CT156" s="2" t="e">
        <f t="shared" si="168"/>
        <v>#DIV/0!</v>
      </c>
      <c r="CU156" s="2" t="e">
        <f t="shared" si="169"/>
        <v>#DIV/0!</v>
      </c>
      <c r="CV156" s="2" t="e">
        <f t="shared" si="170"/>
        <v>#DIV/0!</v>
      </c>
    </row>
    <row r="157" spans="1:100" x14ac:dyDescent="0.2">
      <c r="A157" s="2">
        <f t="shared" si="133"/>
        <v>9.0833333333333286</v>
      </c>
      <c r="B157" s="2">
        <f t="shared" si="134"/>
        <v>1.1354250096044909E-4</v>
      </c>
      <c r="C157" s="2">
        <f t="shared" si="190"/>
        <v>1.1354250096044909E-4</v>
      </c>
      <c r="D157" s="2">
        <f t="shared" si="190"/>
        <v>1.1354250096044909E-4</v>
      </c>
      <c r="E157" s="8">
        <f t="shared" si="135"/>
        <v>1.1354250096044909E-4</v>
      </c>
      <c r="F157" s="2">
        <f t="shared" si="136"/>
        <v>1.1354250096044909E-4</v>
      </c>
      <c r="G157" s="2">
        <f t="shared" si="137"/>
        <v>1.1354250096044909E-4</v>
      </c>
      <c r="K157" s="8" t="e">
        <f t="shared" si="138"/>
        <v>#DIV/0!</v>
      </c>
      <c r="L157" s="2" t="e">
        <f t="shared" si="139"/>
        <v>#DIV/0!</v>
      </c>
      <c r="M157" s="2" t="e">
        <f t="shared" si="140"/>
        <v>#DIV/0!</v>
      </c>
      <c r="Q157" s="8">
        <f t="shared" si="141"/>
        <v>1.3676560362576251E-2</v>
      </c>
      <c r="R157" s="2">
        <f t="shared" si="142"/>
        <v>1.3676560362576251E-2</v>
      </c>
      <c r="S157" s="2">
        <f t="shared" si="143"/>
        <v>1.3676560362576251E-2</v>
      </c>
      <c r="W157" s="8">
        <f t="shared" si="144"/>
        <v>9.9173553719008267E-2</v>
      </c>
      <c r="X157" s="2">
        <f t="shared" si="145"/>
        <v>9.9173553719008267E-2</v>
      </c>
      <c r="Y157" s="2">
        <f t="shared" si="146"/>
        <v>9.9173553719008267E-2</v>
      </c>
      <c r="AC157" s="8">
        <f t="shared" si="147"/>
        <v>1.135425009604063E-4</v>
      </c>
      <c r="AD157" s="2">
        <f t="shared" si="148"/>
        <v>1.135425009604063E-4</v>
      </c>
      <c r="AE157" s="2">
        <f t="shared" si="149"/>
        <v>1.135425009604063E-4</v>
      </c>
      <c r="AI157" s="8">
        <f t="shared" si="150"/>
        <v>1.3676560362576251E-2</v>
      </c>
      <c r="AJ157" s="2">
        <f t="shared" si="151"/>
        <v>1.3676560362576251E-2</v>
      </c>
      <c r="AK157" s="2">
        <f t="shared" si="152"/>
        <v>1.3676560362576251E-2</v>
      </c>
      <c r="AR157" s="8" t="e">
        <f t="shared" si="172"/>
        <v>#DIV/0!</v>
      </c>
      <c r="AS157" s="2" t="e">
        <f t="shared" si="173"/>
        <v>#DIV/0!</v>
      </c>
      <c r="AT157" s="2" t="e">
        <f t="shared" si="174"/>
        <v>#DIV/0!</v>
      </c>
      <c r="AU157" s="2" t="e">
        <f t="shared" si="153"/>
        <v>#DIV/0!</v>
      </c>
      <c r="AV157" s="2" t="e">
        <f t="shared" si="154"/>
        <v>#DIV/0!</v>
      </c>
      <c r="AW157" s="2" t="e">
        <f t="shared" si="155"/>
        <v>#DIV/0!</v>
      </c>
      <c r="BA157" s="8" t="e">
        <f t="shared" si="175"/>
        <v>#DIV/0!</v>
      </c>
      <c r="BB157" s="2" t="e">
        <f t="shared" si="176"/>
        <v>#DIV/0!</v>
      </c>
      <c r="BC157" s="2" t="e">
        <f t="shared" si="177"/>
        <v>#DIV/0!</v>
      </c>
      <c r="BD157" s="2" t="e">
        <f t="shared" si="156"/>
        <v>#DIV/0!</v>
      </c>
      <c r="BE157" s="2" t="e">
        <f t="shared" si="157"/>
        <v>#DIV/0!</v>
      </c>
      <c r="BF157" s="2" t="e">
        <f t="shared" si="158"/>
        <v>#DIV/0!</v>
      </c>
      <c r="BJ157" s="8" t="e">
        <f t="shared" si="178"/>
        <v>#DIV/0!</v>
      </c>
      <c r="BK157" s="2" t="e">
        <f t="shared" si="179"/>
        <v>#DIV/0!</v>
      </c>
      <c r="BL157" s="2" t="e">
        <f t="shared" si="180"/>
        <v>#DIV/0!</v>
      </c>
      <c r="BM157" s="2" t="e">
        <f t="shared" si="159"/>
        <v>#DIV/0!</v>
      </c>
      <c r="BN157" s="2" t="e">
        <f t="shared" si="160"/>
        <v>#DIV/0!</v>
      </c>
      <c r="BO157" s="2" t="e">
        <f t="shared" si="161"/>
        <v>#DIV/0!</v>
      </c>
      <c r="BS157" s="8" t="e">
        <f t="shared" si="181"/>
        <v>#DIV/0!</v>
      </c>
      <c r="BT157" s="2" t="e">
        <f t="shared" si="182"/>
        <v>#DIV/0!</v>
      </c>
      <c r="BU157" s="2" t="e">
        <f t="shared" si="183"/>
        <v>#DIV/0!</v>
      </c>
      <c r="BV157" s="2" t="e">
        <f t="shared" si="162"/>
        <v>#DIV/0!</v>
      </c>
      <c r="BW157" s="2" t="e">
        <f t="shared" si="163"/>
        <v>#DIV/0!</v>
      </c>
      <c r="BX157" s="2" t="e">
        <f t="shared" si="164"/>
        <v>#DIV/0!</v>
      </c>
      <c r="CE157" s="8" t="e">
        <f t="shared" si="184"/>
        <v>#DIV/0!</v>
      </c>
      <c r="CF157" s="2" t="e">
        <f t="shared" si="185"/>
        <v>#DIV/0!</v>
      </c>
      <c r="CG157" s="2" t="e">
        <f t="shared" si="186"/>
        <v>#DIV/0!</v>
      </c>
      <c r="CH157" s="2" t="e">
        <f t="shared" si="165"/>
        <v>#DIV/0!</v>
      </c>
      <c r="CI157" s="2" t="e">
        <f t="shared" si="166"/>
        <v>#DIV/0!</v>
      </c>
      <c r="CJ157" s="2" t="e">
        <f t="shared" si="167"/>
        <v>#DIV/0!</v>
      </c>
      <c r="CQ157" s="8" t="e">
        <f t="shared" si="187"/>
        <v>#DIV/0!</v>
      </c>
      <c r="CR157" s="2" t="e">
        <f t="shared" si="188"/>
        <v>#DIV/0!</v>
      </c>
      <c r="CS157" s="2" t="e">
        <f t="shared" si="189"/>
        <v>#DIV/0!</v>
      </c>
      <c r="CT157" s="2" t="e">
        <f t="shared" si="168"/>
        <v>#DIV/0!</v>
      </c>
      <c r="CU157" s="2" t="e">
        <f t="shared" si="169"/>
        <v>#DIV/0!</v>
      </c>
      <c r="CV157" s="2" t="e">
        <f t="shared" si="170"/>
        <v>#DIV/0!</v>
      </c>
    </row>
    <row r="158" spans="1:100" x14ac:dyDescent="0.2">
      <c r="A158" s="2">
        <f t="shared" si="133"/>
        <v>9.1666666666666625</v>
      </c>
      <c r="B158" s="2">
        <f t="shared" si="134"/>
        <v>1.044641438317057E-4</v>
      </c>
      <c r="C158" s="2">
        <f t="shared" si="190"/>
        <v>1.044641438317057E-4</v>
      </c>
      <c r="D158" s="2">
        <f t="shared" si="190"/>
        <v>1.044641438317057E-4</v>
      </c>
      <c r="E158" s="8">
        <f t="shared" si="135"/>
        <v>1.044641438317057E-4</v>
      </c>
      <c r="F158" s="2">
        <f t="shared" si="136"/>
        <v>1.044641438317057E-4</v>
      </c>
      <c r="G158" s="2">
        <f t="shared" si="137"/>
        <v>1.044641438317057E-4</v>
      </c>
      <c r="K158" s="8" t="e">
        <f t="shared" si="138"/>
        <v>#DIV/0!</v>
      </c>
      <c r="L158" s="2" t="e">
        <f t="shared" si="139"/>
        <v>#DIV/0!</v>
      </c>
      <c r="M158" s="2" t="e">
        <f t="shared" si="140"/>
        <v>#DIV/0!</v>
      </c>
      <c r="Q158" s="8">
        <f t="shared" si="141"/>
        <v>1.3360355307023286E-2</v>
      </c>
      <c r="R158" s="2">
        <f t="shared" si="142"/>
        <v>1.3360355307023286E-2</v>
      </c>
      <c r="S158" s="2">
        <f t="shared" si="143"/>
        <v>1.3360355307023286E-2</v>
      </c>
      <c r="W158" s="8">
        <f t="shared" si="144"/>
        <v>9.8360655737704916E-2</v>
      </c>
      <c r="X158" s="2">
        <f t="shared" si="145"/>
        <v>9.8360655737704916E-2</v>
      </c>
      <c r="Y158" s="2">
        <f t="shared" si="146"/>
        <v>9.8360655737704916E-2</v>
      </c>
      <c r="AC158" s="8">
        <f t="shared" si="147"/>
        <v>1.0446414383169511E-4</v>
      </c>
      <c r="AD158" s="2">
        <f t="shared" si="148"/>
        <v>1.0446414383169511E-4</v>
      </c>
      <c r="AE158" s="2">
        <f t="shared" si="149"/>
        <v>1.0446414383169511E-4</v>
      </c>
      <c r="AI158" s="8">
        <f t="shared" si="150"/>
        <v>1.3360355307023286E-2</v>
      </c>
      <c r="AJ158" s="2">
        <f t="shared" si="151"/>
        <v>1.3360355307023286E-2</v>
      </c>
      <c r="AK158" s="2">
        <f t="shared" si="152"/>
        <v>1.3360355307023286E-2</v>
      </c>
      <c r="AR158" s="8" t="e">
        <f t="shared" si="172"/>
        <v>#DIV/0!</v>
      </c>
      <c r="AS158" s="2" t="e">
        <f t="shared" si="173"/>
        <v>#DIV/0!</v>
      </c>
      <c r="AT158" s="2" t="e">
        <f t="shared" si="174"/>
        <v>#DIV/0!</v>
      </c>
      <c r="AU158" s="2" t="e">
        <f t="shared" si="153"/>
        <v>#DIV/0!</v>
      </c>
      <c r="AV158" s="2" t="e">
        <f t="shared" si="154"/>
        <v>#DIV/0!</v>
      </c>
      <c r="AW158" s="2" t="e">
        <f t="shared" si="155"/>
        <v>#DIV/0!</v>
      </c>
      <c r="BA158" s="8" t="e">
        <f t="shared" si="175"/>
        <v>#DIV/0!</v>
      </c>
      <c r="BB158" s="2" t="e">
        <f t="shared" si="176"/>
        <v>#DIV/0!</v>
      </c>
      <c r="BC158" s="2" t="e">
        <f t="shared" si="177"/>
        <v>#DIV/0!</v>
      </c>
      <c r="BD158" s="2" t="e">
        <f t="shared" si="156"/>
        <v>#DIV/0!</v>
      </c>
      <c r="BE158" s="2" t="e">
        <f t="shared" si="157"/>
        <v>#DIV/0!</v>
      </c>
      <c r="BF158" s="2" t="e">
        <f t="shared" si="158"/>
        <v>#DIV/0!</v>
      </c>
      <c r="BJ158" s="8" t="e">
        <f t="shared" si="178"/>
        <v>#DIV/0!</v>
      </c>
      <c r="BK158" s="2" t="e">
        <f t="shared" si="179"/>
        <v>#DIV/0!</v>
      </c>
      <c r="BL158" s="2" t="e">
        <f t="shared" si="180"/>
        <v>#DIV/0!</v>
      </c>
      <c r="BM158" s="2" t="e">
        <f t="shared" si="159"/>
        <v>#DIV/0!</v>
      </c>
      <c r="BN158" s="2" t="e">
        <f t="shared" si="160"/>
        <v>#DIV/0!</v>
      </c>
      <c r="BO158" s="2" t="e">
        <f t="shared" si="161"/>
        <v>#DIV/0!</v>
      </c>
      <c r="BS158" s="8" t="e">
        <f t="shared" si="181"/>
        <v>#DIV/0!</v>
      </c>
      <c r="BT158" s="2" t="e">
        <f t="shared" si="182"/>
        <v>#DIV/0!</v>
      </c>
      <c r="BU158" s="2" t="e">
        <f t="shared" si="183"/>
        <v>#DIV/0!</v>
      </c>
      <c r="BV158" s="2" t="e">
        <f t="shared" si="162"/>
        <v>#DIV/0!</v>
      </c>
      <c r="BW158" s="2" t="e">
        <f t="shared" si="163"/>
        <v>#DIV/0!</v>
      </c>
      <c r="BX158" s="2" t="e">
        <f t="shared" si="164"/>
        <v>#DIV/0!</v>
      </c>
      <c r="CE158" s="8" t="e">
        <f t="shared" si="184"/>
        <v>#DIV/0!</v>
      </c>
      <c r="CF158" s="2" t="e">
        <f t="shared" si="185"/>
        <v>#DIV/0!</v>
      </c>
      <c r="CG158" s="2" t="e">
        <f t="shared" si="186"/>
        <v>#DIV/0!</v>
      </c>
      <c r="CH158" s="2" t="e">
        <f t="shared" si="165"/>
        <v>#DIV/0!</v>
      </c>
      <c r="CI158" s="2" t="e">
        <f t="shared" si="166"/>
        <v>#DIV/0!</v>
      </c>
      <c r="CJ158" s="2" t="e">
        <f t="shared" si="167"/>
        <v>#DIV/0!</v>
      </c>
      <c r="CQ158" s="8" t="e">
        <f t="shared" si="187"/>
        <v>#DIV/0!</v>
      </c>
      <c r="CR158" s="2" t="e">
        <f t="shared" si="188"/>
        <v>#DIV/0!</v>
      </c>
      <c r="CS158" s="2" t="e">
        <f t="shared" si="189"/>
        <v>#DIV/0!</v>
      </c>
      <c r="CT158" s="2" t="e">
        <f t="shared" si="168"/>
        <v>#DIV/0!</v>
      </c>
      <c r="CU158" s="2" t="e">
        <f t="shared" si="169"/>
        <v>#DIV/0!</v>
      </c>
      <c r="CV158" s="2" t="e">
        <f t="shared" si="170"/>
        <v>#DIV/0!</v>
      </c>
    </row>
    <row r="159" spans="1:100" x14ac:dyDescent="0.2">
      <c r="A159" s="2">
        <f t="shared" si="133"/>
        <v>9.2499999999999964</v>
      </c>
      <c r="B159" s="2">
        <f t="shared" si="134"/>
        <v>9.6111652061395034E-5</v>
      </c>
      <c r="C159" s="2">
        <f t="shared" si="190"/>
        <v>9.6111652061395034E-5</v>
      </c>
      <c r="D159" s="2">
        <f t="shared" si="190"/>
        <v>9.6111652061395034E-5</v>
      </c>
      <c r="E159" s="8">
        <f t="shared" si="135"/>
        <v>9.6111652061395034E-5</v>
      </c>
      <c r="F159" s="2">
        <f t="shared" si="136"/>
        <v>9.6111652061395034E-5</v>
      </c>
      <c r="G159" s="2">
        <f t="shared" si="137"/>
        <v>9.6111652061395034E-5</v>
      </c>
      <c r="K159" s="8" t="e">
        <f t="shared" si="138"/>
        <v>#DIV/0!</v>
      </c>
      <c r="L159" s="2" t="e">
        <f t="shared" si="139"/>
        <v>#DIV/0!</v>
      </c>
      <c r="M159" s="2" t="e">
        <f t="shared" si="140"/>
        <v>#DIV/0!</v>
      </c>
      <c r="Q159" s="8">
        <f t="shared" si="141"/>
        <v>1.3053260117263377E-2</v>
      </c>
      <c r="R159" s="2">
        <f t="shared" si="142"/>
        <v>1.3053260117263377E-2</v>
      </c>
      <c r="S159" s="2">
        <f t="shared" si="143"/>
        <v>1.3053260117263377E-2</v>
      </c>
      <c r="W159" s="8">
        <f t="shared" si="144"/>
        <v>9.7560975609756073E-2</v>
      </c>
      <c r="X159" s="2">
        <f t="shared" si="145"/>
        <v>9.7560975609756073E-2</v>
      </c>
      <c r="Y159" s="2">
        <f t="shared" si="146"/>
        <v>9.7560975609756073E-2</v>
      </c>
      <c r="AC159" s="8">
        <f t="shared" si="147"/>
        <v>9.6111652061359187E-5</v>
      </c>
      <c r="AD159" s="2">
        <f t="shared" si="148"/>
        <v>9.6111652061359187E-5</v>
      </c>
      <c r="AE159" s="2">
        <f t="shared" si="149"/>
        <v>9.6111652061359187E-5</v>
      </c>
      <c r="AI159" s="8">
        <f t="shared" si="150"/>
        <v>1.3053260117263377E-2</v>
      </c>
      <c r="AJ159" s="2">
        <f t="shared" si="151"/>
        <v>1.3053260117263377E-2</v>
      </c>
      <c r="AK159" s="2">
        <f t="shared" si="152"/>
        <v>1.3053260117263377E-2</v>
      </c>
      <c r="AR159" s="8" t="e">
        <f t="shared" si="172"/>
        <v>#DIV/0!</v>
      </c>
      <c r="AS159" s="2" t="e">
        <f t="shared" si="173"/>
        <v>#DIV/0!</v>
      </c>
      <c r="AT159" s="2" t="e">
        <f t="shared" si="174"/>
        <v>#DIV/0!</v>
      </c>
      <c r="AU159" s="2" t="e">
        <f t="shared" si="153"/>
        <v>#DIV/0!</v>
      </c>
      <c r="AV159" s="2" t="e">
        <f t="shared" si="154"/>
        <v>#DIV/0!</v>
      </c>
      <c r="AW159" s="2" t="e">
        <f t="shared" si="155"/>
        <v>#DIV/0!</v>
      </c>
      <c r="BA159" s="8" t="e">
        <f t="shared" si="175"/>
        <v>#DIV/0!</v>
      </c>
      <c r="BB159" s="2" t="e">
        <f t="shared" si="176"/>
        <v>#DIV/0!</v>
      </c>
      <c r="BC159" s="2" t="e">
        <f t="shared" si="177"/>
        <v>#DIV/0!</v>
      </c>
      <c r="BD159" s="2" t="e">
        <f t="shared" si="156"/>
        <v>#DIV/0!</v>
      </c>
      <c r="BE159" s="2" t="e">
        <f t="shared" si="157"/>
        <v>#DIV/0!</v>
      </c>
      <c r="BF159" s="2" t="e">
        <f t="shared" si="158"/>
        <v>#DIV/0!</v>
      </c>
      <c r="BJ159" s="8" t="e">
        <f t="shared" si="178"/>
        <v>#DIV/0!</v>
      </c>
      <c r="BK159" s="2" t="e">
        <f t="shared" si="179"/>
        <v>#DIV/0!</v>
      </c>
      <c r="BL159" s="2" t="e">
        <f t="shared" si="180"/>
        <v>#DIV/0!</v>
      </c>
      <c r="BM159" s="2" t="e">
        <f t="shared" si="159"/>
        <v>#DIV/0!</v>
      </c>
      <c r="BN159" s="2" t="e">
        <f t="shared" si="160"/>
        <v>#DIV/0!</v>
      </c>
      <c r="BO159" s="2" t="e">
        <f t="shared" si="161"/>
        <v>#DIV/0!</v>
      </c>
      <c r="BS159" s="8" t="e">
        <f t="shared" si="181"/>
        <v>#DIV/0!</v>
      </c>
      <c r="BT159" s="2" t="e">
        <f t="shared" si="182"/>
        <v>#DIV/0!</v>
      </c>
      <c r="BU159" s="2" t="e">
        <f t="shared" si="183"/>
        <v>#DIV/0!</v>
      </c>
      <c r="BV159" s="2" t="e">
        <f t="shared" si="162"/>
        <v>#DIV/0!</v>
      </c>
      <c r="BW159" s="2" t="e">
        <f t="shared" si="163"/>
        <v>#DIV/0!</v>
      </c>
      <c r="BX159" s="2" t="e">
        <f t="shared" si="164"/>
        <v>#DIV/0!</v>
      </c>
      <c r="CE159" s="8" t="e">
        <f t="shared" si="184"/>
        <v>#DIV/0!</v>
      </c>
      <c r="CF159" s="2" t="e">
        <f t="shared" si="185"/>
        <v>#DIV/0!</v>
      </c>
      <c r="CG159" s="2" t="e">
        <f t="shared" si="186"/>
        <v>#DIV/0!</v>
      </c>
      <c r="CH159" s="2" t="e">
        <f t="shared" si="165"/>
        <v>#DIV/0!</v>
      </c>
      <c r="CI159" s="2" t="e">
        <f t="shared" si="166"/>
        <v>#DIV/0!</v>
      </c>
      <c r="CJ159" s="2" t="e">
        <f t="shared" si="167"/>
        <v>#DIV/0!</v>
      </c>
      <c r="CQ159" s="8" t="e">
        <f t="shared" si="187"/>
        <v>#DIV/0!</v>
      </c>
      <c r="CR159" s="2" t="e">
        <f t="shared" si="188"/>
        <v>#DIV/0!</v>
      </c>
      <c r="CS159" s="2" t="e">
        <f t="shared" si="189"/>
        <v>#DIV/0!</v>
      </c>
      <c r="CT159" s="2" t="e">
        <f t="shared" si="168"/>
        <v>#DIV/0!</v>
      </c>
      <c r="CU159" s="2" t="e">
        <f t="shared" si="169"/>
        <v>#DIV/0!</v>
      </c>
      <c r="CV159" s="2" t="e">
        <f t="shared" si="170"/>
        <v>#DIV/0!</v>
      </c>
    </row>
    <row r="160" spans="1:100" x14ac:dyDescent="0.2">
      <c r="A160" s="2">
        <f t="shared" si="133"/>
        <v>9.3333333333333304</v>
      </c>
      <c r="B160" s="2">
        <f t="shared" si="134"/>
        <v>8.8426988659883328E-5</v>
      </c>
      <c r="C160" s="2">
        <f t="shared" si="190"/>
        <v>8.8426988659883328E-5</v>
      </c>
      <c r="D160" s="2">
        <f t="shared" si="190"/>
        <v>8.8426988659883328E-5</v>
      </c>
      <c r="E160" s="8">
        <f t="shared" si="135"/>
        <v>8.8426988659883328E-5</v>
      </c>
      <c r="F160" s="2">
        <f t="shared" si="136"/>
        <v>8.8426988659883328E-5</v>
      </c>
      <c r="G160" s="2">
        <f t="shared" si="137"/>
        <v>8.8426988659883328E-5</v>
      </c>
      <c r="K160" s="8" t="e">
        <f t="shared" si="138"/>
        <v>#DIV/0!</v>
      </c>
      <c r="L160" s="2" t="e">
        <f t="shared" si="139"/>
        <v>#DIV/0!</v>
      </c>
      <c r="M160" s="2" t="e">
        <f t="shared" si="140"/>
        <v>#DIV/0!</v>
      </c>
      <c r="Q160" s="8">
        <f t="shared" si="141"/>
        <v>1.2754958100017921E-2</v>
      </c>
      <c r="R160" s="2">
        <f t="shared" si="142"/>
        <v>1.2754958100017921E-2</v>
      </c>
      <c r="S160" s="2">
        <f t="shared" si="143"/>
        <v>1.2754958100017921E-2</v>
      </c>
      <c r="W160" s="8">
        <f t="shared" si="144"/>
        <v>9.6774193548387122E-2</v>
      </c>
      <c r="X160" s="2">
        <f t="shared" si="145"/>
        <v>9.6774193548387122E-2</v>
      </c>
      <c r="Y160" s="2">
        <f t="shared" si="146"/>
        <v>9.6774193548387122E-2</v>
      </c>
      <c r="AC160" s="8">
        <f t="shared" si="147"/>
        <v>8.8426988659850991E-5</v>
      </c>
      <c r="AD160" s="2">
        <f t="shared" si="148"/>
        <v>8.8426988659850991E-5</v>
      </c>
      <c r="AE160" s="2">
        <f t="shared" si="149"/>
        <v>8.8426988659850991E-5</v>
      </c>
      <c r="AI160" s="8">
        <f t="shared" si="150"/>
        <v>1.2754958100017921E-2</v>
      </c>
      <c r="AJ160" s="2">
        <f t="shared" si="151"/>
        <v>1.2754958100017921E-2</v>
      </c>
      <c r="AK160" s="2">
        <f t="shared" si="152"/>
        <v>1.2754958100017921E-2</v>
      </c>
      <c r="AR160" s="8" t="e">
        <f t="shared" si="172"/>
        <v>#DIV/0!</v>
      </c>
      <c r="AS160" s="2" t="e">
        <f t="shared" si="173"/>
        <v>#DIV/0!</v>
      </c>
      <c r="AT160" s="2" t="e">
        <f t="shared" si="174"/>
        <v>#DIV/0!</v>
      </c>
      <c r="AU160" s="2" t="e">
        <f t="shared" si="153"/>
        <v>#DIV/0!</v>
      </c>
      <c r="AV160" s="2" t="e">
        <f t="shared" si="154"/>
        <v>#DIV/0!</v>
      </c>
      <c r="AW160" s="2" t="e">
        <f t="shared" si="155"/>
        <v>#DIV/0!</v>
      </c>
      <c r="BA160" s="8" t="e">
        <f t="shared" si="175"/>
        <v>#DIV/0!</v>
      </c>
      <c r="BB160" s="2" t="e">
        <f t="shared" si="176"/>
        <v>#DIV/0!</v>
      </c>
      <c r="BC160" s="2" t="e">
        <f t="shared" si="177"/>
        <v>#DIV/0!</v>
      </c>
      <c r="BD160" s="2" t="e">
        <f t="shared" si="156"/>
        <v>#DIV/0!</v>
      </c>
      <c r="BE160" s="2" t="e">
        <f t="shared" si="157"/>
        <v>#DIV/0!</v>
      </c>
      <c r="BF160" s="2" t="e">
        <f t="shared" si="158"/>
        <v>#DIV/0!</v>
      </c>
      <c r="BJ160" s="8" t="e">
        <f t="shared" si="178"/>
        <v>#DIV/0!</v>
      </c>
      <c r="BK160" s="2" t="e">
        <f t="shared" si="179"/>
        <v>#DIV/0!</v>
      </c>
      <c r="BL160" s="2" t="e">
        <f t="shared" si="180"/>
        <v>#DIV/0!</v>
      </c>
      <c r="BM160" s="2" t="e">
        <f t="shared" si="159"/>
        <v>#DIV/0!</v>
      </c>
      <c r="BN160" s="2" t="e">
        <f t="shared" si="160"/>
        <v>#DIV/0!</v>
      </c>
      <c r="BO160" s="2" t="e">
        <f t="shared" si="161"/>
        <v>#DIV/0!</v>
      </c>
      <c r="BS160" s="8" t="e">
        <f t="shared" si="181"/>
        <v>#DIV/0!</v>
      </c>
      <c r="BT160" s="2" t="e">
        <f t="shared" si="182"/>
        <v>#DIV/0!</v>
      </c>
      <c r="BU160" s="2" t="e">
        <f t="shared" si="183"/>
        <v>#DIV/0!</v>
      </c>
      <c r="BV160" s="2" t="e">
        <f t="shared" si="162"/>
        <v>#DIV/0!</v>
      </c>
      <c r="BW160" s="2" t="e">
        <f t="shared" si="163"/>
        <v>#DIV/0!</v>
      </c>
      <c r="BX160" s="2" t="e">
        <f t="shared" si="164"/>
        <v>#DIV/0!</v>
      </c>
      <c r="CE160" s="8" t="e">
        <f t="shared" si="184"/>
        <v>#DIV/0!</v>
      </c>
      <c r="CF160" s="2" t="e">
        <f t="shared" si="185"/>
        <v>#DIV/0!</v>
      </c>
      <c r="CG160" s="2" t="e">
        <f t="shared" si="186"/>
        <v>#DIV/0!</v>
      </c>
      <c r="CH160" s="2" t="e">
        <f t="shared" si="165"/>
        <v>#DIV/0!</v>
      </c>
      <c r="CI160" s="2" t="e">
        <f t="shared" si="166"/>
        <v>#DIV/0!</v>
      </c>
      <c r="CJ160" s="2" t="e">
        <f t="shared" si="167"/>
        <v>#DIV/0!</v>
      </c>
      <c r="CQ160" s="8" t="e">
        <f t="shared" si="187"/>
        <v>#DIV/0!</v>
      </c>
      <c r="CR160" s="2" t="e">
        <f t="shared" si="188"/>
        <v>#DIV/0!</v>
      </c>
      <c r="CS160" s="2" t="e">
        <f t="shared" si="189"/>
        <v>#DIV/0!</v>
      </c>
      <c r="CT160" s="2" t="e">
        <f t="shared" si="168"/>
        <v>#DIV/0!</v>
      </c>
      <c r="CU160" s="2" t="e">
        <f t="shared" si="169"/>
        <v>#DIV/0!</v>
      </c>
      <c r="CV160" s="2" t="e">
        <f t="shared" si="170"/>
        <v>#DIV/0!</v>
      </c>
    </row>
    <row r="161" spans="1:100" x14ac:dyDescent="0.2">
      <c r="A161" s="2">
        <f t="shared" si="133"/>
        <v>9.4166666666666643</v>
      </c>
      <c r="B161" s="2">
        <f t="shared" si="134"/>
        <v>8.1356757019016116E-5</v>
      </c>
      <c r="C161" s="2">
        <f t="shared" si="190"/>
        <v>8.1356757019016116E-5</v>
      </c>
      <c r="D161" s="2">
        <f t="shared" si="190"/>
        <v>8.1356757019016116E-5</v>
      </c>
      <c r="E161" s="8">
        <f t="shared" si="135"/>
        <v>8.1356757019016116E-5</v>
      </c>
      <c r="F161" s="2">
        <f t="shared" si="136"/>
        <v>8.1356757019016116E-5</v>
      </c>
      <c r="G161" s="2">
        <f t="shared" si="137"/>
        <v>8.1356757019016116E-5</v>
      </c>
      <c r="K161" s="8" t="e">
        <f t="shared" si="138"/>
        <v>#DIV/0!</v>
      </c>
      <c r="L161" s="2" t="e">
        <f t="shared" si="139"/>
        <v>#DIV/0!</v>
      </c>
      <c r="M161" s="2" t="e">
        <f t="shared" si="140"/>
        <v>#DIV/0!</v>
      </c>
      <c r="Q161" s="8">
        <f t="shared" si="141"/>
        <v>1.246514551347444E-2</v>
      </c>
      <c r="R161" s="2">
        <f t="shared" si="142"/>
        <v>1.246514551347444E-2</v>
      </c>
      <c r="S161" s="2">
        <f t="shared" si="143"/>
        <v>1.246514551347444E-2</v>
      </c>
      <c r="W161" s="8">
        <f t="shared" si="144"/>
        <v>9.5999999999999974E-2</v>
      </c>
      <c r="X161" s="2">
        <f t="shared" si="145"/>
        <v>9.5999999999999974E-2</v>
      </c>
      <c r="Y161" s="2">
        <f t="shared" si="146"/>
        <v>9.5999999999999974E-2</v>
      </c>
      <c r="AC161" s="8">
        <f t="shared" si="147"/>
        <v>8.1356757019035442E-5</v>
      </c>
      <c r="AD161" s="2">
        <f t="shared" si="148"/>
        <v>8.1356757019035442E-5</v>
      </c>
      <c r="AE161" s="2">
        <f t="shared" si="149"/>
        <v>8.1356757019035442E-5</v>
      </c>
      <c r="AI161" s="8">
        <f t="shared" si="150"/>
        <v>1.246514551347444E-2</v>
      </c>
      <c r="AJ161" s="2">
        <f t="shared" si="151"/>
        <v>1.246514551347444E-2</v>
      </c>
      <c r="AK161" s="2">
        <f t="shared" si="152"/>
        <v>1.246514551347444E-2</v>
      </c>
      <c r="AR161" s="8" t="e">
        <f t="shared" si="172"/>
        <v>#DIV/0!</v>
      </c>
      <c r="AS161" s="2" t="e">
        <f t="shared" si="173"/>
        <v>#DIV/0!</v>
      </c>
      <c r="AT161" s="2" t="e">
        <f t="shared" si="174"/>
        <v>#DIV/0!</v>
      </c>
      <c r="AU161" s="2" t="e">
        <f t="shared" si="153"/>
        <v>#DIV/0!</v>
      </c>
      <c r="AV161" s="2" t="e">
        <f t="shared" si="154"/>
        <v>#DIV/0!</v>
      </c>
      <c r="AW161" s="2" t="e">
        <f t="shared" si="155"/>
        <v>#DIV/0!</v>
      </c>
      <c r="BA161" s="8" t="e">
        <f t="shared" si="175"/>
        <v>#DIV/0!</v>
      </c>
      <c r="BB161" s="2" t="e">
        <f t="shared" si="176"/>
        <v>#DIV/0!</v>
      </c>
      <c r="BC161" s="2" t="e">
        <f t="shared" si="177"/>
        <v>#DIV/0!</v>
      </c>
      <c r="BD161" s="2" t="e">
        <f t="shared" si="156"/>
        <v>#DIV/0!</v>
      </c>
      <c r="BE161" s="2" t="e">
        <f t="shared" si="157"/>
        <v>#DIV/0!</v>
      </c>
      <c r="BF161" s="2" t="e">
        <f t="shared" si="158"/>
        <v>#DIV/0!</v>
      </c>
      <c r="BJ161" s="8" t="e">
        <f t="shared" si="178"/>
        <v>#DIV/0!</v>
      </c>
      <c r="BK161" s="2" t="e">
        <f t="shared" si="179"/>
        <v>#DIV/0!</v>
      </c>
      <c r="BL161" s="2" t="e">
        <f t="shared" si="180"/>
        <v>#DIV/0!</v>
      </c>
      <c r="BM161" s="2" t="e">
        <f t="shared" si="159"/>
        <v>#DIV/0!</v>
      </c>
      <c r="BN161" s="2" t="e">
        <f t="shared" si="160"/>
        <v>#DIV/0!</v>
      </c>
      <c r="BO161" s="2" t="e">
        <f t="shared" si="161"/>
        <v>#DIV/0!</v>
      </c>
      <c r="BS161" s="8" t="e">
        <f t="shared" si="181"/>
        <v>#DIV/0!</v>
      </c>
      <c r="BT161" s="2" t="e">
        <f t="shared" si="182"/>
        <v>#DIV/0!</v>
      </c>
      <c r="BU161" s="2" t="e">
        <f t="shared" si="183"/>
        <v>#DIV/0!</v>
      </c>
      <c r="BV161" s="2" t="e">
        <f t="shared" si="162"/>
        <v>#DIV/0!</v>
      </c>
      <c r="BW161" s="2" t="e">
        <f t="shared" si="163"/>
        <v>#DIV/0!</v>
      </c>
      <c r="BX161" s="2" t="e">
        <f t="shared" si="164"/>
        <v>#DIV/0!</v>
      </c>
      <c r="CE161" s="8" t="e">
        <f t="shared" si="184"/>
        <v>#DIV/0!</v>
      </c>
      <c r="CF161" s="2" t="e">
        <f t="shared" si="185"/>
        <v>#DIV/0!</v>
      </c>
      <c r="CG161" s="2" t="e">
        <f t="shared" si="186"/>
        <v>#DIV/0!</v>
      </c>
      <c r="CH161" s="2" t="e">
        <f t="shared" si="165"/>
        <v>#DIV/0!</v>
      </c>
      <c r="CI161" s="2" t="e">
        <f t="shared" si="166"/>
        <v>#DIV/0!</v>
      </c>
      <c r="CJ161" s="2" t="e">
        <f t="shared" si="167"/>
        <v>#DIV/0!</v>
      </c>
      <c r="CQ161" s="8" t="e">
        <f t="shared" si="187"/>
        <v>#DIV/0!</v>
      </c>
      <c r="CR161" s="2" t="e">
        <f t="shared" si="188"/>
        <v>#DIV/0!</v>
      </c>
      <c r="CS161" s="2" t="e">
        <f t="shared" si="189"/>
        <v>#DIV/0!</v>
      </c>
      <c r="CT161" s="2" t="e">
        <f t="shared" si="168"/>
        <v>#DIV/0!</v>
      </c>
      <c r="CU161" s="2" t="e">
        <f t="shared" si="169"/>
        <v>#DIV/0!</v>
      </c>
      <c r="CV161" s="2" t="e">
        <f t="shared" si="170"/>
        <v>#DIV/0!</v>
      </c>
    </row>
    <row r="162" spans="1:100" x14ac:dyDescent="0.2">
      <c r="A162" s="2">
        <f t="shared" si="133"/>
        <v>9.4999999999999982</v>
      </c>
      <c r="B162" s="2">
        <f t="shared" si="134"/>
        <v>7.485182988770072E-5</v>
      </c>
      <c r="C162" s="2">
        <f t="shared" si="190"/>
        <v>7.485182988770072E-5</v>
      </c>
      <c r="D162" s="2">
        <f t="shared" si="190"/>
        <v>7.485182988770072E-5</v>
      </c>
      <c r="E162" s="8">
        <f t="shared" si="135"/>
        <v>7.485182988770072E-5</v>
      </c>
      <c r="F162" s="2">
        <f t="shared" si="136"/>
        <v>7.485182988770072E-5</v>
      </c>
      <c r="G162" s="2">
        <f t="shared" si="137"/>
        <v>7.485182988770072E-5</v>
      </c>
      <c r="K162" s="8" t="e">
        <f t="shared" si="138"/>
        <v>#DIV/0!</v>
      </c>
      <c r="L162" s="2" t="e">
        <f t="shared" si="139"/>
        <v>#DIV/0!</v>
      </c>
      <c r="M162" s="2" t="e">
        <f t="shared" si="140"/>
        <v>#DIV/0!</v>
      </c>
      <c r="Q162" s="8">
        <f t="shared" si="141"/>
        <v>1.2183530956733302E-2</v>
      </c>
      <c r="R162" s="2">
        <f t="shared" si="142"/>
        <v>1.2183530956733302E-2</v>
      </c>
      <c r="S162" s="2">
        <f t="shared" si="143"/>
        <v>1.2183530956733302E-2</v>
      </c>
      <c r="W162" s="8">
        <f t="shared" si="144"/>
        <v>9.5238095238095344E-2</v>
      </c>
      <c r="X162" s="2">
        <f t="shared" si="145"/>
        <v>9.5238095238095344E-2</v>
      </c>
      <c r="Y162" s="2">
        <f t="shared" si="146"/>
        <v>9.5238095238095344E-2</v>
      </c>
      <c r="AC162" s="8">
        <f t="shared" si="147"/>
        <v>7.4851829887645493E-5</v>
      </c>
      <c r="AD162" s="2">
        <f t="shared" si="148"/>
        <v>7.4851829887645493E-5</v>
      </c>
      <c r="AE162" s="2">
        <f t="shared" si="149"/>
        <v>7.4851829887645493E-5</v>
      </c>
      <c r="AI162" s="8">
        <f t="shared" si="150"/>
        <v>1.2183530956733302E-2</v>
      </c>
      <c r="AJ162" s="2">
        <f t="shared" si="151"/>
        <v>1.2183530956733302E-2</v>
      </c>
      <c r="AK162" s="2">
        <f t="shared" si="152"/>
        <v>1.2183530956733302E-2</v>
      </c>
      <c r="AR162" s="8" t="e">
        <f t="shared" si="172"/>
        <v>#DIV/0!</v>
      </c>
      <c r="AS162" s="2" t="e">
        <f t="shared" si="173"/>
        <v>#DIV/0!</v>
      </c>
      <c r="AT162" s="2" t="e">
        <f t="shared" si="174"/>
        <v>#DIV/0!</v>
      </c>
      <c r="AU162" s="2" t="e">
        <f t="shared" si="153"/>
        <v>#DIV/0!</v>
      </c>
      <c r="AV162" s="2" t="e">
        <f t="shared" si="154"/>
        <v>#DIV/0!</v>
      </c>
      <c r="AW162" s="2" t="e">
        <f t="shared" si="155"/>
        <v>#DIV/0!</v>
      </c>
      <c r="BA162" s="8" t="e">
        <f t="shared" si="175"/>
        <v>#DIV/0!</v>
      </c>
      <c r="BB162" s="2" t="e">
        <f t="shared" si="176"/>
        <v>#DIV/0!</v>
      </c>
      <c r="BC162" s="2" t="e">
        <f t="shared" si="177"/>
        <v>#DIV/0!</v>
      </c>
      <c r="BD162" s="2" t="e">
        <f t="shared" si="156"/>
        <v>#DIV/0!</v>
      </c>
      <c r="BE162" s="2" t="e">
        <f t="shared" si="157"/>
        <v>#DIV/0!</v>
      </c>
      <c r="BF162" s="2" t="e">
        <f t="shared" si="158"/>
        <v>#DIV/0!</v>
      </c>
      <c r="BJ162" s="8" t="e">
        <f t="shared" si="178"/>
        <v>#DIV/0!</v>
      </c>
      <c r="BK162" s="2" t="e">
        <f t="shared" si="179"/>
        <v>#DIV/0!</v>
      </c>
      <c r="BL162" s="2" t="e">
        <f t="shared" si="180"/>
        <v>#DIV/0!</v>
      </c>
      <c r="BM162" s="2" t="e">
        <f t="shared" si="159"/>
        <v>#DIV/0!</v>
      </c>
      <c r="BN162" s="2" t="e">
        <f t="shared" si="160"/>
        <v>#DIV/0!</v>
      </c>
      <c r="BO162" s="2" t="e">
        <f t="shared" si="161"/>
        <v>#DIV/0!</v>
      </c>
      <c r="BS162" s="8" t="e">
        <f t="shared" si="181"/>
        <v>#DIV/0!</v>
      </c>
      <c r="BT162" s="2" t="e">
        <f t="shared" si="182"/>
        <v>#DIV/0!</v>
      </c>
      <c r="BU162" s="2" t="e">
        <f t="shared" si="183"/>
        <v>#DIV/0!</v>
      </c>
      <c r="BV162" s="2" t="e">
        <f t="shared" si="162"/>
        <v>#DIV/0!</v>
      </c>
      <c r="BW162" s="2" t="e">
        <f t="shared" si="163"/>
        <v>#DIV/0!</v>
      </c>
      <c r="BX162" s="2" t="e">
        <f t="shared" si="164"/>
        <v>#DIV/0!</v>
      </c>
      <c r="CE162" s="8" t="e">
        <f t="shared" si="184"/>
        <v>#DIV/0!</v>
      </c>
      <c r="CF162" s="2" t="e">
        <f t="shared" si="185"/>
        <v>#DIV/0!</v>
      </c>
      <c r="CG162" s="2" t="e">
        <f t="shared" si="186"/>
        <v>#DIV/0!</v>
      </c>
      <c r="CH162" s="2" t="e">
        <f t="shared" si="165"/>
        <v>#DIV/0!</v>
      </c>
      <c r="CI162" s="2" t="e">
        <f t="shared" si="166"/>
        <v>#DIV/0!</v>
      </c>
      <c r="CJ162" s="2" t="e">
        <f t="shared" si="167"/>
        <v>#DIV/0!</v>
      </c>
      <c r="CQ162" s="8" t="e">
        <f t="shared" si="187"/>
        <v>#DIV/0!</v>
      </c>
      <c r="CR162" s="2" t="e">
        <f t="shared" si="188"/>
        <v>#DIV/0!</v>
      </c>
      <c r="CS162" s="2" t="e">
        <f t="shared" si="189"/>
        <v>#DIV/0!</v>
      </c>
      <c r="CT162" s="2" t="e">
        <f t="shared" si="168"/>
        <v>#DIV/0!</v>
      </c>
      <c r="CU162" s="2" t="e">
        <f t="shared" si="169"/>
        <v>#DIV/0!</v>
      </c>
      <c r="CV162" s="2" t="e">
        <f t="shared" si="170"/>
        <v>#DIV/0!</v>
      </c>
    </row>
    <row r="163" spans="1:100" x14ac:dyDescent="0.2">
      <c r="A163" s="2">
        <f t="shared" si="133"/>
        <v>9.5833333333333321</v>
      </c>
      <c r="B163" s="2">
        <f t="shared" si="134"/>
        <v>6.8867008012963248E-5</v>
      </c>
      <c r="C163" s="2">
        <f t="shared" si="190"/>
        <v>6.8867008012963248E-5</v>
      </c>
      <c r="D163" s="2">
        <f t="shared" si="190"/>
        <v>6.8867008012963248E-5</v>
      </c>
      <c r="E163" s="8">
        <f t="shared" si="135"/>
        <v>6.8867008012963248E-5</v>
      </c>
      <c r="F163" s="2">
        <f t="shared" si="136"/>
        <v>6.8867008012963248E-5</v>
      </c>
      <c r="G163" s="2">
        <f t="shared" si="137"/>
        <v>6.8867008012963248E-5</v>
      </c>
      <c r="K163" s="8" t="e">
        <f t="shared" si="138"/>
        <v>#DIV/0!</v>
      </c>
      <c r="L163" s="2" t="e">
        <f t="shared" si="139"/>
        <v>#DIV/0!</v>
      </c>
      <c r="M163" s="2" t="e">
        <f t="shared" si="140"/>
        <v>#DIV/0!</v>
      </c>
      <c r="Q163" s="8">
        <f t="shared" si="141"/>
        <v>1.1909834791890006E-2</v>
      </c>
      <c r="R163" s="2">
        <f t="shared" si="142"/>
        <v>1.1909834791890006E-2</v>
      </c>
      <c r="S163" s="2">
        <f t="shared" si="143"/>
        <v>1.1909834791890006E-2</v>
      </c>
      <c r="W163" s="8">
        <f t="shared" si="144"/>
        <v>9.4488188976378007E-2</v>
      </c>
      <c r="X163" s="2">
        <f t="shared" si="145"/>
        <v>9.4488188976378007E-2</v>
      </c>
      <c r="Y163" s="2">
        <f t="shared" si="146"/>
        <v>9.4488188976378007E-2</v>
      </c>
      <c r="AC163" s="8">
        <f t="shared" si="147"/>
        <v>6.8867008013007158E-5</v>
      </c>
      <c r="AD163" s="2">
        <f t="shared" si="148"/>
        <v>6.8867008013007158E-5</v>
      </c>
      <c r="AE163" s="2">
        <f t="shared" si="149"/>
        <v>6.8867008013007158E-5</v>
      </c>
      <c r="AI163" s="8">
        <f t="shared" si="150"/>
        <v>1.1909834791890006E-2</v>
      </c>
      <c r="AJ163" s="2">
        <f t="shared" si="151"/>
        <v>1.1909834791890006E-2</v>
      </c>
      <c r="AK163" s="2">
        <f t="shared" si="152"/>
        <v>1.1909834791890006E-2</v>
      </c>
      <c r="AR163" s="8" t="e">
        <f t="shared" si="172"/>
        <v>#DIV/0!</v>
      </c>
      <c r="AS163" s="2" t="e">
        <f t="shared" si="173"/>
        <v>#DIV/0!</v>
      </c>
      <c r="AT163" s="2" t="e">
        <f t="shared" si="174"/>
        <v>#DIV/0!</v>
      </c>
      <c r="AU163" s="2" t="e">
        <f t="shared" si="153"/>
        <v>#DIV/0!</v>
      </c>
      <c r="AV163" s="2" t="e">
        <f t="shared" si="154"/>
        <v>#DIV/0!</v>
      </c>
      <c r="AW163" s="2" t="e">
        <f t="shared" si="155"/>
        <v>#DIV/0!</v>
      </c>
      <c r="BA163" s="8" t="e">
        <f t="shared" si="175"/>
        <v>#DIV/0!</v>
      </c>
      <c r="BB163" s="2" t="e">
        <f t="shared" si="176"/>
        <v>#DIV/0!</v>
      </c>
      <c r="BC163" s="2" t="e">
        <f t="shared" si="177"/>
        <v>#DIV/0!</v>
      </c>
      <c r="BD163" s="2" t="e">
        <f t="shared" si="156"/>
        <v>#DIV/0!</v>
      </c>
      <c r="BE163" s="2" t="e">
        <f t="shared" si="157"/>
        <v>#DIV/0!</v>
      </c>
      <c r="BF163" s="2" t="e">
        <f t="shared" si="158"/>
        <v>#DIV/0!</v>
      </c>
      <c r="BJ163" s="8" t="e">
        <f t="shared" si="178"/>
        <v>#DIV/0!</v>
      </c>
      <c r="BK163" s="2" t="e">
        <f t="shared" si="179"/>
        <v>#DIV/0!</v>
      </c>
      <c r="BL163" s="2" t="e">
        <f t="shared" si="180"/>
        <v>#DIV/0!</v>
      </c>
      <c r="BM163" s="2" t="e">
        <f t="shared" si="159"/>
        <v>#DIV/0!</v>
      </c>
      <c r="BN163" s="2" t="e">
        <f t="shared" si="160"/>
        <v>#DIV/0!</v>
      </c>
      <c r="BO163" s="2" t="e">
        <f t="shared" si="161"/>
        <v>#DIV/0!</v>
      </c>
      <c r="BS163" s="8" t="e">
        <f t="shared" si="181"/>
        <v>#DIV/0!</v>
      </c>
      <c r="BT163" s="2" t="e">
        <f t="shared" si="182"/>
        <v>#DIV/0!</v>
      </c>
      <c r="BU163" s="2" t="e">
        <f t="shared" si="183"/>
        <v>#DIV/0!</v>
      </c>
      <c r="BV163" s="2" t="e">
        <f t="shared" si="162"/>
        <v>#DIV/0!</v>
      </c>
      <c r="BW163" s="2" t="e">
        <f t="shared" si="163"/>
        <v>#DIV/0!</v>
      </c>
      <c r="BX163" s="2" t="e">
        <f t="shared" si="164"/>
        <v>#DIV/0!</v>
      </c>
      <c r="CE163" s="8" t="e">
        <f t="shared" si="184"/>
        <v>#DIV/0!</v>
      </c>
      <c r="CF163" s="2" t="e">
        <f t="shared" si="185"/>
        <v>#DIV/0!</v>
      </c>
      <c r="CG163" s="2" t="e">
        <f t="shared" si="186"/>
        <v>#DIV/0!</v>
      </c>
      <c r="CH163" s="2" t="e">
        <f t="shared" si="165"/>
        <v>#DIV/0!</v>
      </c>
      <c r="CI163" s="2" t="e">
        <f t="shared" si="166"/>
        <v>#DIV/0!</v>
      </c>
      <c r="CJ163" s="2" t="e">
        <f t="shared" si="167"/>
        <v>#DIV/0!</v>
      </c>
      <c r="CQ163" s="8" t="e">
        <f t="shared" si="187"/>
        <v>#DIV/0!</v>
      </c>
      <c r="CR163" s="2" t="e">
        <f t="shared" si="188"/>
        <v>#DIV/0!</v>
      </c>
      <c r="CS163" s="2" t="e">
        <f t="shared" si="189"/>
        <v>#DIV/0!</v>
      </c>
      <c r="CT163" s="2" t="e">
        <f t="shared" si="168"/>
        <v>#DIV/0!</v>
      </c>
      <c r="CU163" s="2" t="e">
        <f t="shared" si="169"/>
        <v>#DIV/0!</v>
      </c>
      <c r="CV163" s="2" t="e">
        <f t="shared" si="170"/>
        <v>#DIV/0!</v>
      </c>
    </row>
    <row r="164" spans="1:100" x14ac:dyDescent="0.2">
      <c r="A164" s="2">
        <f t="shared" si="133"/>
        <v>9.6666666666666661</v>
      </c>
      <c r="B164" s="2">
        <f t="shared" si="134"/>
        <v>6.3360706074559649E-5</v>
      </c>
      <c r="C164" s="2">
        <f t="shared" si="190"/>
        <v>6.3360706074559649E-5</v>
      </c>
      <c r="D164" s="2">
        <f t="shared" si="190"/>
        <v>6.3360706074559649E-5</v>
      </c>
      <c r="E164" s="8">
        <f t="shared" si="135"/>
        <v>6.3360706074559649E-5</v>
      </c>
      <c r="F164" s="2">
        <f t="shared" si="136"/>
        <v>6.3360706074559649E-5</v>
      </c>
      <c r="G164" s="2">
        <f t="shared" si="137"/>
        <v>6.3360706074559649E-5</v>
      </c>
      <c r="K164" s="8" t="e">
        <f t="shared" si="138"/>
        <v>#DIV/0!</v>
      </c>
      <c r="L164" s="2" t="e">
        <f t="shared" si="139"/>
        <v>#DIV/0!</v>
      </c>
      <c r="M164" s="2" t="e">
        <f t="shared" si="140"/>
        <v>#DIV/0!</v>
      </c>
      <c r="Q164" s="8">
        <f t="shared" si="141"/>
        <v>1.1643788596800708E-2</v>
      </c>
      <c r="R164" s="2">
        <f t="shared" si="142"/>
        <v>1.1643788596800708E-2</v>
      </c>
      <c r="S164" s="2">
        <f t="shared" si="143"/>
        <v>1.1643788596800708E-2</v>
      </c>
      <c r="W164" s="8">
        <f t="shared" si="144"/>
        <v>9.375E-2</v>
      </c>
      <c r="X164" s="2">
        <f t="shared" si="145"/>
        <v>9.375E-2</v>
      </c>
      <c r="Y164" s="2">
        <f t="shared" si="146"/>
        <v>9.375E-2</v>
      </c>
      <c r="AC164" s="8">
        <f t="shared" si="147"/>
        <v>6.3360706074599982E-5</v>
      </c>
      <c r="AD164" s="2">
        <f t="shared" si="148"/>
        <v>6.3360706074599982E-5</v>
      </c>
      <c r="AE164" s="2">
        <f t="shared" si="149"/>
        <v>6.3360706074599982E-5</v>
      </c>
      <c r="AI164" s="8">
        <f t="shared" si="150"/>
        <v>1.1643788596800708E-2</v>
      </c>
      <c r="AJ164" s="2">
        <f t="shared" si="151"/>
        <v>1.1643788596800708E-2</v>
      </c>
      <c r="AK164" s="2">
        <f t="shared" si="152"/>
        <v>1.1643788596800708E-2</v>
      </c>
      <c r="AR164" s="8" t="e">
        <f t="shared" si="172"/>
        <v>#DIV/0!</v>
      </c>
      <c r="AS164" s="2" t="e">
        <f t="shared" si="173"/>
        <v>#DIV/0!</v>
      </c>
      <c r="AT164" s="2" t="e">
        <f t="shared" si="174"/>
        <v>#DIV/0!</v>
      </c>
      <c r="AU164" s="2" t="e">
        <f t="shared" si="153"/>
        <v>#DIV/0!</v>
      </c>
      <c r="AV164" s="2" t="e">
        <f t="shared" si="154"/>
        <v>#DIV/0!</v>
      </c>
      <c r="AW164" s="2" t="e">
        <f t="shared" si="155"/>
        <v>#DIV/0!</v>
      </c>
      <c r="BA164" s="8" t="e">
        <f t="shared" si="175"/>
        <v>#DIV/0!</v>
      </c>
      <c r="BB164" s="2" t="e">
        <f t="shared" si="176"/>
        <v>#DIV/0!</v>
      </c>
      <c r="BC164" s="2" t="e">
        <f t="shared" si="177"/>
        <v>#DIV/0!</v>
      </c>
      <c r="BD164" s="2" t="e">
        <f t="shared" si="156"/>
        <v>#DIV/0!</v>
      </c>
      <c r="BE164" s="2" t="e">
        <f t="shared" si="157"/>
        <v>#DIV/0!</v>
      </c>
      <c r="BF164" s="2" t="e">
        <f t="shared" si="158"/>
        <v>#DIV/0!</v>
      </c>
      <c r="BJ164" s="8" t="e">
        <f t="shared" si="178"/>
        <v>#DIV/0!</v>
      </c>
      <c r="BK164" s="2" t="e">
        <f t="shared" si="179"/>
        <v>#DIV/0!</v>
      </c>
      <c r="BL164" s="2" t="e">
        <f t="shared" si="180"/>
        <v>#DIV/0!</v>
      </c>
      <c r="BM164" s="2" t="e">
        <f t="shared" si="159"/>
        <v>#DIV/0!</v>
      </c>
      <c r="BN164" s="2" t="e">
        <f t="shared" si="160"/>
        <v>#DIV/0!</v>
      </c>
      <c r="BO164" s="2" t="e">
        <f t="shared" si="161"/>
        <v>#DIV/0!</v>
      </c>
      <c r="BS164" s="8" t="e">
        <f t="shared" si="181"/>
        <v>#DIV/0!</v>
      </c>
      <c r="BT164" s="2" t="e">
        <f t="shared" si="182"/>
        <v>#DIV/0!</v>
      </c>
      <c r="BU164" s="2" t="e">
        <f t="shared" si="183"/>
        <v>#DIV/0!</v>
      </c>
      <c r="BV164" s="2" t="e">
        <f t="shared" si="162"/>
        <v>#DIV/0!</v>
      </c>
      <c r="BW164" s="2" t="e">
        <f t="shared" si="163"/>
        <v>#DIV/0!</v>
      </c>
      <c r="BX164" s="2" t="e">
        <f t="shared" si="164"/>
        <v>#DIV/0!</v>
      </c>
      <c r="CE164" s="8" t="e">
        <f t="shared" si="184"/>
        <v>#DIV/0!</v>
      </c>
      <c r="CF164" s="2" t="e">
        <f t="shared" si="185"/>
        <v>#DIV/0!</v>
      </c>
      <c r="CG164" s="2" t="e">
        <f t="shared" si="186"/>
        <v>#DIV/0!</v>
      </c>
      <c r="CH164" s="2" t="e">
        <f t="shared" si="165"/>
        <v>#DIV/0!</v>
      </c>
      <c r="CI164" s="2" t="e">
        <f t="shared" si="166"/>
        <v>#DIV/0!</v>
      </c>
      <c r="CJ164" s="2" t="e">
        <f t="shared" si="167"/>
        <v>#DIV/0!</v>
      </c>
      <c r="CQ164" s="8" t="e">
        <f t="shared" si="187"/>
        <v>#DIV/0!</v>
      </c>
      <c r="CR164" s="2" t="e">
        <f t="shared" si="188"/>
        <v>#DIV/0!</v>
      </c>
      <c r="CS164" s="2" t="e">
        <f t="shared" si="189"/>
        <v>#DIV/0!</v>
      </c>
      <c r="CT164" s="2" t="e">
        <f t="shared" si="168"/>
        <v>#DIV/0!</v>
      </c>
      <c r="CU164" s="2" t="e">
        <f t="shared" si="169"/>
        <v>#DIV/0!</v>
      </c>
      <c r="CV164" s="2" t="e">
        <f t="shared" si="170"/>
        <v>#DIV/0!</v>
      </c>
    </row>
    <row r="165" spans="1:100" x14ac:dyDescent="0.2">
      <c r="A165" s="2">
        <f t="shared" si="133"/>
        <v>9.75</v>
      </c>
      <c r="B165" s="2">
        <f t="shared" si="134"/>
        <v>5.8294663730868811E-5</v>
      </c>
      <c r="C165" s="2">
        <f t="shared" si="190"/>
        <v>5.8294663730868811E-5</v>
      </c>
      <c r="D165" s="2">
        <f t="shared" si="190"/>
        <v>5.8294663730868811E-5</v>
      </c>
      <c r="E165" s="8">
        <f t="shared" si="135"/>
        <v>5.8294663730868811E-5</v>
      </c>
      <c r="F165" s="2">
        <f t="shared" si="136"/>
        <v>5.8294663730868811E-5</v>
      </c>
      <c r="G165" s="2">
        <f t="shared" si="137"/>
        <v>5.8294663730868811E-5</v>
      </c>
      <c r="K165" s="8" t="e">
        <f t="shared" si="138"/>
        <v>#DIV/0!</v>
      </c>
      <c r="L165" s="2" t="e">
        <f t="shared" si="139"/>
        <v>#DIV/0!</v>
      </c>
      <c r="M165" s="2" t="e">
        <f t="shared" si="140"/>
        <v>#DIV/0!</v>
      </c>
      <c r="Q165" s="8">
        <f t="shared" si="141"/>
        <v>1.138513464670976E-2</v>
      </c>
      <c r="R165" s="2">
        <f t="shared" si="142"/>
        <v>1.138513464670976E-2</v>
      </c>
      <c r="S165" s="2">
        <f t="shared" si="143"/>
        <v>1.138513464670976E-2</v>
      </c>
      <c r="W165" s="8">
        <f t="shared" si="144"/>
        <v>9.3023255813953543E-2</v>
      </c>
      <c r="X165" s="2">
        <f t="shared" si="145"/>
        <v>9.3023255813953543E-2</v>
      </c>
      <c r="Y165" s="2">
        <f t="shared" si="146"/>
        <v>9.3023255813953543E-2</v>
      </c>
      <c r="AC165" s="8">
        <f t="shared" si="147"/>
        <v>5.8294663730862339E-5</v>
      </c>
      <c r="AD165" s="2">
        <f t="shared" si="148"/>
        <v>5.8294663730862339E-5</v>
      </c>
      <c r="AE165" s="2">
        <f t="shared" si="149"/>
        <v>5.8294663730862339E-5</v>
      </c>
      <c r="AI165" s="8">
        <f t="shared" si="150"/>
        <v>1.138513464670976E-2</v>
      </c>
      <c r="AJ165" s="2">
        <f t="shared" si="151"/>
        <v>1.138513464670976E-2</v>
      </c>
      <c r="AK165" s="2">
        <f t="shared" si="152"/>
        <v>1.138513464670976E-2</v>
      </c>
      <c r="AR165" s="8" t="e">
        <f t="shared" si="172"/>
        <v>#DIV/0!</v>
      </c>
      <c r="AS165" s="2" t="e">
        <f t="shared" si="173"/>
        <v>#DIV/0!</v>
      </c>
      <c r="AT165" s="2" t="e">
        <f t="shared" si="174"/>
        <v>#DIV/0!</v>
      </c>
      <c r="AU165" s="2" t="e">
        <f t="shared" si="153"/>
        <v>#DIV/0!</v>
      </c>
      <c r="AV165" s="2" t="e">
        <f t="shared" si="154"/>
        <v>#DIV/0!</v>
      </c>
      <c r="AW165" s="2" t="e">
        <f t="shared" si="155"/>
        <v>#DIV/0!</v>
      </c>
      <c r="BA165" s="8" t="e">
        <f t="shared" si="175"/>
        <v>#DIV/0!</v>
      </c>
      <c r="BB165" s="2" t="e">
        <f t="shared" si="176"/>
        <v>#DIV/0!</v>
      </c>
      <c r="BC165" s="2" t="e">
        <f t="shared" si="177"/>
        <v>#DIV/0!</v>
      </c>
      <c r="BD165" s="2" t="e">
        <f t="shared" si="156"/>
        <v>#DIV/0!</v>
      </c>
      <c r="BE165" s="2" t="e">
        <f t="shared" si="157"/>
        <v>#DIV/0!</v>
      </c>
      <c r="BF165" s="2" t="e">
        <f t="shared" si="158"/>
        <v>#DIV/0!</v>
      </c>
      <c r="BJ165" s="8" t="e">
        <f t="shared" si="178"/>
        <v>#DIV/0!</v>
      </c>
      <c r="BK165" s="2" t="e">
        <f t="shared" si="179"/>
        <v>#DIV/0!</v>
      </c>
      <c r="BL165" s="2" t="e">
        <f t="shared" si="180"/>
        <v>#DIV/0!</v>
      </c>
      <c r="BM165" s="2" t="e">
        <f t="shared" si="159"/>
        <v>#DIV/0!</v>
      </c>
      <c r="BN165" s="2" t="e">
        <f t="shared" si="160"/>
        <v>#DIV/0!</v>
      </c>
      <c r="BO165" s="2" t="e">
        <f t="shared" si="161"/>
        <v>#DIV/0!</v>
      </c>
      <c r="BS165" s="8" t="e">
        <f t="shared" si="181"/>
        <v>#DIV/0!</v>
      </c>
      <c r="BT165" s="2" t="e">
        <f t="shared" si="182"/>
        <v>#DIV/0!</v>
      </c>
      <c r="BU165" s="2" t="e">
        <f t="shared" si="183"/>
        <v>#DIV/0!</v>
      </c>
      <c r="BV165" s="2" t="e">
        <f t="shared" si="162"/>
        <v>#DIV/0!</v>
      </c>
      <c r="BW165" s="2" t="e">
        <f t="shared" si="163"/>
        <v>#DIV/0!</v>
      </c>
      <c r="BX165" s="2" t="e">
        <f t="shared" si="164"/>
        <v>#DIV/0!</v>
      </c>
      <c r="CE165" s="8" t="e">
        <f t="shared" si="184"/>
        <v>#DIV/0!</v>
      </c>
      <c r="CF165" s="2" t="e">
        <f t="shared" si="185"/>
        <v>#DIV/0!</v>
      </c>
      <c r="CG165" s="2" t="e">
        <f t="shared" si="186"/>
        <v>#DIV/0!</v>
      </c>
      <c r="CH165" s="2" t="e">
        <f t="shared" si="165"/>
        <v>#DIV/0!</v>
      </c>
      <c r="CI165" s="2" t="e">
        <f t="shared" si="166"/>
        <v>#DIV/0!</v>
      </c>
      <c r="CJ165" s="2" t="e">
        <f t="shared" si="167"/>
        <v>#DIV/0!</v>
      </c>
      <c r="CQ165" s="8" t="e">
        <f t="shared" si="187"/>
        <v>#DIV/0!</v>
      </c>
      <c r="CR165" s="2" t="e">
        <f t="shared" si="188"/>
        <v>#DIV/0!</v>
      </c>
      <c r="CS165" s="2" t="e">
        <f t="shared" si="189"/>
        <v>#DIV/0!</v>
      </c>
      <c r="CT165" s="2" t="e">
        <f t="shared" si="168"/>
        <v>#DIV/0!</v>
      </c>
      <c r="CU165" s="2" t="e">
        <f t="shared" si="169"/>
        <v>#DIV/0!</v>
      </c>
      <c r="CV165" s="2" t="e">
        <f t="shared" si="170"/>
        <v>#DIV/0!</v>
      </c>
    </row>
    <row r="166" spans="1:100" x14ac:dyDescent="0.2">
      <c r="A166" s="2">
        <f t="shared" si="133"/>
        <v>9.8333333333333339</v>
      </c>
      <c r="B166" s="2">
        <f t="shared" si="134"/>
        <v>5.3633679768280402E-5</v>
      </c>
      <c r="C166" s="2">
        <f t="shared" si="190"/>
        <v>5.3633679768280402E-5</v>
      </c>
      <c r="D166" s="2">
        <f t="shared" si="190"/>
        <v>5.3633679768280402E-5</v>
      </c>
      <c r="E166" s="8">
        <f t="shared" si="135"/>
        <v>5.3633679768280402E-5</v>
      </c>
      <c r="F166" s="2">
        <f t="shared" si="136"/>
        <v>5.3633679768280402E-5</v>
      </c>
      <c r="G166" s="2">
        <f t="shared" si="137"/>
        <v>5.3633679768280402E-5</v>
      </c>
      <c r="K166" s="8" t="e">
        <f t="shared" si="138"/>
        <v>#DIV/0!</v>
      </c>
      <c r="L166" s="2" t="e">
        <f t="shared" si="139"/>
        <v>#DIV/0!</v>
      </c>
      <c r="M166" s="2" t="e">
        <f t="shared" si="140"/>
        <v>#DIV/0!</v>
      </c>
      <c r="Q166" s="8">
        <f t="shared" si="141"/>
        <v>1.113362542303642E-2</v>
      </c>
      <c r="R166" s="2">
        <f t="shared" si="142"/>
        <v>1.113362542303642E-2</v>
      </c>
      <c r="S166" s="2">
        <f t="shared" si="143"/>
        <v>1.113362542303642E-2</v>
      </c>
      <c r="W166" s="8">
        <f t="shared" si="144"/>
        <v>9.2307692307692313E-2</v>
      </c>
      <c r="X166" s="2">
        <f t="shared" si="145"/>
        <v>9.2307692307692313E-2</v>
      </c>
      <c r="Y166" s="2">
        <f t="shared" si="146"/>
        <v>9.2307692307692313E-2</v>
      </c>
      <c r="AC166" s="8">
        <f t="shared" si="147"/>
        <v>5.3633679768294584E-5</v>
      </c>
      <c r="AD166" s="2">
        <f t="shared" si="148"/>
        <v>5.3633679768294584E-5</v>
      </c>
      <c r="AE166" s="2">
        <f t="shared" si="149"/>
        <v>5.3633679768294584E-5</v>
      </c>
      <c r="AI166" s="8">
        <f t="shared" si="150"/>
        <v>1.113362542303642E-2</v>
      </c>
      <c r="AJ166" s="2">
        <f t="shared" si="151"/>
        <v>1.113362542303642E-2</v>
      </c>
      <c r="AK166" s="2">
        <f t="shared" si="152"/>
        <v>1.113362542303642E-2</v>
      </c>
      <c r="AR166" s="8" t="e">
        <f t="shared" si="172"/>
        <v>#DIV/0!</v>
      </c>
      <c r="AS166" s="2" t="e">
        <f t="shared" si="173"/>
        <v>#DIV/0!</v>
      </c>
      <c r="AT166" s="2" t="e">
        <f t="shared" si="174"/>
        <v>#DIV/0!</v>
      </c>
      <c r="AU166" s="2" t="e">
        <f t="shared" si="153"/>
        <v>#DIV/0!</v>
      </c>
      <c r="AV166" s="2" t="e">
        <f t="shared" si="154"/>
        <v>#DIV/0!</v>
      </c>
      <c r="AW166" s="2" t="e">
        <f t="shared" si="155"/>
        <v>#DIV/0!</v>
      </c>
      <c r="BA166" s="8" t="e">
        <f t="shared" si="175"/>
        <v>#DIV/0!</v>
      </c>
      <c r="BB166" s="2" t="e">
        <f t="shared" si="176"/>
        <v>#DIV/0!</v>
      </c>
      <c r="BC166" s="2" t="e">
        <f t="shared" si="177"/>
        <v>#DIV/0!</v>
      </c>
      <c r="BD166" s="2" t="e">
        <f t="shared" si="156"/>
        <v>#DIV/0!</v>
      </c>
      <c r="BE166" s="2" t="e">
        <f t="shared" si="157"/>
        <v>#DIV/0!</v>
      </c>
      <c r="BF166" s="2" t="e">
        <f t="shared" si="158"/>
        <v>#DIV/0!</v>
      </c>
      <c r="BJ166" s="8" t="e">
        <f t="shared" si="178"/>
        <v>#DIV/0!</v>
      </c>
      <c r="BK166" s="2" t="e">
        <f t="shared" si="179"/>
        <v>#DIV/0!</v>
      </c>
      <c r="BL166" s="2" t="e">
        <f t="shared" si="180"/>
        <v>#DIV/0!</v>
      </c>
      <c r="BM166" s="2" t="e">
        <f t="shared" si="159"/>
        <v>#DIV/0!</v>
      </c>
      <c r="BN166" s="2" t="e">
        <f t="shared" si="160"/>
        <v>#DIV/0!</v>
      </c>
      <c r="BO166" s="2" t="e">
        <f t="shared" si="161"/>
        <v>#DIV/0!</v>
      </c>
      <c r="BS166" s="8" t="e">
        <f t="shared" si="181"/>
        <v>#DIV/0!</v>
      </c>
      <c r="BT166" s="2" t="e">
        <f t="shared" si="182"/>
        <v>#DIV/0!</v>
      </c>
      <c r="BU166" s="2" t="e">
        <f t="shared" si="183"/>
        <v>#DIV/0!</v>
      </c>
      <c r="BV166" s="2" t="e">
        <f t="shared" si="162"/>
        <v>#DIV/0!</v>
      </c>
      <c r="BW166" s="2" t="e">
        <f t="shared" si="163"/>
        <v>#DIV/0!</v>
      </c>
      <c r="BX166" s="2" t="e">
        <f t="shared" si="164"/>
        <v>#DIV/0!</v>
      </c>
      <c r="CE166" s="8" t="e">
        <f t="shared" si="184"/>
        <v>#DIV/0!</v>
      </c>
      <c r="CF166" s="2" t="e">
        <f t="shared" si="185"/>
        <v>#DIV/0!</v>
      </c>
      <c r="CG166" s="2" t="e">
        <f t="shared" si="186"/>
        <v>#DIV/0!</v>
      </c>
      <c r="CH166" s="2" t="e">
        <f t="shared" si="165"/>
        <v>#DIV/0!</v>
      </c>
      <c r="CI166" s="2" t="e">
        <f t="shared" si="166"/>
        <v>#DIV/0!</v>
      </c>
      <c r="CJ166" s="2" t="e">
        <f t="shared" si="167"/>
        <v>#DIV/0!</v>
      </c>
      <c r="CQ166" s="8" t="e">
        <f t="shared" si="187"/>
        <v>#DIV/0!</v>
      </c>
      <c r="CR166" s="2" t="e">
        <f t="shared" si="188"/>
        <v>#DIV/0!</v>
      </c>
      <c r="CS166" s="2" t="e">
        <f t="shared" si="189"/>
        <v>#DIV/0!</v>
      </c>
      <c r="CT166" s="2" t="e">
        <f t="shared" si="168"/>
        <v>#DIV/0!</v>
      </c>
      <c r="CU166" s="2" t="e">
        <f t="shared" si="169"/>
        <v>#DIV/0!</v>
      </c>
      <c r="CV166" s="2" t="e">
        <f t="shared" si="170"/>
        <v>#DIV/0!</v>
      </c>
    </row>
    <row r="167" spans="1:100" x14ac:dyDescent="0.2">
      <c r="A167" s="2">
        <f t="shared" si="133"/>
        <v>9.9166666666666679</v>
      </c>
      <c r="B167" s="2">
        <f t="shared" si="134"/>
        <v>4.9345367506824088E-5</v>
      </c>
      <c r="C167" s="2">
        <f t="shared" si="190"/>
        <v>4.9345367506824088E-5</v>
      </c>
      <c r="D167" s="2">
        <f t="shared" si="190"/>
        <v>4.9345367506824088E-5</v>
      </c>
      <c r="E167" s="8">
        <f t="shared" si="135"/>
        <v>4.9345367506824088E-5</v>
      </c>
      <c r="F167" s="2">
        <f t="shared" si="136"/>
        <v>4.9345367506824088E-5</v>
      </c>
      <c r="G167" s="2">
        <f t="shared" si="137"/>
        <v>4.9345367506824088E-5</v>
      </c>
      <c r="K167" s="8" t="e">
        <f t="shared" si="138"/>
        <v>#DIV/0!</v>
      </c>
      <c r="L167" s="2" t="e">
        <f t="shared" si="139"/>
        <v>#DIV/0!</v>
      </c>
      <c r="M167" s="2" t="e">
        <f t="shared" si="140"/>
        <v>#DIV/0!</v>
      </c>
      <c r="Q167" s="8">
        <f t="shared" si="141"/>
        <v>1.0889023147729326E-2</v>
      </c>
      <c r="R167" s="2">
        <f t="shared" si="142"/>
        <v>1.0889023147729326E-2</v>
      </c>
      <c r="S167" s="2">
        <f t="shared" si="143"/>
        <v>1.0889023147729326E-2</v>
      </c>
      <c r="W167" s="8">
        <f t="shared" si="144"/>
        <v>9.1603053435114545E-2</v>
      </c>
      <c r="X167" s="2">
        <f t="shared" si="145"/>
        <v>9.1603053435114545E-2</v>
      </c>
      <c r="Y167" s="2">
        <f t="shared" si="146"/>
        <v>9.1603053435114545E-2</v>
      </c>
      <c r="AC167" s="8">
        <f t="shared" si="147"/>
        <v>4.9345367506781201E-5</v>
      </c>
      <c r="AD167" s="2">
        <f t="shared" si="148"/>
        <v>4.9345367506781201E-5</v>
      </c>
      <c r="AE167" s="2">
        <f t="shared" si="149"/>
        <v>4.9345367506781201E-5</v>
      </c>
      <c r="AI167" s="8">
        <f t="shared" si="150"/>
        <v>1.0889023147729326E-2</v>
      </c>
      <c r="AJ167" s="2">
        <f t="shared" si="151"/>
        <v>1.0889023147729326E-2</v>
      </c>
      <c r="AK167" s="2">
        <f t="shared" si="152"/>
        <v>1.0889023147729326E-2</v>
      </c>
      <c r="AR167" s="8" t="e">
        <f t="shared" si="172"/>
        <v>#DIV/0!</v>
      </c>
      <c r="AS167" s="2" t="e">
        <f t="shared" si="173"/>
        <v>#DIV/0!</v>
      </c>
      <c r="AT167" s="2" t="e">
        <f t="shared" si="174"/>
        <v>#DIV/0!</v>
      </c>
      <c r="AU167" s="2" t="e">
        <f t="shared" si="153"/>
        <v>#DIV/0!</v>
      </c>
      <c r="AV167" s="2" t="e">
        <f t="shared" si="154"/>
        <v>#DIV/0!</v>
      </c>
      <c r="AW167" s="2" t="e">
        <f t="shared" si="155"/>
        <v>#DIV/0!</v>
      </c>
      <c r="BA167" s="8" t="e">
        <f t="shared" si="175"/>
        <v>#DIV/0!</v>
      </c>
      <c r="BB167" s="2" t="e">
        <f t="shared" si="176"/>
        <v>#DIV/0!</v>
      </c>
      <c r="BC167" s="2" t="e">
        <f t="shared" si="177"/>
        <v>#DIV/0!</v>
      </c>
      <c r="BD167" s="2" t="e">
        <f t="shared" si="156"/>
        <v>#DIV/0!</v>
      </c>
      <c r="BE167" s="2" t="e">
        <f t="shared" si="157"/>
        <v>#DIV/0!</v>
      </c>
      <c r="BF167" s="2" t="e">
        <f t="shared" si="158"/>
        <v>#DIV/0!</v>
      </c>
      <c r="BJ167" s="8" t="e">
        <f t="shared" si="178"/>
        <v>#DIV/0!</v>
      </c>
      <c r="BK167" s="2" t="e">
        <f t="shared" si="179"/>
        <v>#DIV/0!</v>
      </c>
      <c r="BL167" s="2" t="e">
        <f t="shared" si="180"/>
        <v>#DIV/0!</v>
      </c>
      <c r="BM167" s="2" t="e">
        <f t="shared" si="159"/>
        <v>#DIV/0!</v>
      </c>
      <c r="BN167" s="2" t="e">
        <f t="shared" si="160"/>
        <v>#DIV/0!</v>
      </c>
      <c r="BO167" s="2" t="e">
        <f t="shared" si="161"/>
        <v>#DIV/0!</v>
      </c>
      <c r="BS167" s="8" t="e">
        <f t="shared" si="181"/>
        <v>#DIV/0!</v>
      </c>
      <c r="BT167" s="2" t="e">
        <f t="shared" si="182"/>
        <v>#DIV/0!</v>
      </c>
      <c r="BU167" s="2" t="e">
        <f t="shared" si="183"/>
        <v>#DIV/0!</v>
      </c>
      <c r="BV167" s="2" t="e">
        <f t="shared" si="162"/>
        <v>#DIV/0!</v>
      </c>
      <c r="BW167" s="2" t="e">
        <f t="shared" si="163"/>
        <v>#DIV/0!</v>
      </c>
      <c r="BX167" s="2" t="e">
        <f t="shared" si="164"/>
        <v>#DIV/0!</v>
      </c>
      <c r="CE167" s="8" t="e">
        <f t="shared" si="184"/>
        <v>#DIV/0!</v>
      </c>
      <c r="CF167" s="2" t="e">
        <f t="shared" si="185"/>
        <v>#DIV/0!</v>
      </c>
      <c r="CG167" s="2" t="e">
        <f t="shared" si="186"/>
        <v>#DIV/0!</v>
      </c>
      <c r="CH167" s="2" t="e">
        <f t="shared" si="165"/>
        <v>#DIV/0!</v>
      </c>
      <c r="CI167" s="2" t="e">
        <f t="shared" si="166"/>
        <v>#DIV/0!</v>
      </c>
      <c r="CJ167" s="2" t="e">
        <f t="shared" si="167"/>
        <v>#DIV/0!</v>
      </c>
      <c r="CQ167" s="8" t="e">
        <f t="shared" si="187"/>
        <v>#DIV/0!</v>
      </c>
      <c r="CR167" s="2" t="e">
        <f t="shared" si="188"/>
        <v>#DIV/0!</v>
      </c>
      <c r="CS167" s="2" t="e">
        <f t="shared" si="189"/>
        <v>#DIV/0!</v>
      </c>
      <c r="CT167" s="2" t="e">
        <f t="shared" si="168"/>
        <v>#DIV/0!</v>
      </c>
      <c r="CU167" s="2" t="e">
        <f t="shared" si="169"/>
        <v>#DIV/0!</v>
      </c>
      <c r="CV167" s="2" t="e">
        <f t="shared" si="170"/>
        <v>#DIV/0!</v>
      </c>
    </row>
    <row r="168" spans="1:100" x14ac:dyDescent="0.2">
      <c r="A168" s="2">
        <f t="shared" si="133"/>
        <v>10.000000000000002</v>
      </c>
      <c r="B168" s="2">
        <f t="shared" si="134"/>
        <v>4.5399929762484773E-5</v>
      </c>
      <c r="C168" s="2">
        <f t="shared" si="190"/>
        <v>4.5399929762484773E-5</v>
      </c>
      <c r="D168" s="2">
        <f t="shared" si="190"/>
        <v>4.5399929762484773E-5</v>
      </c>
      <c r="E168" s="8">
        <f t="shared" si="135"/>
        <v>4.5399929762484773E-5</v>
      </c>
      <c r="F168" s="2">
        <f t="shared" si="136"/>
        <v>4.5399929762484773E-5</v>
      </c>
      <c r="G168" s="2">
        <f t="shared" si="137"/>
        <v>4.5399929762484773E-5</v>
      </c>
      <c r="K168" s="8" t="e">
        <f t="shared" si="138"/>
        <v>#DIV/0!</v>
      </c>
      <c r="L168" s="2" t="e">
        <f t="shared" si="139"/>
        <v>#DIV/0!</v>
      </c>
      <c r="M168" s="2" t="e">
        <f t="shared" si="140"/>
        <v>#DIV/0!</v>
      </c>
      <c r="Q168" s="8">
        <f t="shared" si="141"/>
        <v>1.0651099341700165E-2</v>
      </c>
      <c r="R168" s="2">
        <f t="shared" si="142"/>
        <v>1.0651099341700165E-2</v>
      </c>
      <c r="S168" s="2">
        <f t="shared" si="143"/>
        <v>1.0651099341700165E-2</v>
      </c>
      <c r="W168" s="8">
        <f t="shared" si="144"/>
        <v>9.0909090909090939E-2</v>
      </c>
      <c r="X168" s="2">
        <f t="shared" si="145"/>
        <v>9.0909090909090939E-2</v>
      </c>
      <c r="Y168" s="2">
        <f t="shared" si="146"/>
        <v>9.0909090909090939E-2</v>
      </c>
      <c r="AC168" s="8">
        <f t="shared" si="147"/>
        <v>4.5399929762490743E-5</v>
      </c>
      <c r="AD168" s="2">
        <f t="shared" si="148"/>
        <v>4.5399929762490743E-5</v>
      </c>
      <c r="AE168" s="2">
        <f t="shared" si="149"/>
        <v>4.5399929762490743E-5</v>
      </c>
      <c r="AI168" s="8">
        <f t="shared" si="150"/>
        <v>1.0651099341700165E-2</v>
      </c>
      <c r="AJ168" s="2">
        <f t="shared" si="151"/>
        <v>1.0651099341700165E-2</v>
      </c>
      <c r="AK168" s="2">
        <f t="shared" si="152"/>
        <v>1.0651099341700165E-2</v>
      </c>
      <c r="AR168" s="8" t="e">
        <f t="shared" si="172"/>
        <v>#DIV/0!</v>
      </c>
      <c r="AS168" s="2" t="e">
        <f t="shared" si="173"/>
        <v>#DIV/0!</v>
      </c>
      <c r="AT168" s="2" t="e">
        <f t="shared" si="174"/>
        <v>#DIV/0!</v>
      </c>
      <c r="AU168" s="2" t="e">
        <f t="shared" si="153"/>
        <v>#DIV/0!</v>
      </c>
      <c r="AV168" s="2" t="e">
        <f t="shared" si="154"/>
        <v>#DIV/0!</v>
      </c>
      <c r="AW168" s="2" t="e">
        <f t="shared" si="155"/>
        <v>#DIV/0!</v>
      </c>
      <c r="BA168" s="8" t="e">
        <f t="shared" si="175"/>
        <v>#DIV/0!</v>
      </c>
      <c r="BB168" s="2" t="e">
        <f t="shared" si="176"/>
        <v>#DIV/0!</v>
      </c>
      <c r="BC168" s="2" t="e">
        <f t="shared" si="177"/>
        <v>#DIV/0!</v>
      </c>
      <c r="BD168" s="2" t="e">
        <f t="shared" si="156"/>
        <v>#DIV/0!</v>
      </c>
      <c r="BE168" s="2" t="e">
        <f t="shared" si="157"/>
        <v>#DIV/0!</v>
      </c>
      <c r="BF168" s="2" t="e">
        <f t="shared" si="158"/>
        <v>#DIV/0!</v>
      </c>
      <c r="BJ168" s="8" t="e">
        <f t="shared" si="178"/>
        <v>#DIV/0!</v>
      </c>
      <c r="BK168" s="2" t="e">
        <f t="shared" si="179"/>
        <v>#DIV/0!</v>
      </c>
      <c r="BL168" s="2" t="e">
        <f t="shared" si="180"/>
        <v>#DIV/0!</v>
      </c>
      <c r="BM168" s="2" t="e">
        <f t="shared" si="159"/>
        <v>#DIV/0!</v>
      </c>
      <c r="BN168" s="2" t="e">
        <f t="shared" si="160"/>
        <v>#DIV/0!</v>
      </c>
      <c r="BO168" s="2" t="e">
        <f t="shared" si="161"/>
        <v>#DIV/0!</v>
      </c>
      <c r="BS168" s="8" t="e">
        <f t="shared" si="181"/>
        <v>#DIV/0!</v>
      </c>
      <c r="BT168" s="2" t="e">
        <f t="shared" si="182"/>
        <v>#DIV/0!</v>
      </c>
      <c r="BU168" s="2" t="e">
        <f t="shared" si="183"/>
        <v>#DIV/0!</v>
      </c>
      <c r="BV168" s="2" t="e">
        <f t="shared" si="162"/>
        <v>#DIV/0!</v>
      </c>
      <c r="BW168" s="2" t="e">
        <f t="shared" si="163"/>
        <v>#DIV/0!</v>
      </c>
      <c r="BX168" s="2" t="e">
        <f t="shared" si="164"/>
        <v>#DIV/0!</v>
      </c>
      <c r="CE168" s="8" t="e">
        <f t="shared" si="184"/>
        <v>#DIV/0!</v>
      </c>
      <c r="CF168" s="2" t="e">
        <f t="shared" si="185"/>
        <v>#DIV/0!</v>
      </c>
      <c r="CG168" s="2" t="e">
        <f t="shared" si="186"/>
        <v>#DIV/0!</v>
      </c>
      <c r="CH168" s="2" t="e">
        <f t="shared" si="165"/>
        <v>#DIV/0!</v>
      </c>
      <c r="CI168" s="2" t="e">
        <f t="shared" si="166"/>
        <v>#DIV/0!</v>
      </c>
      <c r="CJ168" s="2" t="e">
        <f t="shared" si="167"/>
        <v>#DIV/0!</v>
      </c>
      <c r="CQ168" s="8" t="e">
        <f t="shared" si="187"/>
        <v>#DIV/0!</v>
      </c>
      <c r="CR168" s="2" t="e">
        <f t="shared" si="188"/>
        <v>#DIV/0!</v>
      </c>
      <c r="CS168" s="2" t="e">
        <f t="shared" si="189"/>
        <v>#DIV/0!</v>
      </c>
      <c r="CT168" s="2" t="e">
        <f t="shared" si="168"/>
        <v>#DIV/0!</v>
      </c>
      <c r="CU168" s="2" t="e">
        <f t="shared" si="169"/>
        <v>#DIV/0!</v>
      </c>
      <c r="CV168" s="2" t="e">
        <f t="shared" si="170"/>
        <v>#DIV/0!</v>
      </c>
    </row>
  </sheetData>
  <conditionalFormatting sqref="A11:XFD22">
    <cfRule type="cellIs" dxfId="2" priority="3" operator="equal">
      <formula>0</formula>
    </cfRule>
  </conditionalFormatting>
  <conditionalFormatting sqref="A25:A35">
    <cfRule type="cellIs" dxfId="1" priority="2" operator="equal">
      <formula>0</formula>
    </cfRule>
  </conditionalFormatting>
  <conditionalFormatting sqref="A36">
    <cfRule type="cellIs" dxfId="0" priority="1" operator="equal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1 group</vt:lpstr>
      <vt:lpstr>2 groups - no strata</vt:lpstr>
      <vt:lpstr>2 groups - strata</vt:lpstr>
      <vt:lpstr>3 groups - no strata</vt:lpstr>
      <vt:lpstr>3 groups - strata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Ramaekers B.L.T. (Bram)</dc:creator>
  <cp:lastModifiedBy>Ramaekers B.L.T. (Bram)</cp:lastModifiedBy>
  <dcterms:created xsi:type="dcterms:W3CDTF">2018-11-30T08:41:44Z</dcterms:created>
  <dcterms:modified xsi:type="dcterms:W3CDTF">2020-05-15T14:57:58Z</dcterms:modified>
</cp:coreProperties>
</file>